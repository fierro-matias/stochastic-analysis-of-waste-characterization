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ge84jeg\Downloads\P2_Waste_Local_Data\P2_Zenodo\data\raw\"/>
    </mc:Choice>
  </mc:AlternateContent>
  <xr:revisionPtr revIDLastSave="0" documentId="13_ncr:1_{FD4B6DD1-9088-4B3F-B868-882773827A15}" xr6:coauthVersionLast="47" xr6:coauthVersionMax="47" xr10:uidLastSave="{00000000-0000-0000-0000-000000000000}"/>
  <bookViews>
    <workbookView xWindow="31943" yWindow="-263" windowWidth="32281" windowHeight="17530" activeTab="4" xr2:uid="{960F5141-301E-4175-98B1-2D85ADF40831}"/>
  </bookViews>
  <sheets>
    <sheet name="References_index" sheetId="14" r:id="rId1"/>
    <sheet name="Paper" sheetId="4" r:id="rId2"/>
    <sheet name="Organic" sheetId="9" r:id="rId3"/>
    <sheet name="Plastic" sheetId="10" r:id="rId4"/>
    <sheet name="Inert" sheetId="11" r:id="rId5"/>
    <sheet name="Inert_Properties_on Temperature" sheetId="1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6" i="14" l="1"/>
  <c r="A223" i="14"/>
  <c r="A224" i="14" s="1"/>
  <c r="A227" i="14" s="1"/>
  <c r="A228" i="14" s="1"/>
  <c r="A229" i="14" s="1"/>
  <c r="A230" i="14" s="1"/>
  <c r="A231" i="14" s="1"/>
  <c r="A232" i="14" s="1"/>
  <c r="A233" i="14" s="1"/>
  <c r="AM35" i="9" l="1"/>
  <c r="AL134" i="10"/>
  <c r="Y58" i="10"/>
  <c r="AF33" i="10"/>
  <c r="Y33" i="10"/>
  <c r="Y225" i="10"/>
  <c r="AA225" i="10" s="1"/>
  <c r="AF175" i="10"/>
  <c r="Y175" i="10"/>
  <c r="Y169" i="10"/>
  <c r="Y136" i="10"/>
  <c r="AE128" i="11"/>
  <c r="AF11" i="11"/>
  <c r="AM64" i="9"/>
  <c r="AL3" i="11"/>
  <c r="AL98" i="11" l="1"/>
  <c r="AL100" i="11"/>
  <c r="AL101" i="11"/>
  <c r="AL102" i="11"/>
  <c r="AL103" i="11"/>
  <c r="AL104" i="11"/>
  <c r="AL105" i="11"/>
  <c r="AL106" i="11"/>
  <c r="AL107" i="11"/>
  <c r="AL112" i="11"/>
  <c r="AL118" i="11"/>
  <c r="AL119" i="11"/>
  <c r="AL125" i="11"/>
  <c r="AL126" i="11"/>
  <c r="AL127" i="11"/>
  <c r="AL128" i="11"/>
  <c r="AL139" i="11"/>
  <c r="AL140" i="11"/>
  <c r="AL141" i="11"/>
  <c r="AL142" i="11"/>
  <c r="AL145" i="11"/>
  <c r="AL150" i="11"/>
  <c r="AL151" i="11"/>
  <c r="AL154" i="11"/>
  <c r="AL155" i="11"/>
  <c r="AL157" i="11"/>
  <c r="AL158" i="11"/>
  <c r="AL159" i="11"/>
  <c r="AL161" i="11"/>
  <c r="AL162" i="11"/>
  <c r="AL163" i="11"/>
  <c r="AL164" i="11"/>
  <c r="AL165" i="11"/>
  <c r="AL168" i="11"/>
  <c r="AL169" i="11"/>
  <c r="AL173" i="11"/>
  <c r="AJ98" i="11"/>
  <c r="AJ100" i="11"/>
  <c r="AJ101" i="11"/>
  <c r="AJ102" i="11"/>
  <c r="AJ103" i="11"/>
  <c r="AJ104" i="11"/>
  <c r="AJ105" i="11"/>
  <c r="AJ106" i="11"/>
  <c r="AJ107" i="11"/>
  <c r="AJ112" i="11"/>
  <c r="AJ118" i="11"/>
  <c r="AJ119" i="11"/>
  <c r="AJ125" i="11"/>
  <c r="AJ126" i="11"/>
  <c r="AJ127" i="11"/>
  <c r="AJ128" i="11"/>
  <c r="AJ139" i="11"/>
  <c r="AJ140" i="11"/>
  <c r="AJ141" i="11"/>
  <c r="AJ142" i="11"/>
  <c r="AJ145" i="11"/>
  <c r="AJ150" i="11"/>
  <c r="AJ151" i="11"/>
  <c r="AJ154" i="11"/>
  <c r="AJ155" i="11"/>
  <c r="AJ157" i="11"/>
  <c r="AJ158" i="11"/>
  <c r="AJ159" i="11"/>
  <c r="AJ161" i="11"/>
  <c r="AJ162" i="11"/>
  <c r="AJ163" i="11"/>
  <c r="AJ164" i="11"/>
  <c r="AJ165" i="11"/>
  <c r="AJ168" i="11"/>
  <c r="AJ169" i="11"/>
  <c r="AJ173" i="11"/>
  <c r="AI98" i="11"/>
  <c r="AI100" i="11"/>
  <c r="AI101" i="11"/>
  <c r="AI102" i="11"/>
  <c r="AI103" i="11"/>
  <c r="AI104" i="11"/>
  <c r="AI105" i="11"/>
  <c r="AI106" i="11"/>
  <c r="AI107" i="11"/>
  <c r="AI112" i="11"/>
  <c r="AI118" i="11"/>
  <c r="AI119" i="11"/>
  <c r="AI125" i="11"/>
  <c r="AI126" i="11"/>
  <c r="AI127" i="11"/>
  <c r="AI128" i="11"/>
  <c r="AI139" i="11"/>
  <c r="AI140" i="11"/>
  <c r="AI141" i="11"/>
  <c r="AI142" i="11"/>
  <c r="AI145" i="11"/>
  <c r="AI150" i="11"/>
  <c r="AI151" i="11"/>
  <c r="AI154" i="11"/>
  <c r="AI155" i="11"/>
  <c r="AI157" i="11"/>
  <c r="AI158" i="11"/>
  <c r="AI159" i="11"/>
  <c r="AI161" i="11"/>
  <c r="AI162" i="11"/>
  <c r="AI163" i="11"/>
  <c r="AI164" i="11"/>
  <c r="AI165" i="11"/>
  <c r="AI168" i="11"/>
  <c r="AI169" i="11"/>
  <c r="AI173" i="11"/>
  <c r="AH98" i="11"/>
  <c r="AH100" i="11"/>
  <c r="AH101" i="11"/>
  <c r="AH102" i="11"/>
  <c r="AH103" i="11"/>
  <c r="AH104" i="11"/>
  <c r="AH105" i="11"/>
  <c r="AH106" i="11"/>
  <c r="AH107" i="11"/>
  <c r="AH112" i="11"/>
  <c r="AH118" i="11"/>
  <c r="AH119" i="11"/>
  <c r="AH125" i="11"/>
  <c r="AH126" i="11"/>
  <c r="AH127" i="11"/>
  <c r="AH128" i="11"/>
  <c r="AH139" i="11"/>
  <c r="AH140" i="11"/>
  <c r="AH141" i="11"/>
  <c r="AH142" i="11"/>
  <c r="AH145" i="11"/>
  <c r="AH150" i="11"/>
  <c r="AH151" i="11"/>
  <c r="AH154" i="11"/>
  <c r="AH155" i="11"/>
  <c r="AH157" i="11"/>
  <c r="AH158" i="11"/>
  <c r="AH159" i="11"/>
  <c r="AH161" i="11"/>
  <c r="AH162" i="11"/>
  <c r="AH163" i="11"/>
  <c r="AH164" i="11"/>
  <c r="AH165" i="11"/>
  <c r="AH168" i="11"/>
  <c r="AH169" i="11"/>
  <c r="AH173" i="11"/>
  <c r="AG98" i="11"/>
  <c r="AG100" i="11"/>
  <c r="AG101" i="11"/>
  <c r="AG102" i="11"/>
  <c r="AG103" i="11"/>
  <c r="AG104" i="11"/>
  <c r="AG105" i="11"/>
  <c r="AG106" i="11"/>
  <c r="AG107" i="11"/>
  <c r="AG112" i="11"/>
  <c r="AG118" i="11"/>
  <c r="AG119" i="11"/>
  <c r="AG125" i="11"/>
  <c r="AG126" i="11"/>
  <c r="AG127" i="11"/>
  <c r="AG128" i="11"/>
  <c r="AG139" i="11"/>
  <c r="AG140" i="11"/>
  <c r="AG141" i="11"/>
  <c r="AG142" i="11"/>
  <c r="AG145" i="11"/>
  <c r="AG150" i="11"/>
  <c r="AG151" i="11"/>
  <c r="AG154" i="11"/>
  <c r="AG155" i="11"/>
  <c r="AG157" i="11"/>
  <c r="AG158" i="11"/>
  <c r="AG159" i="11"/>
  <c r="AG161" i="11"/>
  <c r="AG162" i="11"/>
  <c r="AG163" i="11"/>
  <c r="AG164" i="11"/>
  <c r="AG165" i="11"/>
  <c r="AG168" i="11"/>
  <c r="AG169" i="11"/>
  <c r="AG173" i="11"/>
  <c r="AF98" i="11"/>
  <c r="AF100" i="11"/>
  <c r="AF101" i="11"/>
  <c r="AF102" i="11"/>
  <c r="AF103" i="11"/>
  <c r="AF104" i="11"/>
  <c r="AF105" i="11"/>
  <c r="AF106" i="11"/>
  <c r="AF107" i="11"/>
  <c r="AF112" i="11"/>
  <c r="AF118" i="11"/>
  <c r="AF119" i="11"/>
  <c r="AF125" i="11"/>
  <c r="AF126" i="11"/>
  <c r="AF127" i="11"/>
  <c r="AF128" i="11"/>
  <c r="AF139" i="11"/>
  <c r="AF140" i="11"/>
  <c r="AF141" i="11"/>
  <c r="AF142" i="11"/>
  <c r="AF145" i="11"/>
  <c r="AF150" i="11"/>
  <c r="AF151" i="11"/>
  <c r="AF154" i="11"/>
  <c r="AF155" i="11"/>
  <c r="AF157" i="11"/>
  <c r="AF158" i="11"/>
  <c r="AF159" i="11"/>
  <c r="AF161" i="11"/>
  <c r="AF162" i="11"/>
  <c r="AF163" i="11"/>
  <c r="AF164" i="11"/>
  <c r="AF165" i="11"/>
  <c r="AF168" i="11"/>
  <c r="AF169" i="11"/>
  <c r="AF173" i="11"/>
  <c r="AE139" i="11"/>
  <c r="AE140" i="11"/>
  <c r="AE141" i="11"/>
  <c r="AE142" i="11"/>
  <c r="AE145" i="11"/>
  <c r="AE150" i="11"/>
  <c r="AE151" i="11"/>
  <c r="AE154" i="11"/>
  <c r="AE155" i="11"/>
  <c r="AE157" i="11"/>
  <c r="AE158" i="11"/>
  <c r="AE159" i="11"/>
  <c r="AE161" i="11"/>
  <c r="AE162" i="11"/>
  <c r="AE163" i="11"/>
  <c r="AE164" i="11"/>
  <c r="AE165" i="11"/>
  <c r="AE168" i="11"/>
  <c r="AE169" i="11"/>
  <c r="AE173" i="11"/>
  <c r="AE100" i="11"/>
  <c r="AE101" i="11"/>
  <c r="AE102" i="11"/>
  <c r="AE103" i="11"/>
  <c r="AE104" i="11"/>
  <c r="AE105" i="11"/>
  <c r="AE106" i="11"/>
  <c r="AE107" i="11"/>
  <c r="AE112" i="11"/>
  <c r="AE118" i="11"/>
  <c r="AE119" i="11"/>
  <c r="AE125" i="11"/>
  <c r="AE126" i="11"/>
  <c r="AE127" i="11"/>
  <c r="AE98" i="11"/>
  <c r="AE90" i="11"/>
  <c r="AE71" i="11"/>
  <c r="AL71" i="11" l="1"/>
  <c r="AL36" i="11"/>
  <c r="AL37" i="11"/>
  <c r="AL38" i="11"/>
  <c r="AL39" i="11"/>
  <c r="AL40" i="11"/>
  <c r="AL41" i="11"/>
  <c r="AL42" i="11"/>
  <c r="AL91" i="11"/>
  <c r="AL92" i="11"/>
  <c r="AL93" i="11"/>
  <c r="AL94" i="11"/>
  <c r="AL95" i="11"/>
  <c r="AL96" i="11"/>
  <c r="AL97" i="11"/>
  <c r="AL45" i="11"/>
  <c r="AL46" i="11"/>
  <c r="AL47" i="11"/>
  <c r="AL48" i="11"/>
  <c r="AL49" i="11"/>
  <c r="AL50" i="11"/>
  <c r="AL59" i="11"/>
  <c r="AL60" i="11"/>
  <c r="AL61" i="11"/>
  <c r="AL62" i="11"/>
  <c r="AL63" i="11"/>
  <c r="AL64" i="11"/>
  <c r="AL65" i="11"/>
  <c r="AL66" i="11"/>
  <c r="AL67" i="11"/>
  <c r="AL68" i="11"/>
  <c r="AL69" i="11"/>
  <c r="AL70" i="11"/>
  <c r="AL72" i="11"/>
  <c r="AL73" i="11"/>
  <c r="AL74" i="11"/>
  <c r="AL75" i="11"/>
  <c r="AL76" i="11"/>
  <c r="AL77" i="11"/>
  <c r="AL78" i="11"/>
  <c r="AL79" i="11"/>
  <c r="AL80" i="11"/>
  <c r="AL81" i="11"/>
  <c r="AL82" i="11"/>
  <c r="AL83" i="11"/>
  <c r="AL84" i="11"/>
  <c r="AL87" i="11"/>
  <c r="AL88" i="11"/>
  <c r="AL89" i="11"/>
  <c r="AL90" i="11"/>
  <c r="AJ40" i="11"/>
  <c r="AJ41" i="11"/>
  <c r="AJ42" i="11"/>
  <c r="AJ91" i="11"/>
  <c r="AJ92" i="11"/>
  <c r="AJ93" i="11"/>
  <c r="AJ94" i="11"/>
  <c r="AJ95" i="11"/>
  <c r="AJ96" i="11"/>
  <c r="AJ97" i="11"/>
  <c r="AJ45" i="11"/>
  <c r="AJ46" i="11"/>
  <c r="AJ47" i="11"/>
  <c r="AJ48" i="11"/>
  <c r="AJ49" i="11"/>
  <c r="AJ50" i="11"/>
  <c r="AJ59" i="11"/>
  <c r="AJ60" i="11"/>
  <c r="AJ61" i="11"/>
  <c r="AJ62" i="11"/>
  <c r="AJ63" i="11"/>
  <c r="AJ64" i="11"/>
  <c r="AJ65" i="11"/>
  <c r="AJ66" i="11"/>
  <c r="AJ67" i="11"/>
  <c r="AJ68" i="11"/>
  <c r="AJ69" i="11"/>
  <c r="AJ70" i="11"/>
  <c r="AJ71" i="11"/>
  <c r="AJ72" i="11"/>
  <c r="AJ73" i="11"/>
  <c r="AJ74" i="11"/>
  <c r="AJ75" i="11"/>
  <c r="AJ76" i="11"/>
  <c r="AJ77" i="11"/>
  <c r="AJ78" i="11"/>
  <c r="AJ79" i="11"/>
  <c r="AJ80" i="11"/>
  <c r="AJ81" i="11"/>
  <c r="AJ82" i="11"/>
  <c r="AJ83" i="11"/>
  <c r="AJ84" i="11"/>
  <c r="AJ87" i="11"/>
  <c r="AJ88" i="11"/>
  <c r="AJ89" i="11"/>
  <c r="AJ90" i="11"/>
  <c r="AI40" i="11"/>
  <c r="AI41" i="11"/>
  <c r="AI42" i="11"/>
  <c r="AI91" i="11"/>
  <c r="AI92" i="11"/>
  <c r="AI93" i="11"/>
  <c r="AI94" i="11"/>
  <c r="AI95" i="11"/>
  <c r="AI96" i="11"/>
  <c r="AI97" i="11"/>
  <c r="AI45" i="11"/>
  <c r="AI46" i="11"/>
  <c r="AI47" i="11"/>
  <c r="AI48" i="11"/>
  <c r="AI49" i="11"/>
  <c r="AI50"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7" i="11"/>
  <c r="AI88" i="11"/>
  <c r="AI89" i="11"/>
  <c r="AI90" i="11"/>
  <c r="AH40" i="11"/>
  <c r="AH41" i="11"/>
  <c r="AH42" i="11"/>
  <c r="AH91" i="11"/>
  <c r="AH92" i="11"/>
  <c r="AH93" i="11"/>
  <c r="AH94" i="11"/>
  <c r="AH95" i="11"/>
  <c r="AH96" i="11"/>
  <c r="AH97" i="11"/>
  <c r="AH45" i="11"/>
  <c r="AH46" i="11"/>
  <c r="AH47" i="11"/>
  <c r="AH48" i="11"/>
  <c r="AH49" i="11"/>
  <c r="AH50" i="11"/>
  <c r="AH59" i="11"/>
  <c r="AH60" i="11"/>
  <c r="AH61" i="11"/>
  <c r="AH62" i="11"/>
  <c r="AH63" i="11"/>
  <c r="AH64" i="11"/>
  <c r="AH65" i="11"/>
  <c r="AH66" i="11"/>
  <c r="AH67" i="11"/>
  <c r="AH68" i="11"/>
  <c r="AH69" i="11"/>
  <c r="AH70" i="11"/>
  <c r="AH71" i="11"/>
  <c r="AH72" i="11"/>
  <c r="AH73" i="11"/>
  <c r="AH74" i="11"/>
  <c r="AH75" i="11"/>
  <c r="AH76" i="11"/>
  <c r="AH77" i="11"/>
  <c r="AH78" i="11"/>
  <c r="AH79" i="11"/>
  <c r="AH80" i="11"/>
  <c r="AH81" i="11"/>
  <c r="AH82" i="11"/>
  <c r="AH83" i="11"/>
  <c r="AH84" i="11"/>
  <c r="AH87" i="11"/>
  <c r="AH88" i="11"/>
  <c r="AH89" i="11"/>
  <c r="AH90" i="11"/>
  <c r="AG40" i="11"/>
  <c r="AG41" i="11"/>
  <c r="AG42" i="11"/>
  <c r="AG91" i="11"/>
  <c r="AG92" i="11"/>
  <c r="AG93" i="11"/>
  <c r="AG94" i="11"/>
  <c r="AG95" i="11"/>
  <c r="AG96" i="11"/>
  <c r="AG97" i="11"/>
  <c r="AG45" i="11"/>
  <c r="AG46" i="11"/>
  <c r="AG47" i="11"/>
  <c r="AG48" i="11"/>
  <c r="AG49" i="11"/>
  <c r="AG50" i="11"/>
  <c r="AG59" i="11"/>
  <c r="AG60" i="11"/>
  <c r="AG61" i="11"/>
  <c r="AG62" i="11"/>
  <c r="AG63" i="11"/>
  <c r="AG64" i="11"/>
  <c r="AG65" i="11"/>
  <c r="AG66" i="11"/>
  <c r="AG67" i="11"/>
  <c r="AG68" i="11"/>
  <c r="AG69" i="11"/>
  <c r="AG70" i="11"/>
  <c r="AG71" i="11"/>
  <c r="AG72" i="11"/>
  <c r="AG73" i="11"/>
  <c r="AG74" i="11"/>
  <c r="AG75" i="11"/>
  <c r="AG76" i="11"/>
  <c r="AG77" i="11"/>
  <c r="AG78" i="11"/>
  <c r="AG79" i="11"/>
  <c r="AG80" i="11"/>
  <c r="AG81" i="11"/>
  <c r="AG82" i="11"/>
  <c r="AG83" i="11"/>
  <c r="AG84" i="11"/>
  <c r="AG87" i="11"/>
  <c r="AG88" i="11"/>
  <c r="AG89" i="11"/>
  <c r="AG90" i="11"/>
  <c r="AF40" i="11"/>
  <c r="AF41" i="11"/>
  <c r="AF42" i="11"/>
  <c r="AF91" i="11"/>
  <c r="AF92" i="11"/>
  <c r="AF93" i="11"/>
  <c r="AF94" i="11"/>
  <c r="AF95" i="11"/>
  <c r="AF96" i="11"/>
  <c r="AF97" i="11"/>
  <c r="AF45" i="11"/>
  <c r="AF46" i="11"/>
  <c r="AF47" i="11"/>
  <c r="AF48" i="11"/>
  <c r="AF49" i="11"/>
  <c r="AF50" i="11"/>
  <c r="AF59" i="11"/>
  <c r="AF60" i="11"/>
  <c r="AF61" i="11"/>
  <c r="AF62" i="11"/>
  <c r="AF63" i="11"/>
  <c r="AF64" i="11"/>
  <c r="AF65" i="11"/>
  <c r="AF66" i="11"/>
  <c r="AF67" i="11"/>
  <c r="AF68" i="11"/>
  <c r="AF69" i="11"/>
  <c r="AF70" i="11"/>
  <c r="AF71" i="11"/>
  <c r="AF72" i="11"/>
  <c r="AF73" i="11"/>
  <c r="AF74" i="11"/>
  <c r="AF75" i="11"/>
  <c r="AF76" i="11"/>
  <c r="AF77" i="11"/>
  <c r="AF78" i="11"/>
  <c r="AF79" i="11"/>
  <c r="AF80" i="11"/>
  <c r="AF81" i="11"/>
  <c r="AF82" i="11"/>
  <c r="AF83" i="11"/>
  <c r="AF84" i="11"/>
  <c r="AF87" i="11"/>
  <c r="AF88" i="11"/>
  <c r="AF89" i="11"/>
  <c r="AF90" i="11"/>
  <c r="AE40" i="11"/>
  <c r="AE41" i="11"/>
  <c r="AE42" i="11"/>
  <c r="AE91" i="11"/>
  <c r="AE92" i="11"/>
  <c r="AE93" i="11"/>
  <c r="AE94" i="11"/>
  <c r="AE95" i="11"/>
  <c r="AE96" i="11"/>
  <c r="AE97" i="11"/>
  <c r="AE45" i="11"/>
  <c r="AE46" i="11"/>
  <c r="AE47" i="11"/>
  <c r="AE48" i="11"/>
  <c r="AE49" i="11"/>
  <c r="AE50" i="11"/>
  <c r="AE59" i="11"/>
  <c r="AE60" i="11"/>
  <c r="AE61" i="11"/>
  <c r="AE62" i="11"/>
  <c r="AE63" i="11"/>
  <c r="AE64" i="11"/>
  <c r="AE65" i="11"/>
  <c r="AE66" i="11"/>
  <c r="AE67" i="11"/>
  <c r="AE68" i="11"/>
  <c r="AE69" i="11"/>
  <c r="AE70" i="11"/>
  <c r="AE72" i="11"/>
  <c r="AE73" i="11"/>
  <c r="AE74" i="11"/>
  <c r="AE75" i="11"/>
  <c r="AE76" i="11"/>
  <c r="AE77" i="11"/>
  <c r="AE78" i="11"/>
  <c r="AE79" i="11"/>
  <c r="AE80" i="11"/>
  <c r="AE81" i="11"/>
  <c r="AE82" i="11"/>
  <c r="AE83" i="11"/>
  <c r="AE84" i="11"/>
  <c r="AE87" i="11"/>
  <c r="AE88" i="11"/>
  <c r="AE89" i="11"/>
  <c r="AL4" i="11" l="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2" i="11"/>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H3" i="11"/>
  <c r="AH4" i="11"/>
  <c r="AH5" i="11"/>
  <c r="AH6" i="11"/>
  <c r="AH7" i="11"/>
  <c r="AH8" i="11"/>
  <c r="AH9" i="11"/>
  <c r="AH10" i="11"/>
  <c r="AH11" i="11"/>
  <c r="AH12" i="11"/>
  <c r="AH13" i="11"/>
  <c r="AH14" i="11"/>
  <c r="AH15" i="11"/>
  <c r="AH16" i="11"/>
  <c r="AH17" i="11"/>
  <c r="AH18" i="11"/>
  <c r="AH19" i="11"/>
  <c r="AH20" i="11"/>
  <c r="AH21" i="11"/>
  <c r="AH22" i="11"/>
  <c r="AH23" i="11"/>
  <c r="AH24" i="11"/>
  <c r="AH25" i="11"/>
  <c r="AH26" i="11"/>
  <c r="AH27" i="11"/>
  <c r="AH28" i="11"/>
  <c r="AH29" i="11"/>
  <c r="AH30" i="11"/>
  <c r="AH31" i="11"/>
  <c r="AH32" i="11"/>
  <c r="AH33" i="11"/>
  <c r="AH34" i="11"/>
  <c r="AH35" i="11"/>
  <c r="AH36" i="11"/>
  <c r="AH37" i="11"/>
  <c r="AH38" i="11"/>
  <c r="AH39" i="11"/>
  <c r="AG3" i="11"/>
  <c r="AG4" i="11"/>
  <c r="AG5" i="11"/>
  <c r="AG6" i="11"/>
  <c r="AG7" i="11"/>
  <c r="AG8" i="11"/>
  <c r="AG9" i="11"/>
  <c r="AG10" i="11"/>
  <c r="AG11" i="11"/>
  <c r="AG12" i="11"/>
  <c r="AG13" i="11"/>
  <c r="AG14" i="11"/>
  <c r="AG15" i="11"/>
  <c r="AG16" i="11"/>
  <c r="AG17" i="11"/>
  <c r="AG18" i="11"/>
  <c r="AG19" i="11"/>
  <c r="AG20" i="11"/>
  <c r="AG21" i="11"/>
  <c r="AG22" i="11"/>
  <c r="AG23" i="11"/>
  <c r="AG24" i="11"/>
  <c r="AG25" i="11"/>
  <c r="AG26" i="11"/>
  <c r="AG27" i="11"/>
  <c r="AG28" i="11"/>
  <c r="AG29" i="11"/>
  <c r="AG30" i="11"/>
  <c r="AG31" i="11"/>
  <c r="AG32" i="11"/>
  <c r="AG33" i="11"/>
  <c r="AG34" i="11"/>
  <c r="AG35" i="11"/>
  <c r="AG36" i="11"/>
  <c r="AG37" i="11"/>
  <c r="AG38" i="11"/>
  <c r="AG39" i="11"/>
  <c r="AF3" i="11"/>
  <c r="AF4" i="11"/>
  <c r="AF5" i="11"/>
  <c r="AF6" i="11"/>
  <c r="AF7" i="11"/>
  <c r="AF8" i="11"/>
  <c r="AF9" i="11"/>
  <c r="AF10"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E3" i="11"/>
  <c r="AE4" i="11"/>
  <c r="AE5" i="11"/>
  <c r="AE6" i="11"/>
  <c r="AE7" i="11"/>
  <c r="AE8" i="11"/>
  <c r="AE9" i="11"/>
  <c r="AE10" i="11"/>
  <c r="AE11" i="11"/>
  <c r="AE12" i="11"/>
  <c r="AE13" i="11"/>
  <c r="AE14" i="1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J3" i="11"/>
  <c r="AJ4" i="11"/>
  <c r="AJ5" i="11"/>
  <c r="AJ6" i="11"/>
  <c r="AJ7" i="11"/>
  <c r="AJ8" i="11"/>
  <c r="AJ9" i="11"/>
  <c r="AJ10" i="11"/>
  <c r="AJ11" i="11"/>
  <c r="AJ12" i="11"/>
  <c r="AJ13" i="11"/>
  <c r="AJ14" i="11"/>
  <c r="AJ15" i="11"/>
  <c r="AJ16" i="11"/>
  <c r="AJ17" i="11"/>
  <c r="AJ18" i="11"/>
  <c r="AJ19" i="11"/>
  <c r="AJ20" i="11"/>
  <c r="AJ21" i="11"/>
  <c r="AJ22" i="11"/>
  <c r="AJ23" i="11"/>
  <c r="AJ24" i="11"/>
  <c r="AJ25" i="11"/>
  <c r="AJ26" i="11"/>
  <c r="AJ27" i="11"/>
  <c r="AJ28" i="11"/>
  <c r="AJ29" i="11"/>
  <c r="AJ30" i="11"/>
  <c r="AJ31" i="11"/>
  <c r="AJ32" i="11"/>
  <c r="AJ33" i="11"/>
  <c r="AJ34" i="11"/>
  <c r="AJ35" i="11"/>
  <c r="AJ36" i="11"/>
  <c r="AJ37" i="11"/>
  <c r="AJ38" i="11"/>
  <c r="AJ39" i="11"/>
  <c r="AJ2" i="11"/>
  <c r="AI2" i="11"/>
  <c r="AH2" i="11"/>
  <c r="AG2" i="11"/>
  <c r="AF2" i="11"/>
  <c r="AE2" i="1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91" i="11" s="1"/>
  <c r="A92" i="11" s="1"/>
  <c r="A93" i="11" s="1"/>
  <c r="A94" i="11" s="1"/>
  <c r="A95" i="11" s="1"/>
  <c r="A96" i="11" s="1"/>
  <c r="A97"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3" i="9" l="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M46" i="4"/>
  <c r="AN540" i="9"/>
  <c r="AN173" i="9"/>
  <c r="AN169" i="9"/>
  <c r="AN168" i="9"/>
  <c r="AN157" i="9"/>
  <c r="AN147" i="9"/>
  <c r="AN146" i="9"/>
  <c r="AN145" i="9"/>
  <c r="AN144" i="9"/>
  <c r="AN143" i="9"/>
  <c r="AN142" i="9"/>
  <c r="AN141" i="9"/>
  <c r="AN140" i="9"/>
  <c r="AN139" i="9"/>
  <c r="AN129" i="9"/>
  <c r="AN128" i="9"/>
  <c r="AN122" i="9"/>
  <c r="AN121" i="9"/>
  <c r="AN113" i="9"/>
  <c r="AN106" i="9"/>
  <c r="AN80" i="9"/>
  <c r="AN79" i="9"/>
  <c r="AN51" i="9"/>
  <c r="AM134" i="10"/>
  <c r="AM177" i="10"/>
  <c r="AM131" i="10"/>
  <c r="AK177" i="10"/>
  <c r="AK131" i="10"/>
  <c r="AL123" i="10"/>
  <c r="AK123" i="10" s="1"/>
  <c r="R117" i="10"/>
  <c r="S117" i="10"/>
  <c r="Q117" i="10"/>
  <c r="R235" i="10"/>
  <c r="S235" i="10"/>
  <c r="Q235" i="10"/>
  <c r="R170" i="10"/>
  <c r="S170" i="10"/>
  <c r="Q170" i="10"/>
  <c r="R242" i="10"/>
  <c r="S242" i="10"/>
  <c r="Q242" i="10"/>
  <c r="O90" i="10"/>
  <c r="AA133" i="10"/>
  <c r="O133" i="10"/>
  <c r="O92" i="10"/>
  <c r="AA233" i="10"/>
  <c r="AC233" i="10" s="1"/>
  <c r="R70" i="10"/>
  <c r="S70" i="10"/>
  <c r="Q70" i="10"/>
  <c r="S123" i="10"/>
  <c r="R123" i="10"/>
  <c r="Q123" i="10"/>
  <c r="AA85" i="10"/>
  <c r="O85" i="10"/>
  <c r="O226" i="10"/>
  <c r="P226" i="10" s="1"/>
  <c r="AA131" i="10"/>
  <c r="AE131" i="10" s="1"/>
  <c r="O131" i="10"/>
  <c r="Q234" i="10"/>
  <c r="R234" i="10"/>
  <c r="O234" i="10"/>
  <c r="O163" i="10"/>
  <c r="R163" i="10" s="1"/>
  <c r="O164" i="10"/>
  <c r="O148" i="10"/>
  <c r="Q136" i="10"/>
  <c r="O122" i="10"/>
  <c r="P122" i="10" s="1"/>
  <c r="Q33" i="10"/>
  <c r="O44" i="10"/>
  <c r="Q44" i="10" s="1"/>
  <c r="R58" i="10"/>
  <c r="S58" i="10"/>
  <c r="Q58" i="10"/>
  <c r="O243" i="10"/>
  <c r="O242" i="10"/>
  <c r="O241" i="10"/>
  <c r="O240" i="10"/>
  <c r="O239" i="10"/>
  <c r="Q239" i="10" s="1"/>
  <c r="O238" i="10"/>
  <c r="O237" i="10"/>
  <c r="O236" i="10"/>
  <c r="O235" i="10"/>
  <c r="O225" i="10"/>
  <c r="O224" i="10"/>
  <c r="O223" i="10"/>
  <c r="O211" i="10"/>
  <c r="O210" i="10"/>
  <c r="O209" i="10"/>
  <c r="O208" i="10"/>
  <c r="Q208" i="10" s="1"/>
  <c r="O207" i="10"/>
  <c r="O205" i="10"/>
  <c r="P205" i="10" s="1"/>
  <c r="O204" i="10"/>
  <c r="O203" i="10"/>
  <c r="O202" i="10"/>
  <c r="O201" i="10"/>
  <c r="O174" i="10"/>
  <c r="Q174" i="10" s="1"/>
  <c r="O172" i="10"/>
  <c r="O171" i="10"/>
  <c r="P171" i="10" s="1"/>
  <c r="O170" i="10"/>
  <c r="O169" i="10"/>
  <c r="O168" i="10"/>
  <c r="O167" i="10"/>
  <c r="O166" i="10"/>
  <c r="O165" i="10"/>
  <c r="O162" i="10"/>
  <c r="O161" i="10"/>
  <c r="Q161" i="10" s="1"/>
  <c r="O160" i="10"/>
  <c r="O158" i="10"/>
  <c r="O157" i="10"/>
  <c r="O156" i="10"/>
  <c r="O155" i="10"/>
  <c r="O154" i="10"/>
  <c r="O152" i="10"/>
  <c r="O150" i="10"/>
  <c r="O149" i="10"/>
  <c r="O141" i="10"/>
  <c r="O140" i="10"/>
  <c r="O139" i="10"/>
  <c r="O138" i="10"/>
  <c r="O137" i="10"/>
  <c r="P137" i="10" s="1"/>
  <c r="O136" i="10"/>
  <c r="O134" i="10"/>
  <c r="O130" i="10"/>
  <c r="O125" i="10"/>
  <c r="O124" i="10"/>
  <c r="P124" i="10" s="1"/>
  <c r="O123" i="10"/>
  <c r="O129" i="10"/>
  <c r="O121" i="10"/>
  <c r="O120" i="10"/>
  <c r="O119" i="10"/>
  <c r="P119" i="10" s="1"/>
  <c r="O118" i="10"/>
  <c r="O117" i="10"/>
  <c r="O57" i="10"/>
  <c r="O56" i="10"/>
  <c r="O54" i="10"/>
  <c r="O53" i="10"/>
  <c r="O52" i="10"/>
  <c r="O51" i="10"/>
  <c r="O50" i="10"/>
  <c r="O48" i="10"/>
  <c r="S48" i="10" s="1"/>
  <c r="O46" i="10"/>
  <c r="P46" i="10" s="1"/>
  <c r="O45" i="10"/>
  <c r="O43" i="10"/>
  <c r="P43" i="10" s="1"/>
  <c r="O42" i="10"/>
  <c r="O40" i="10"/>
  <c r="O39" i="10"/>
  <c r="O37" i="10"/>
  <c r="O36" i="10"/>
  <c r="Q36" i="10" s="1"/>
  <c r="O35" i="10"/>
  <c r="O34" i="10"/>
  <c r="O32" i="10"/>
  <c r="O30" i="10"/>
  <c r="O29" i="10"/>
  <c r="O28" i="10"/>
  <c r="O27" i="10"/>
  <c r="O26" i="10"/>
  <c r="P26" i="10" s="1"/>
  <c r="O25" i="10"/>
  <c r="O24" i="10"/>
  <c r="O23" i="10"/>
  <c r="O22" i="10"/>
  <c r="O21" i="10"/>
  <c r="O20" i="10"/>
  <c r="O19" i="10"/>
  <c r="O17" i="10"/>
  <c r="O16" i="10"/>
  <c r="O14" i="10"/>
  <c r="O13" i="10"/>
  <c r="O12" i="10"/>
  <c r="O11" i="10"/>
  <c r="O10" i="10"/>
  <c r="O9" i="10"/>
  <c r="P9" i="10" s="1"/>
  <c r="O31" i="10"/>
  <c r="O33" i="10"/>
  <c r="O38" i="10"/>
  <c r="O55" i="10"/>
  <c r="O58" i="10"/>
  <c r="O70" i="10"/>
  <c r="O69" i="10"/>
  <c r="O68" i="10"/>
  <c r="P68" i="10" s="1"/>
  <c r="O67" i="10"/>
  <c r="P67" i="10" s="1"/>
  <c r="O88" i="10"/>
  <c r="Q88" i="10" s="1"/>
  <c r="O87" i="10"/>
  <c r="O86" i="10"/>
  <c r="O83" i="10"/>
  <c r="Q83" i="10" s="1"/>
  <c r="R225" i="10"/>
  <c r="S225" i="10"/>
  <c r="Q225" i="10"/>
  <c r="AL225" i="10" s="1"/>
  <c r="AK225" i="10" s="1"/>
  <c r="R169" i="10"/>
  <c r="S169" i="10"/>
  <c r="Q169" i="10"/>
  <c r="O175" i="10"/>
  <c r="Q175" i="10" s="1"/>
  <c r="R136" i="10"/>
  <c r="S136" i="10"/>
  <c r="AA58" i="10"/>
  <c r="AA33" i="10"/>
  <c r="S33" i="10"/>
  <c r="R33" i="10"/>
  <c r="O81" i="10"/>
  <c r="AA163" i="10"/>
  <c r="R257" i="10"/>
  <c r="S257" i="10"/>
  <c r="Q257" i="10"/>
  <c r="S252" i="10"/>
  <c r="R252" i="10"/>
  <c r="Q252" i="10"/>
  <c r="R259" i="10"/>
  <c r="S259" i="10"/>
  <c r="Q259" i="10"/>
  <c r="R264" i="10"/>
  <c r="S264" i="10"/>
  <c r="R262" i="10"/>
  <c r="S262" i="10"/>
  <c r="R261" i="10"/>
  <c r="S261" i="10"/>
  <c r="R260" i="10"/>
  <c r="S260" i="10"/>
  <c r="R258" i="10"/>
  <c r="S258" i="10"/>
  <c r="R256" i="10"/>
  <c r="S256" i="10"/>
  <c r="R255" i="10"/>
  <c r="S255" i="10"/>
  <c r="R254" i="10"/>
  <c r="S254" i="10"/>
  <c r="R253" i="10"/>
  <c r="S253" i="10"/>
  <c r="Q264" i="10"/>
  <c r="Q262" i="10"/>
  <c r="Q261" i="10"/>
  <c r="Q260" i="10"/>
  <c r="Q258" i="10"/>
  <c r="Q256" i="10"/>
  <c r="Q255" i="10"/>
  <c r="Q254" i="10"/>
  <c r="Q253" i="10"/>
  <c r="O266" i="10"/>
  <c r="O265" i="10"/>
  <c r="O264" i="10"/>
  <c r="O263" i="10"/>
  <c r="O262" i="10"/>
  <c r="O261" i="10"/>
  <c r="O260" i="10"/>
  <c r="O259" i="10"/>
  <c r="O258" i="10"/>
  <c r="O257" i="10"/>
  <c r="O256" i="10"/>
  <c r="O255" i="10"/>
  <c r="O254" i="10"/>
  <c r="O253" i="10"/>
  <c r="O252" i="10"/>
  <c r="AA270" i="10"/>
  <c r="AA269" i="10"/>
  <c r="AA268" i="10"/>
  <c r="AA267" i="10"/>
  <c r="AA265" i="10"/>
  <c r="AG265" i="10" s="1"/>
  <c r="AA264" i="10"/>
  <c r="AB264" i="10" s="1"/>
  <c r="AA263" i="10"/>
  <c r="AA262" i="10"/>
  <c r="AB262" i="10" s="1"/>
  <c r="AA261" i="10"/>
  <c r="AA260" i="10"/>
  <c r="AA259" i="10"/>
  <c r="AA257" i="10"/>
  <c r="AB257" i="10" s="1"/>
  <c r="AA255" i="10"/>
  <c r="AC255" i="10" s="1"/>
  <c r="AA254" i="10"/>
  <c r="AG254" i="10" s="1"/>
  <c r="AA253" i="10"/>
  <c r="AA252" i="10"/>
  <c r="AA218" i="10"/>
  <c r="AA219" i="10"/>
  <c r="AF219" i="10" s="1"/>
  <c r="AA216" i="10"/>
  <c r="AA217" i="10"/>
  <c r="AA214" i="10"/>
  <c r="S215" i="10"/>
  <c r="R215" i="10"/>
  <c r="Q215" i="10"/>
  <c r="S213" i="10"/>
  <c r="R213" i="10"/>
  <c r="Q213" i="10"/>
  <c r="S212" i="10"/>
  <c r="R212" i="10"/>
  <c r="Q212" i="10"/>
  <c r="O215" i="10"/>
  <c r="O214" i="10"/>
  <c r="O213" i="10"/>
  <c r="O212" i="10"/>
  <c r="AA184" i="10"/>
  <c r="AA183" i="10"/>
  <c r="AA182" i="10"/>
  <c r="AA181" i="10"/>
  <c r="AA179" i="10"/>
  <c r="AA178" i="10"/>
  <c r="AA177" i="10"/>
  <c r="S181" i="10"/>
  <c r="R181" i="10"/>
  <c r="Q181" i="10"/>
  <c r="S178" i="10"/>
  <c r="R178" i="10"/>
  <c r="Q178" i="10"/>
  <c r="R176" i="10"/>
  <c r="S176" i="10"/>
  <c r="Q176" i="10"/>
  <c r="O181" i="10"/>
  <c r="O179" i="10"/>
  <c r="O178" i="10"/>
  <c r="O177" i="10"/>
  <c r="O176" i="10"/>
  <c r="AA113" i="10"/>
  <c r="AA112" i="10"/>
  <c r="AA111" i="10"/>
  <c r="AG111" i="10" s="1"/>
  <c r="AA110" i="10"/>
  <c r="AA109" i="10"/>
  <c r="AA108" i="10"/>
  <c r="AA107" i="10"/>
  <c r="AD107" i="10" s="1"/>
  <c r="AA106" i="10"/>
  <c r="AD106" i="10" s="1"/>
  <c r="AA105" i="10"/>
  <c r="AG105" i="10" s="1"/>
  <c r="AA104" i="10"/>
  <c r="AA103" i="10"/>
  <c r="AF103" i="10" s="1"/>
  <c r="AA102" i="10"/>
  <c r="AA101" i="10"/>
  <c r="AF101" i="10" s="1"/>
  <c r="AA100" i="10"/>
  <c r="AA99" i="10"/>
  <c r="AA98" i="10"/>
  <c r="AA97" i="10"/>
  <c r="AA96" i="10"/>
  <c r="AA95" i="10"/>
  <c r="AB95" i="10" s="1"/>
  <c r="AA94" i="10"/>
  <c r="AA93" i="10"/>
  <c r="S102" i="10"/>
  <c r="R102" i="10"/>
  <c r="S101" i="10"/>
  <c r="R101" i="10"/>
  <c r="Q102" i="10"/>
  <c r="AK102" i="10" s="1"/>
  <c r="S104" i="10"/>
  <c r="R104" i="10"/>
  <c r="Q104" i="10"/>
  <c r="S105" i="10"/>
  <c r="R105" i="10"/>
  <c r="S106" i="10"/>
  <c r="R106" i="10"/>
  <c r="S107" i="10"/>
  <c r="R107" i="10"/>
  <c r="S108" i="10"/>
  <c r="R108" i="10"/>
  <c r="S109" i="10"/>
  <c r="R109" i="10"/>
  <c r="Q109" i="10"/>
  <c r="Q108" i="10"/>
  <c r="Q107" i="10"/>
  <c r="AM107" i="10" s="1"/>
  <c r="Q106" i="10"/>
  <c r="Q105" i="10"/>
  <c r="Q101" i="10"/>
  <c r="S99" i="10"/>
  <c r="Q99" i="10"/>
  <c r="R99" i="10"/>
  <c r="AA114" i="10"/>
  <c r="O109" i="10"/>
  <c r="O108" i="10"/>
  <c r="O107" i="10"/>
  <c r="O106" i="10"/>
  <c r="O105" i="10"/>
  <c r="O104" i="10"/>
  <c r="O102" i="10"/>
  <c r="O101" i="10"/>
  <c r="O100" i="10"/>
  <c r="O99" i="10"/>
  <c r="O97" i="10"/>
  <c r="O96" i="10"/>
  <c r="O94" i="10"/>
  <c r="O93" i="10"/>
  <c r="AK106" i="10" l="1"/>
  <c r="AL136" i="10"/>
  <c r="AK136" i="10" s="1"/>
  <c r="AM255" i="10"/>
  <c r="AL33" i="10"/>
  <c r="AK33" i="10" s="1"/>
  <c r="AK212" i="10"/>
  <c r="AK259" i="10"/>
  <c r="AK261" i="10"/>
  <c r="AL242" i="10"/>
  <c r="AM242" i="10" s="1"/>
  <c r="AK101" i="10"/>
  <c r="AK260" i="10"/>
  <c r="AK99" i="10"/>
  <c r="AK105" i="10"/>
  <c r="AL58" i="10"/>
  <c r="AK58" i="10" s="1"/>
  <c r="AM176" i="10"/>
  <c r="AK262" i="10"/>
  <c r="AK254" i="10"/>
  <c r="AM264" i="10"/>
  <c r="AK104" i="10"/>
  <c r="AK257" i="10"/>
  <c r="AL169" i="10"/>
  <c r="AK169" i="10" s="1"/>
  <c r="AK255" i="10"/>
  <c r="AM178" i="10"/>
  <c r="AK107" i="10"/>
  <c r="AK264" i="10"/>
  <c r="AM254" i="10"/>
  <c r="P175" i="10"/>
  <c r="AM257" i="10"/>
  <c r="S175" i="10"/>
  <c r="AM259" i="10"/>
  <c r="R175" i="10"/>
  <c r="AK176" i="10"/>
  <c r="AM99" i="10"/>
  <c r="AM260" i="10"/>
  <c r="AM261" i="10"/>
  <c r="AK178" i="10"/>
  <c r="AM101" i="10"/>
  <c r="AM262" i="10"/>
  <c r="AM102" i="10"/>
  <c r="AM104" i="10"/>
  <c r="AM105" i="10"/>
  <c r="AM106" i="10"/>
  <c r="AM212" i="10"/>
  <c r="P161" i="10"/>
  <c r="S161" i="10"/>
  <c r="R161" i="10"/>
  <c r="P88" i="10"/>
  <c r="R36" i="10"/>
  <c r="S88" i="10"/>
  <c r="S36" i="10"/>
  <c r="R88" i="10"/>
  <c r="P48" i="10"/>
  <c r="Q48" i="10"/>
  <c r="R48" i="10"/>
  <c r="P239" i="10"/>
  <c r="S239" i="10"/>
  <c r="AD233" i="10"/>
  <c r="P83" i="10"/>
  <c r="AE233" i="10"/>
  <c r="S83" i="10"/>
  <c r="P36" i="10"/>
  <c r="AF233" i="10"/>
  <c r="R83" i="10"/>
  <c r="AG233" i="10"/>
  <c r="P208" i="10"/>
  <c r="S208" i="10"/>
  <c r="R208" i="10"/>
  <c r="AB233" i="10"/>
  <c r="Q43" i="10"/>
  <c r="R239" i="10"/>
  <c r="AB131" i="10"/>
  <c r="AC131" i="10"/>
  <c r="AD131" i="10"/>
  <c r="AF131" i="10"/>
  <c r="Q163" i="10"/>
  <c r="AD254" i="10"/>
  <c r="AE254" i="10"/>
  <c r="AB255" i="10"/>
  <c r="S163" i="10"/>
  <c r="AC262" i="10"/>
  <c r="AD262" i="10"/>
  <c r="AE262" i="10"/>
  <c r="AF262" i="10"/>
  <c r="AG262" i="10"/>
  <c r="AF265" i="10"/>
  <c r="AC264" i="10"/>
  <c r="AE255" i="10"/>
  <c r="AE264" i="10"/>
  <c r="AD264" i="10"/>
  <c r="AF255" i="10"/>
  <c r="AF264" i="10"/>
  <c r="AG255" i="10"/>
  <c r="AG264" i="10"/>
  <c r="AD255" i="10"/>
  <c r="AB254" i="10"/>
  <c r="AB265" i="10"/>
  <c r="AC254" i="10"/>
  <c r="AC265" i="10"/>
  <c r="AD265" i="10"/>
  <c r="AE265" i="10"/>
  <c r="AF254" i="10"/>
  <c r="AB219" i="10"/>
  <c r="AC219" i="10"/>
  <c r="AD219" i="10"/>
  <c r="AE219" i="10"/>
  <c r="AG103" i="10"/>
  <c r="AB106" i="10"/>
  <c r="AB105" i="10"/>
  <c r="AB111" i="10"/>
  <c r="AC105" i="10"/>
  <c r="AD105" i="10"/>
  <c r="AB101" i="10"/>
  <c r="AE106" i="10"/>
  <c r="AE101" i="10"/>
  <c r="AF106" i="10"/>
  <c r="AF107" i="10"/>
  <c r="AC107" i="10"/>
  <c r="AG107" i="10"/>
  <c r="AB103" i="10"/>
  <c r="AE105" i="10"/>
  <c r="AC111" i="10"/>
  <c r="AE107" i="10"/>
  <c r="AC103" i="10"/>
  <c r="AF105" i="10"/>
  <c r="AD111" i="10"/>
  <c r="AB107" i="10"/>
  <c r="AD103" i="10"/>
  <c r="AE111" i="10"/>
  <c r="AG101" i="10"/>
  <c r="AE103" i="10"/>
  <c r="AC106" i="10"/>
  <c r="AF111" i="10"/>
  <c r="AD101" i="10"/>
  <c r="AC114" i="10"/>
  <c r="AB114" i="10"/>
  <c r="AD114" i="10"/>
  <c r="AE114" i="10"/>
  <c r="AF114" i="10"/>
  <c r="AC101" i="10"/>
  <c r="AG95" i="10"/>
  <c r="AF95" i="10"/>
  <c r="AE95" i="10"/>
  <c r="AD95" i="10"/>
  <c r="AC95" i="10"/>
  <c r="AL175" i="10" l="1"/>
  <c r="AK175" i="10" s="1"/>
  <c r="AK163" i="10"/>
  <c r="AM163" i="10"/>
  <c r="AA81" i="10"/>
  <c r="AD81" i="10" s="1"/>
  <c r="S81" i="10"/>
  <c r="S148" i="10"/>
  <c r="AA148" i="10"/>
  <c r="AG148" i="10" s="1"/>
  <c r="AA200" i="10"/>
  <c r="AB200" i="10" s="1"/>
  <c r="AA147" i="10"/>
  <c r="AA38" i="10"/>
  <c r="AB38" i="10" s="1"/>
  <c r="Q38" i="10"/>
  <c r="AF268" i="10"/>
  <c r="AF270" i="10"/>
  <c r="AA249" i="10"/>
  <c r="AG249" i="10" s="1"/>
  <c r="AG263" i="10"/>
  <c r="AA243" i="10"/>
  <c r="R243" i="10"/>
  <c r="AA242" i="10"/>
  <c r="AG242" i="10" s="1"/>
  <c r="AA241" i="10"/>
  <c r="AF241" i="10" s="1"/>
  <c r="AG259" i="10"/>
  <c r="AA240" i="10"/>
  <c r="R240" i="10"/>
  <c r="AF257" i="10"/>
  <c r="AA239" i="10"/>
  <c r="AA238" i="10"/>
  <c r="Q238" i="10"/>
  <c r="AA237" i="10"/>
  <c r="R237" i="10"/>
  <c r="AA236" i="10"/>
  <c r="AG236" i="10" s="1"/>
  <c r="Q236" i="10"/>
  <c r="AA235" i="10"/>
  <c r="AE235" i="10" s="1"/>
  <c r="AA232" i="10"/>
  <c r="AA231" i="10"/>
  <c r="AC231" i="10" s="1"/>
  <c r="AA226" i="10"/>
  <c r="AE226" i="10" s="1"/>
  <c r="S226" i="10"/>
  <c r="AA224" i="10"/>
  <c r="AB224" i="10" s="1"/>
  <c r="AA223" i="10"/>
  <c r="Q223" i="10"/>
  <c r="AA213" i="10"/>
  <c r="AC213" i="10" s="1"/>
  <c r="AA211" i="10"/>
  <c r="AF211" i="10" s="1"/>
  <c r="AA210" i="10"/>
  <c r="Q210" i="10"/>
  <c r="AA209" i="10"/>
  <c r="R209" i="10"/>
  <c r="AA208" i="10"/>
  <c r="AC208" i="10" s="1"/>
  <c r="AA207" i="10"/>
  <c r="AF207" i="10" s="1"/>
  <c r="Q207" i="10"/>
  <c r="Q205" i="10"/>
  <c r="AA204" i="10"/>
  <c r="AF204" i="10" s="1"/>
  <c r="AA203" i="10"/>
  <c r="AF203" i="10" s="1"/>
  <c r="Q203" i="10"/>
  <c r="AA202" i="10"/>
  <c r="AF202" i="10" s="1"/>
  <c r="R202" i="10"/>
  <c r="AA201" i="10"/>
  <c r="AE201" i="10" s="1"/>
  <c r="S201" i="10"/>
  <c r="AA199" i="10"/>
  <c r="AF199" i="10" s="1"/>
  <c r="O199" i="10"/>
  <c r="S199" i="10" s="1"/>
  <c r="AA198" i="10"/>
  <c r="AA185" i="10"/>
  <c r="AG185" i="10" s="1"/>
  <c r="AA195" i="10"/>
  <c r="AE195" i="10" s="1"/>
  <c r="AA175" i="10"/>
  <c r="AA174" i="10"/>
  <c r="AB174" i="10" s="1"/>
  <c r="AA172" i="10"/>
  <c r="AD172" i="10" s="1"/>
  <c r="R172" i="10"/>
  <c r="AA169" i="10"/>
  <c r="AA167" i="10"/>
  <c r="AF167" i="10" s="1"/>
  <c r="AA166" i="10"/>
  <c r="AF166" i="10" s="1"/>
  <c r="Q166" i="10"/>
  <c r="AA165" i="10"/>
  <c r="AF165" i="10" s="1"/>
  <c r="R165" i="10"/>
  <c r="AA164" i="10"/>
  <c r="AF164" i="10" s="1"/>
  <c r="AA162" i="10"/>
  <c r="AF162" i="10" s="1"/>
  <c r="Q162" i="10"/>
  <c r="AA161" i="10"/>
  <c r="AE161" i="10" s="1"/>
  <c r="AA160" i="10"/>
  <c r="AF160" i="10" s="1"/>
  <c r="AA158" i="10"/>
  <c r="Q158" i="10"/>
  <c r="AA157" i="10"/>
  <c r="AF157" i="10" s="1"/>
  <c r="AA156" i="10"/>
  <c r="AB156" i="10" s="1"/>
  <c r="Q156" i="10"/>
  <c r="AA155" i="10"/>
  <c r="Q155" i="10"/>
  <c r="AA154" i="10"/>
  <c r="AG154" i="10" s="1"/>
  <c r="S154" i="10"/>
  <c r="AA152" i="10"/>
  <c r="S152" i="10"/>
  <c r="AA150" i="10"/>
  <c r="AE150" i="10" s="1"/>
  <c r="Q150" i="10"/>
  <c r="AA149" i="10"/>
  <c r="S149" i="10"/>
  <c r="O180" i="10"/>
  <c r="AA128" i="10"/>
  <c r="AE128" i="10" s="1"/>
  <c r="AA127" i="10"/>
  <c r="AE127" i="10" s="1"/>
  <c r="AA141" i="10"/>
  <c r="AE141" i="10" s="1"/>
  <c r="Q141" i="10"/>
  <c r="AA140" i="10"/>
  <c r="S140" i="10"/>
  <c r="AA139" i="10"/>
  <c r="AE139" i="10" s="1"/>
  <c r="S139" i="10"/>
  <c r="R138" i="10"/>
  <c r="AA137" i="10"/>
  <c r="AB137" i="10" s="1"/>
  <c r="S137" i="10"/>
  <c r="AA136" i="10"/>
  <c r="AA130" i="10"/>
  <c r="AB130" i="10" s="1"/>
  <c r="AA125" i="10"/>
  <c r="AE125" i="10" s="1"/>
  <c r="R125" i="10"/>
  <c r="AA124" i="10"/>
  <c r="AG124" i="10" s="1"/>
  <c r="S124" i="10"/>
  <c r="AA129" i="10"/>
  <c r="AE129" i="10" s="1"/>
  <c r="R129" i="10"/>
  <c r="S122" i="10"/>
  <c r="AA121" i="10"/>
  <c r="AB121" i="10" s="1"/>
  <c r="AA120" i="10"/>
  <c r="AE120" i="10" s="1"/>
  <c r="AA119" i="10"/>
  <c r="S119" i="10"/>
  <c r="AA118" i="10"/>
  <c r="AE118" i="10" s="1"/>
  <c r="S118" i="10"/>
  <c r="AA117" i="10"/>
  <c r="AB117" i="10" s="1"/>
  <c r="AA92" i="10"/>
  <c r="AF92" i="10" s="1"/>
  <c r="AA90" i="10"/>
  <c r="AD90" i="10" s="1"/>
  <c r="AF98" i="10"/>
  <c r="AA88" i="10"/>
  <c r="AE88" i="10" s="1"/>
  <c r="AF93" i="10"/>
  <c r="AC94" i="10"/>
  <c r="AA87" i="10"/>
  <c r="AB87" i="10" s="1"/>
  <c r="R87" i="10"/>
  <c r="AA86" i="10"/>
  <c r="AD86" i="10" s="1"/>
  <c r="AA83" i="10"/>
  <c r="AG83" i="10" s="1"/>
  <c r="AE100" i="10"/>
  <c r="Q100" i="10"/>
  <c r="AB99" i="10"/>
  <c r="AA70" i="10"/>
  <c r="AB70" i="10" s="1"/>
  <c r="AA69" i="10"/>
  <c r="AF69" i="10" s="1"/>
  <c r="S69" i="10"/>
  <c r="AA68" i="10"/>
  <c r="AB68" i="10" s="1"/>
  <c r="S68" i="10"/>
  <c r="AA67" i="10"/>
  <c r="AA66" i="10"/>
  <c r="AE66" i="10" s="1"/>
  <c r="AA65" i="10"/>
  <c r="AG65" i="10" s="1"/>
  <c r="S57" i="10"/>
  <c r="AA56" i="10"/>
  <c r="AD56" i="10" s="1"/>
  <c r="S56" i="10"/>
  <c r="AA55" i="10"/>
  <c r="AG55" i="10" s="1"/>
  <c r="S55" i="10"/>
  <c r="AA54" i="10"/>
  <c r="AE54" i="10" s="1"/>
  <c r="S54" i="10"/>
  <c r="AA53" i="10"/>
  <c r="AG53" i="10" s="1"/>
  <c r="AA52" i="10"/>
  <c r="S52" i="10"/>
  <c r="AA51" i="10"/>
  <c r="AG51" i="10" s="1"/>
  <c r="S51" i="10"/>
  <c r="AA50" i="10"/>
  <c r="AC50" i="10" s="1"/>
  <c r="Q50" i="10"/>
  <c r="AA48" i="10"/>
  <c r="AA46" i="10"/>
  <c r="R46" i="10"/>
  <c r="AA45" i="10"/>
  <c r="AB45" i="10" s="1"/>
  <c r="AA43" i="10"/>
  <c r="AA42" i="10"/>
  <c r="AB42" i="10" s="1"/>
  <c r="S42" i="10"/>
  <c r="AA40" i="10"/>
  <c r="AA39" i="10"/>
  <c r="AE39" i="10" s="1"/>
  <c r="Q39" i="10"/>
  <c r="AA37" i="10"/>
  <c r="AB37" i="10" s="1"/>
  <c r="Q37" i="10"/>
  <c r="AA36" i="10"/>
  <c r="AB36" i="10" s="1"/>
  <c r="AA35" i="10"/>
  <c r="AG35" i="10" s="1"/>
  <c r="S35" i="10"/>
  <c r="AA34" i="10"/>
  <c r="Q34" i="10"/>
  <c r="AA32" i="10"/>
  <c r="AE32" i="10" s="1"/>
  <c r="R32" i="10"/>
  <c r="S31" i="10"/>
  <c r="AA30" i="10"/>
  <c r="AB30" i="10" s="1"/>
  <c r="Q30" i="10"/>
  <c r="AA29" i="10"/>
  <c r="AB29" i="10" s="1"/>
  <c r="S29" i="10"/>
  <c r="AA28" i="10"/>
  <c r="AE28" i="10" s="1"/>
  <c r="S28" i="10"/>
  <c r="AA27" i="10"/>
  <c r="AF27" i="10" s="1"/>
  <c r="AA26" i="10"/>
  <c r="AC26" i="10" s="1"/>
  <c r="Q26" i="10"/>
  <c r="AA25" i="10"/>
  <c r="AF25" i="10" s="1"/>
  <c r="Q25" i="10"/>
  <c r="AA24" i="10"/>
  <c r="AB24" i="10" s="1"/>
  <c r="Q24" i="10"/>
  <c r="AA23" i="10"/>
  <c r="AF23" i="10" s="1"/>
  <c r="S23" i="10"/>
  <c r="AA22" i="10"/>
  <c r="Q22" i="10"/>
  <c r="AA21" i="10"/>
  <c r="AE21" i="10" s="1"/>
  <c r="S21" i="10"/>
  <c r="AA20" i="10"/>
  <c r="AD20" i="10" s="1"/>
  <c r="R20" i="10"/>
  <c r="AA19" i="10"/>
  <c r="AF19" i="10" s="1"/>
  <c r="S19" i="10"/>
  <c r="AA17" i="10"/>
  <c r="AG17" i="10" s="1"/>
  <c r="Q17" i="10"/>
  <c r="AA16" i="10"/>
  <c r="S16" i="10"/>
  <c r="AA14" i="10"/>
  <c r="AF14" i="10" s="1"/>
  <c r="S14" i="10"/>
  <c r="AA13" i="10"/>
  <c r="AE13" i="10" s="1"/>
  <c r="R13" i="10"/>
  <c r="AA12" i="10"/>
  <c r="AF12" i="10" s="1"/>
  <c r="Q12" i="10"/>
  <c r="AA11" i="10"/>
  <c r="AD11" i="10" s="1"/>
  <c r="Q11" i="10"/>
  <c r="AA10" i="10"/>
  <c r="S10" i="10"/>
  <c r="AA9" i="10"/>
  <c r="S9" i="10"/>
  <c r="AA8" i="10"/>
  <c r="AF8" i="10" s="1"/>
  <c r="A3" i="10"/>
  <c r="A4" i="10" s="1"/>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S180" i="10" l="1"/>
  <c r="Q180" i="10"/>
  <c r="Q81" i="10"/>
  <c r="P81" i="10"/>
  <c r="R81" i="10"/>
  <c r="AB81" i="10"/>
  <c r="AC81" i="10"/>
  <c r="AE81" i="10"/>
  <c r="AF200" i="10"/>
  <c r="AF81" i="10"/>
  <c r="AG81" i="10"/>
  <c r="AG200" i="10"/>
  <c r="AB148" i="10"/>
  <c r="AC148" i="10"/>
  <c r="AD148" i="10"/>
  <c r="AE148" i="10"/>
  <c r="AF148" i="10"/>
  <c r="AC149" i="10"/>
  <c r="AE200" i="10"/>
  <c r="AC200" i="10"/>
  <c r="Q148" i="10"/>
  <c r="P148" i="10"/>
  <c r="R148" i="10"/>
  <c r="AB149" i="10"/>
  <c r="AD200" i="10"/>
  <c r="S38" i="10"/>
  <c r="R38" i="10"/>
  <c r="AK38" i="10" s="1"/>
  <c r="Q140" i="10"/>
  <c r="AG38" i="10"/>
  <c r="AF38" i="10"/>
  <c r="AE38" i="10"/>
  <c r="AB213" i="10"/>
  <c r="AD38" i="10"/>
  <c r="AC38" i="10"/>
  <c r="AD93" i="10"/>
  <c r="AE45" i="10"/>
  <c r="AF150" i="10"/>
  <c r="AE87" i="10"/>
  <c r="AF124" i="10"/>
  <c r="AB165" i="10"/>
  <c r="AG231" i="10"/>
  <c r="AD130" i="10"/>
  <c r="AE130" i="10"/>
  <c r="AE211" i="10"/>
  <c r="AG157" i="10"/>
  <c r="AF130" i="10"/>
  <c r="AD98" i="10"/>
  <c r="AD67" i="10"/>
  <c r="AF141" i="10"/>
  <c r="R203" i="10"/>
  <c r="AD26" i="10"/>
  <c r="AE67" i="10"/>
  <c r="AC117" i="10"/>
  <c r="Q137" i="10"/>
  <c r="S203" i="10"/>
  <c r="R50" i="10"/>
  <c r="AC53" i="10"/>
  <c r="S100" i="10"/>
  <c r="AB86" i="10"/>
  <c r="AC30" i="10"/>
  <c r="AF86" i="10"/>
  <c r="AE26" i="10"/>
  <c r="S50" i="10"/>
  <c r="AC68" i="10"/>
  <c r="AB94" i="10"/>
  <c r="AG204" i="10"/>
  <c r="AD30" i="10"/>
  <c r="AD50" i="10"/>
  <c r="AE68" i="10"/>
  <c r="AE94" i="10"/>
  <c r="AF127" i="10"/>
  <c r="Q152" i="10"/>
  <c r="AD157" i="10"/>
  <c r="AD160" i="10"/>
  <c r="R201" i="10"/>
  <c r="AF68" i="10"/>
  <c r="AD87" i="10"/>
  <c r="AF94" i="10"/>
  <c r="AF125" i="10"/>
  <c r="AE157" i="10"/>
  <c r="AE160" i="10"/>
  <c r="AD231" i="10"/>
  <c r="AF67" i="10"/>
  <c r="AD211" i="10"/>
  <c r="AC92" i="10"/>
  <c r="R119" i="10"/>
  <c r="R139" i="10"/>
  <c r="AE162" i="10"/>
  <c r="R166" i="10"/>
  <c r="AD201" i="10"/>
  <c r="AC268" i="10"/>
  <c r="AE241" i="10"/>
  <c r="AE55" i="10"/>
  <c r="Q124" i="10"/>
  <c r="AF128" i="10"/>
  <c r="AF155" i="10"/>
  <c r="AG162" i="10"/>
  <c r="S166" i="10"/>
  <c r="S172" i="10"/>
  <c r="AF201" i="10"/>
  <c r="AB226" i="10"/>
  <c r="AD268" i="10"/>
  <c r="S236" i="10"/>
  <c r="R69" i="10"/>
  <c r="R100" i="10"/>
  <c r="AB93" i="10"/>
  <c r="AF119" i="10"/>
  <c r="AG201" i="10"/>
  <c r="R223" i="10"/>
  <c r="S223" i="10"/>
  <c r="S240" i="10"/>
  <c r="AB242" i="10"/>
  <c r="AD263" i="10"/>
  <c r="AE34" i="10"/>
  <c r="AE56" i="10"/>
  <c r="AD117" i="10"/>
  <c r="R137" i="10"/>
  <c r="R140" i="10"/>
  <c r="AB161" i="10"/>
  <c r="R174" i="10"/>
  <c r="S202" i="10"/>
  <c r="R210" i="10"/>
  <c r="AD213" i="10"/>
  <c r="AF242" i="10"/>
  <c r="AB28" i="10"/>
  <c r="Q139" i="10"/>
  <c r="AL139" i="10" s="1"/>
  <c r="AK139" i="10" s="1"/>
  <c r="AF34" i="10"/>
  <c r="AF56" i="10"/>
  <c r="AE117" i="10"/>
  <c r="S174" i="10"/>
  <c r="S210" i="10"/>
  <c r="AE213" i="10"/>
  <c r="AE249" i="10"/>
  <c r="R12" i="10"/>
  <c r="AF213" i="10"/>
  <c r="S238" i="10"/>
  <c r="S243" i="10"/>
  <c r="S12" i="10"/>
  <c r="AD22" i="10"/>
  <c r="AF39" i="10"/>
  <c r="AD53" i="10"/>
  <c r="AF66" i="10"/>
  <c r="AC70" i="10"/>
  <c r="AE98" i="10"/>
  <c r="Q118" i="10"/>
  <c r="AF137" i="10"/>
  <c r="R152" i="10"/>
  <c r="AC156" i="10"/>
  <c r="AD165" i="10"/>
  <c r="AG213" i="10"/>
  <c r="AC224" i="10"/>
  <c r="AB259" i="10"/>
  <c r="AC270" i="10"/>
  <c r="Q119" i="10"/>
  <c r="AC162" i="10"/>
  <c r="AE257" i="10"/>
  <c r="AE22" i="10"/>
  <c r="AB35" i="10"/>
  <c r="AE53" i="10"/>
  <c r="AD70" i="10"/>
  <c r="R118" i="10"/>
  <c r="AD224" i="10"/>
  <c r="AF259" i="10"/>
  <c r="AG270" i="10"/>
  <c r="AB268" i="10"/>
  <c r="Q9" i="10"/>
  <c r="S11" i="10"/>
  <c r="AD35" i="10"/>
  <c r="AE50" i="10"/>
  <c r="AE70" i="10"/>
  <c r="AC87" i="10"/>
  <c r="AD94" i="10"/>
  <c r="S129" i="10"/>
  <c r="Q138" i="10"/>
  <c r="AC141" i="10"/>
  <c r="Q201" i="10"/>
  <c r="AC211" i="10"/>
  <c r="AF231" i="10"/>
  <c r="AC207" i="10"/>
  <c r="AE90" i="10"/>
  <c r="Q226" i="10"/>
  <c r="AF13" i="10"/>
  <c r="AB9" i="10"/>
  <c r="AB17" i="10"/>
  <c r="Q42" i="10"/>
  <c r="AB46" i="10"/>
  <c r="AB83" i="10"/>
  <c r="AF90" i="10"/>
  <c r="AB154" i="10"/>
  <c r="AB185" i="10"/>
  <c r="AB202" i="10"/>
  <c r="AB208" i="10"/>
  <c r="R30" i="10"/>
  <c r="AC139" i="10"/>
  <c r="AG13" i="10"/>
  <c r="AC9" i="10"/>
  <c r="AB12" i="10"/>
  <c r="AC17" i="10"/>
  <c r="AB23" i="10"/>
  <c r="AF26" i="10"/>
  <c r="AE30" i="10"/>
  <c r="AE35" i="10"/>
  <c r="R42" i="10"/>
  <c r="AD46" i="10"/>
  <c r="AF50" i="10"/>
  <c r="AB69" i="10"/>
  <c r="AC83" i="10"/>
  <c r="AG90" i="10"/>
  <c r="AF149" i="10"/>
  <c r="AF154" i="10"/>
  <c r="AC185" i="10"/>
  <c r="AC202" i="10"/>
  <c r="AD208" i="10"/>
  <c r="Q237" i="10"/>
  <c r="AE270" i="10"/>
  <c r="S158" i="10"/>
  <c r="AD9" i="10"/>
  <c r="AC12" i="10"/>
  <c r="Q14" i="10"/>
  <c r="AD17" i="10"/>
  <c r="Q29" i="10"/>
  <c r="AF30" i="10"/>
  <c r="AB39" i="10"/>
  <c r="AE46" i="10"/>
  <c r="AC69" i="10"/>
  <c r="AF70" i="10"/>
  <c r="AD100" i="10"/>
  <c r="AD83" i="10"/>
  <c r="AC86" i="10"/>
  <c r="AF87" i="10"/>
  <c r="AG94" i="10"/>
  <c r="AC88" i="10"/>
  <c r="AB118" i="10"/>
  <c r="AC120" i="10"/>
  <c r="Q122" i="10"/>
  <c r="R124" i="10"/>
  <c r="S138" i="10"/>
  <c r="AB140" i="10"/>
  <c r="AD156" i="10"/>
  <c r="AB164" i="10"/>
  <c r="AB167" i="10"/>
  <c r="AD185" i="10"/>
  <c r="AB201" i="10"/>
  <c r="AD202" i="10"/>
  <c r="AC204" i="10"/>
  <c r="AE208" i="10"/>
  <c r="AB223" i="10"/>
  <c r="S237" i="10"/>
  <c r="AE9" i="10"/>
  <c r="AD12" i="10"/>
  <c r="AE17" i="10"/>
  <c r="R29" i="10"/>
  <c r="AB34" i="10"/>
  <c r="AC39" i="10"/>
  <c r="AD69" i="10"/>
  <c r="AE83" i="10"/>
  <c r="AE86" i="10"/>
  <c r="AC118" i="10"/>
  <c r="AF120" i="10"/>
  <c r="R122" i="10"/>
  <c r="AC130" i="10"/>
  <c r="AF140" i="10"/>
  <c r="AC128" i="10"/>
  <c r="AE156" i="10"/>
  <c r="AD164" i="10"/>
  <c r="AD167" i="10"/>
  <c r="AE185" i="10"/>
  <c r="AC201" i="10"/>
  <c r="AE204" i="10"/>
  <c r="AF208" i="10"/>
  <c r="AF223" i="10"/>
  <c r="AB231" i="10"/>
  <c r="AC257" i="10"/>
  <c r="Q240" i="10"/>
  <c r="AC241" i="10"/>
  <c r="AB8" i="10"/>
  <c r="Q28" i="10"/>
  <c r="AF9" i="10"/>
  <c r="AE12" i="10"/>
  <c r="AE14" i="10"/>
  <c r="AF17" i="10"/>
  <c r="AB22" i="10"/>
  <c r="AC34" i="10"/>
  <c r="AD39" i="10"/>
  <c r="AB55" i="10"/>
  <c r="AE69" i="10"/>
  <c r="AF83" i="10"/>
  <c r="AF156" i="10"/>
  <c r="AE164" i="10"/>
  <c r="AE167" i="10"/>
  <c r="AF185" i="10"/>
  <c r="AG208" i="10"/>
  <c r="R11" i="10"/>
  <c r="AC22" i="10"/>
  <c r="AB27" i="10"/>
  <c r="AD34" i="10"/>
  <c r="S43" i="10"/>
  <c r="AB53" i="10"/>
  <c r="AD55" i="10"/>
  <c r="AG86" i="10"/>
  <c r="Q129" i="10"/>
  <c r="AB124" i="10"/>
  <c r="AC150" i="10"/>
  <c r="AC155" i="10"/>
  <c r="AB160" i="10"/>
  <c r="Q172" i="10"/>
  <c r="AE231" i="10"/>
  <c r="R236" i="10"/>
  <c r="R238" i="10"/>
  <c r="AG257" i="10"/>
  <c r="AG241" i="10"/>
  <c r="AC121" i="10"/>
  <c r="Q165" i="10"/>
  <c r="Q209" i="10"/>
  <c r="AG8" i="10"/>
  <c r="AF16" i="10"/>
  <c r="AE19" i="10"/>
  <c r="AF22" i="10"/>
  <c r="R28" i="10"/>
  <c r="S30" i="10"/>
  <c r="S32" i="10"/>
  <c r="AE36" i="10"/>
  <c r="AB51" i="10"/>
  <c r="AB90" i="10"/>
  <c r="AF117" i="10"/>
  <c r="AD121" i="10"/>
  <c r="AC129" i="10"/>
  <c r="S125" i="10"/>
  <c r="Q149" i="10"/>
  <c r="Q154" i="10"/>
  <c r="S165" i="10"/>
  <c r="AC166" i="10"/>
  <c r="AC195" i="10"/>
  <c r="AE207" i="10"/>
  <c r="S209" i="10"/>
  <c r="AE224" i="10"/>
  <c r="R226" i="10"/>
  <c r="AB236" i="10"/>
  <c r="AG268" i="10"/>
  <c r="R199" i="10"/>
  <c r="AG19" i="10"/>
  <c r="AB26" i="10"/>
  <c r="Q46" i="10"/>
  <c r="AB50" i="10"/>
  <c r="AD51" i="10"/>
  <c r="AF53" i="10"/>
  <c r="AB66" i="10"/>
  <c r="AC90" i="10"/>
  <c r="AG117" i="10"/>
  <c r="AE121" i="10"/>
  <c r="AF129" i="10"/>
  <c r="R149" i="10"/>
  <c r="R154" i="10"/>
  <c r="AB157" i="10"/>
  <c r="AD166" i="10"/>
  <c r="AD195" i="10"/>
  <c r="Q202" i="10"/>
  <c r="AF224" i="10"/>
  <c r="AF236" i="10"/>
  <c r="R37" i="10"/>
  <c r="S46" i="10"/>
  <c r="AE51" i="10"/>
  <c r="AB56" i="10"/>
  <c r="AC66" i="10"/>
  <c r="AC67" i="10"/>
  <c r="Q69" i="10"/>
  <c r="AL69" i="10" s="1"/>
  <c r="AK69" i="10" s="1"/>
  <c r="AB119" i="10"/>
  <c r="AF121" i="10"/>
  <c r="AC125" i="10"/>
  <c r="AE166" i="10"/>
  <c r="R54" i="10"/>
  <c r="Q54" i="10"/>
  <c r="R57" i="10"/>
  <c r="Q57" i="10"/>
  <c r="R27" i="10"/>
  <c r="Q27" i="10"/>
  <c r="S27" i="10"/>
  <c r="R39" i="10"/>
  <c r="AD10" i="10"/>
  <c r="AB11" i="10"/>
  <c r="Q13" i="10"/>
  <c r="Q20" i="10"/>
  <c r="Q21" i="10"/>
  <c r="R22" i="10"/>
  <c r="S24" i="10"/>
  <c r="S25" i="10"/>
  <c r="AG28" i="10"/>
  <c r="AF28" i="10"/>
  <c r="AC28" i="10"/>
  <c r="AD32" i="10"/>
  <c r="S39" i="10"/>
  <c r="AF43" i="10"/>
  <c r="AB54" i="10"/>
  <c r="R67" i="10"/>
  <c r="S67" i="10"/>
  <c r="Q67" i="10"/>
  <c r="AF99" i="10"/>
  <c r="R23" i="10"/>
  <c r="Q23" i="10"/>
  <c r="AF40" i="10"/>
  <c r="AC40" i="10"/>
  <c r="S86" i="10"/>
  <c r="R86" i="10"/>
  <c r="AD29" i="10"/>
  <c r="AC29" i="10"/>
  <c r="AF42" i="10"/>
  <c r="AC42" i="10"/>
  <c r="AG96" i="10"/>
  <c r="AF96" i="10"/>
  <c r="AE96" i="10"/>
  <c r="AD96" i="10"/>
  <c r="AC96" i="10"/>
  <c r="AB96" i="10"/>
  <c r="S141" i="10"/>
  <c r="R141" i="10"/>
  <c r="AC11" i="10"/>
  <c r="R21" i="10"/>
  <c r="AE29" i="10"/>
  <c r="AD42" i="10"/>
  <c r="AD48" i="10"/>
  <c r="AC48" i="10"/>
  <c r="R9" i="10"/>
  <c r="AF10" i="10"/>
  <c r="AE11" i="10"/>
  <c r="R14" i="10"/>
  <c r="Q16" i="10"/>
  <c r="R17" i="10"/>
  <c r="S20" i="10"/>
  <c r="AF24" i="10"/>
  <c r="AC24" i="10"/>
  <c r="AB25" i="10"/>
  <c r="AC27" i="10"/>
  <c r="AD28" i="10"/>
  <c r="AF29" i="10"/>
  <c r="S37" i="10"/>
  <c r="AB40" i="10"/>
  <c r="AE42" i="10"/>
  <c r="AB48" i="10"/>
  <c r="R52" i="10"/>
  <c r="Q52" i="10"/>
  <c r="R56" i="10"/>
  <c r="Q56" i="10"/>
  <c r="Q86" i="10"/>
  <c r="AG32" i="10"/>
  <c r="AF32" i="10"/>
  <c r="AC32" i="10"/>
  <c r="AC10" i="10"/>
  <c r="R25" i="10"/>
  <c r="S13" i="10"/>
  <c r="AD43" i="10"/>
  <c r="AC43" i="10"/>
  <c r="R40" i="10"/>
  <c r="Q40" i="10"/>
  <c r="AF54" i="10"/>
  <c r="AD54" i="10"/>
  <c r="AC54" i="10"/>
  <c r="AG97" i="10"/>
  <c r="AF97" i="10"/>
  <c r="AD97" i="10"/>
  <c r="AE97" i="10"/>
  <c r="AC97" i="10"/>
  <c r="AB97" i="10"/>
  <c r="AC8" i="10"/>
  <c r="AD24" i="10"/>
  <c r="R45" i="10"/>
  <c r="Q45" i="10"/>
  <c r="AF48" i="10"/>
  <c r="Q51" i="10"/>
  <c r="AD52" i="10"/>
  <c r="AC52" i="10"/>
  <c r="Q55" i="10"/>
  <c r="AC65" i="10"/>
  <c r="AB65" i="10"/>
  <c r="R26" i="10"/>
  <c r="AB43" i="10"/>
  <c r="R53" i="10"/>
  <c r="Q53" i="10"/>
  <c r="AG99" i="10"/>
  <c r="AE99" i="10"/>
  <c r="AD99" i="10"/>
  <c r="AC99" i="10"/>
  <c r="R120" i="10"/>
  <c r="S120" i="10"/>
  <c r="Q211" i="10"/>
  <c r="S211" i="10"/>
  <c r="S26" i="10"/>
  <c r="AB32" i="10"/>
  <c r="AE43" i="10"/>
  <c r="S53" i="10"/>
  <c r="AG29" i="10"/>
  <c r="AD37" i="10"/>
  <c r="AC37" i="10"/>
  <c r="AE27" i="10"/>
  <c r="AC14" i="10"/>
  <c r="AB19" i="10"/>
  <c r="AE24" i="10"/>
  <c r="AG27" i="10"/>
  <c r="R34" i="10"/>
  <c r="S45" i="10"/>
  <c r="R51" i="10"/>
  <c r="R55" i="10"/>
  <c r="AD65" i="10"/>
  <c r="AC209" i="10"/>
  <c r="AF209" i="10"/>
  <c r="AE209" i="10"/>
  <c r="AD209" i="10"/>
  <c r="AB209" i="10"/>
  <c r="AB10" i="10"/>
  <c r="R24" i="10"/>
  <c r="AM24" i="10" s="1"/>
  <c r="S40" i="10"/>
  <c r="R211" i="10"/>
  <c r="R19" i="10"/>
  <c r="Q19" i="10"/>
  <c r="AD25" i="10"/>
  <c r="AC25" i="10"/>
  <c r="AF11" i="10"/>
  <c r="R16" i="10"/>
  <c r="AD21" i="10"/>
  <c r="AC21" i="10"/>
  <c r="AE25" i="10"/>
  <c r="AD27" i="10"/>
  <c r="AE48" i="10"/>
  <c r="AC23" i="10"/>
  <c r="AE40" i="10"/>
  <c r="AD8" i="10"/>
  <c r="Q10" i="10"/>
  <c r="AD16" i="10"/>
  <c r="AC16" i="10"/>
  <c r="AB20" i="10"/>
  <c r="AD23" i="10"/>
  <c r="AE37" i="10"/>
  <c r="R44" i="10"/>
  <c r="AB52" i="10"/>
  <c r="R10" i="10"/>
  <c r="AD13" i="10"/>
  <c r="AB16" i="10"/>
  <c r="AC19" i="10"/>
  <c r="AF21" i="10"/>
  <c r="AE23" i="10"/>
  <c r="Q32" i="10"/>
  <c r="S34" i="10"/>
  <c r="AF37" i="10"/>
  <c r="S44" i="10"/>
  <c r="AE52" i="10"/>
  <c r="AE65" i="10"/>
  <c r="Q204" i="10"/>
  <c r="S204" i="10"/>
  <c r="R204" i="10"/>
  <c r="Q120" i="10"/>
  <c r="AE10" i="10"/>
  <c r="S22" i="10"/>
  <c r="S17" i="10"/>
  <c r="AD40" i="10"/>
  <c r="AB13" i="10"/>
  <c r="AF20" i="10"/>
  <c r="AC20" i="10"/>
  <c r="AB21" i="10"/>
  <c r="R35" i="10"/>
  <c r="Q35" i="10"/>
  <c r="AC13" i="10"/>
  <c r="AF36" i="10"/>
  <c r="AC36" i="10"/>
  <c r="AG40" i="10"/>
  <c r="AE8" i="10"/>
  <c r="AB14" i="10"/>
  <c r="AD14" i="10"/>
  <c r="AE16" i="10"/>
  <c r="AD19" i="10"/>
  <c r="AE20" i="10"/>
  <c r="AG21" i="10"/>
  <c r="R31" i="10"/>
  <c r="Q31" i="10"/>
  <c r="AF35" i="10"/>
  <c r="AC35" i="10"/>
  <c r="AD36" i="10"/>
  <c r="R43" i="10"/>
  <c r="AF45" i="10"/>
  <c r="AD45" i="10"/>
  <c r="AC45" i="10"/>
  <c r="AF52" i="10"/>
  <c r="AF65" i="10"/>
  <c r="R68" i="10"/>
  <c r="Q68" i="10"/>
  <c r="AL68" i="10" s="1"/>
  <c r="AM68" i="10" s="1"/>
  <c r="AF152" i="10"/>
  <c r="AE152" i="10"/>
  <c r="AD152" i="10"/>
  <c r="AE158" i="10"/>
  <c r="AD158" i="10"/>
  <c r="AF158" i="10"/>
  <c r="AC158" i="10"/>
  <c r="AD237" i="10"/>
  <c r="AC237" i="10"/>
  <c r="AB237" i="10"/>
  <c r="AG237" i="10"/>
  <c r="AF237" i="10"/>
  <c r="AB100" i="10"/>
  <c r="Q87" i="10"/>
  <c r="AF88" i="10"/>
  <c r="AD88" i="10"/>
  <c r="AB88" i="10"/>
  <c r="S130" i="10"/>
  <c r="R130" i="10"/>
  <c r="Q130" i="10"/>
  <c r="AB152" i="10"/>
  <c r="S155" i="10"/>
  <c r="R155" i="10"/>
  <c r="AB158" i="10"/>
  <c r="AE237" i="10"/>
  <c r="AC100" i="10"/>
  <c r="S87" i="10"/>
  <c r="AG93" i="10"/>
  <c r="AE93" i="10"/>
  <c r="AC152" i="10"/>
  <c r="AC46" i="10"/>
  <c r="AC51" i="10"/>
  <c r="AC55" i="10"/>
  <c r="AF100" i="10"/>
  <c r="AC93" i="10"/>
  <c r="AE92" i="10"/>
  <c r="AD92" i="10"/>
  <c r="AB92" i="10"/>
  <c r="AG100" i="10"/>
  <c r="Q125" i="10"/>
  <c r="S150" i="10"/>
  <c r="R150" i="10"/>
  <c r="AF46" i="10"/>
  <c r="AF51" i="10"/>
  <c r="AF55" i="10"/>
  <c r="AC56" i="10"/>
  <c r="AD66" i="10"/>
  <c r="AB98" i="10"/>
  <c r="S121" i="10"/>
  <c r="R121" i="10"/>
  <c r="Q121" i="10"/>
  <c r="AF139" i="10"/>
  <c r="AD139" i="10"/>
  <c r="AB67" i="10"/>
  <c r="AD68" i="10"/>
  <c r="AC98" i="10"/>
  <c r="AG118" i="10"/>
  <c r="AF118" i="10"/>
  <c r="AD118" i="10"/>
  <c r="AB139" i="10"/>
  <c r="AC127" i="10"/>
  <c r="AB127" i="10"/>
  <c r="AD127" i="10"/>
  <c r="S205" i="10"/>
  <c r="R205" i="10"/>
  <c r="S234" i="10"/>
  <c r="S157" i="10"/>
  <c r="R157" i="10"/>
  <c r="AF198" i="10"/>
  <c r="AE198" i="10"/>
  <c r="AC198" i="10"/>
  <c r="AB198" i="10"/>
  <c r="AG269" i="10"/>
  <c r="AF269" i="10"/>
  <c r="AE269" i="10"/>
  <c r="AD269" i="10"/>
  <c r="AC269" i="10"/>
  <c r="AB269" i="10"/>
  <c r="R156" i="10"/>
  <c r="Q157" i="10"/>
  <c r="AE174" i="10"/>
  <c r="AD174" i="10"/>
  <c r="AD198" i="10"/>
  <c r="R207" i="10"/>
  <c r="S156" i="10"/>
  <c r="S160" i="10"/>
  <c r="R160" i="10"/>
  <c r="S171" i="10"/>
  <c r="R171" i="10"/>
  <c r="S207" i="10"/>
  <c r="AD232" i="10"/>
  <c r="AC232" i="10"/>
  <c r="AG232" i="10"/>
  <c r="AF232" i="10"/>
  <c r="AD239" i="10"/>
  <c r="AC239" i="10"/>
  <c r="AB239" i="10"/>
  <c r="AG239" i="10"/>
  <c r="AF239" i="10"/>
  <c r="AC119" i="10"/>
  <c r="AC124" i="10"/>
  <c r="AC137" i="10"/>
  <c r="AC140" i="10"/>
  <c r="AC154" i="10"/>
  <c r="Q160" i="10"/>
  <c r="AC161" i="10"/>
  <c r="Q171" i="10"/>
  <c r="AC174" i="10"/>
  <c r="AB232" i="10"/>
  <c r="AE239" i="10"/>
  <c r="AD119" i="10"/>
  <c r="AD124" i="10"/>
  <c r="AD137" i="10"/>
  <c r="AD140" i="10"/>
  <c r="R180" i="10"/>
  <c r="AD149" i="10"/>
  <c r="AD154" i="10"/>
  <c r="S164" i="10"/>
  <c r="R164" i="10"/>
  <c r="AC172" i="10"/>
  <c r="AG172" i="10"/>
  <c r="AF174" i="10"/>
  <c r="AE232" i="10"/>
  <c r="AD240" i="10"/>
  <c r="AC240" i="10"/>
  <c r="AB240" i="10"/>
  <c r="AG240" i="10"/>
  <c r="AF240" i="10"/>
  <c r="AE119" i="10"/>
  <c r="AB120" i="10"/>
  <c r="AB129" i="10"/>
  <c r="AE124" i="10"/>
  <c r="AB125" i="10"/>
  <c r="AE137" i="10"/>
  <c r="AE140" i="10"/>
  <c r="AB141" i="10"/>
  <c r="AB128" i="10"/>
  <c r="AE149" i="10"/>
  <c r="AB150" i="10"/>
  <c r="AE154" i="10"/>
  <c r="AB155" i="10"/>
  <c r="AD161" i="10"/>
  <c r="Q164" i="10"/>
  <c r="AC165" i="10"/>
  <c r="AB172" i="10"/>
  <c r="Q199" i="10"/>
  <c r="AD226" i="10"/>
  <c r="AC226" i="10"/>
  <c r="AF226" i="10"/>
  <c r="AE240" i="10"/>
  <c r="AE203" i="10"/>
  <c r="AD203" i="10"/>
  <c r="AG210" i="10"/>
  <c r="AE210" i="10"/>
  <c r="AD210" i="10"/>
  <c r="AC210" i="10"/>
  <c r="AD120" i="10"/>
  <c r="AD129" i="10"/>
  <c r="AD125" i="10"/>
  <c r="AD141" i="10"/>
  <c r="AD128" i="10"/>
  <c r="AD150" i="10"/>
  <c r="AD155" i="10"/>
  <c r="AF161" i="10"/>
  <c r="R162" i="10"/>
  <c r="S167" i="10"/>
  <c r="R167" i="10"/>
  <c r="AE172" i="10"/>
  <c r="AD199" i="10"/>
  <c r="AC199" i="10"/>
  <c r="AB199" i="10"/>
  <c r="AB203" i="10"/>
  <c r="AB210" i="10"/>
  <c r="R224" i="10"/>
  <c r="Q224" i="10"/>
  <c r="S266" i="10"/>
  <c r="R266" i="10"/>
  <c r="Q266" i="10"/>
  <c r="AD267" i="10"/>
  <c r="AC267" i="10"/>
  <c r="AB267" i="10"/>
  <c r="AG267" i="10"/>
  <c r="AF267" i="10"/>
  <c r="AE155" i="10"/>
  <c r="R158" i="10"/>
  <c r="AL158" i="10" s="1"/>
  <c r="AK158" i="10" s="1"/>
  <c r="S162" i="10"/>
  <c r="AE165" i="10"/>
  <c r="Q167" i="10"/>
  <c r="AF172" i="10"/>
  <c r="AB195" i="10"/>
  <c r="AG195" i="10"/>
  <c r="AF195" i="10"/>
  <c r="AE199" i="10"/>
  <c r="AC203" i="10"/>
  <c r="AF210" i="10"/>
  <c r="S224" i="10"/>
  <c r="AD235" i="10"/>
  <c r="AC235" i="10"/>
  <c r="AB235" i="10"/>
  <c r="AG235" i="10"/>
  <c r="AF235" i="10"/>
  <c r="AE267" i="10"/>
  <c r="AC223" i="10"/>
  <c r="AC236" i="10"/>
  <c r="AC259" i="10"/>
  <c r="AC242" i="10"/>
  <c r="AE202" i="10"/>
  <c r="AD223" i="10"/>
  <c r="AD236" i="10"/>
  <c r="AD259" i="10"/>
  <c r="AD242" i="10"/>
  <c r="AB263" i="10"/>
  <c r="AE268" i="10"/>
  <c r="AB162" i="10"/>
  <c r="AB166" i="10"/>
  <c r="AB204" i="10"/>
  <c r="AB207" i="10"/>
  <c r="AB211" i="10"/>
  <c r="AE223" i="10"/>
  <c r="AE236" i="10"/>
  <c r="AE259" i="10"/>
  <c r="AB241" i="10"/>
  <c r="AE242" i="10"/>
  <c r="AC263" i="10"/>
  <c r="AB270" i="10"/>
  <c r="AD162" i="10"/>
  <c r="AD204" i="10"/>
  <c r="AD207" i="10"/>
  <c r="AD257" i="10"/>
  <c r="AD241" i="10"/>
  <c r="AE263" i="10"/>
  <c r="AB249" i="10"/>
  <c r="AD270" i="10"/>
  <c r="AF263" i="10"/>
  <c r="AC249" i="10"/>
  <c r="AC157" i="10"/>
  <c r="AC160" i="10"/>
  <c r="AC164" i="10"/>
  <c r="AC167" i="10"/>
  <c r="AD249" i="10"/>
  <c r="AF249" i="10"/>
  <c r="Q243" i="10"/>
  <c r="AL21" i="10" l="1"/>
  <c r="AK21" i="10" s="1"/>
  <c r="AK100" i="10"/>
  <c r="AK156" i="10"/>
  <c r="AL154" i="10"/>
  <c r="AK154" i="10" s="1"/>
  <c r="AL223" i="10"/>
  <c r="AK223" i="10" s="1"/>
  <c r="AL37" i="10"/>
  <c r="AK37" i="10" s="1"/>
  <c r="AL240" i="10"/>
  <c r="AK240" i="10" s="1"/>
  <c r="AL9" i="10"/>
  <c r="AK9" i="10" s="1"/>
  <c r="AL243" i="10"/>
  <c r="AK243" i="10" s="1"/>
  <c r="AK207" i="10"/>
  <c r="AM236" i="10"/>
  <c r="AK236" i="10"/>
  <c r="AL199" i="10"/>
  <c r="AK199" i="10" s="1"/>
  <c r="AL34" i="10"/>
  <c r="AK34" i="10" s="1"/>
  <c r="AM39" i="10"/>
  <c r="AK24" i="10"/>
  <c r="AL174" i="10"/>
  <c r="AK174" i="10" s="1"/>
  <c r="AL19" i="10"/>
  <c r="AK19" i="10" s="1"/>
  <c r="AL40" i="10"/>
  <c r="AK40" i="10" s="1"/>
  <c r="AL13" i="10"/>
  <c r="AK13" i="10" s="1"/>
  <c r="AM164" i="10"/>
  <c r="AK164" i="10"/>
  <c r="AL201" i="10"/>
  <c r="AK201" i="10" s="1"/>
  <c r="AK125" i="10"/>
  <c r="AM125" i="10"/>
  <c r="AL119" i="10"/>
  <c r="AK119" i="10" s="1"/>
  <c r="AM207" i="10"/>
  <c r="AM38" i="10"/>
  <c r="AL23" i="10"/>
  <c r="AK23" i="10" s="1"/>
  <c r="AM100" i="10"/>
  <c r="AM156" i="10"/>
  <c r="AL204" i="10"/>
  <c r="AK204" i="10" s="1"/>
  <c r="AK39" i="10"/>
  <c r="AM129" i="10"/>
  <c r="AK129" i="10"/>
  <c r="AM222" i="4"/>
  <c r="AM221" i="4"/>
  <c r="AM220" i="4"/>
  <c r="AM219" i="4"/>
  <c r="AM218" i="4"/>
  <c r="AM217" i="4"/>
  <c r="AL214" i="4"/>
  <c r="AM214" i="4"/>
  <c r="AM201" i="4"/>
  <c r="AM199" i="4"/>
  <c r="AL174" i="4"/>
  <c r="AN180" i="4"/>
  <c r="AL180" i="4"/>
  <c r="AL170" i="4"/>
  <c r="AM170" i="4"/>
  <c r="AL145" i="4"/>
  <c r="AM145" i="4"/>
  <c r="AL46" i="4"/>
  <c r="AN215" i="4"/>
  <c r="AN210" i="4"/>
  <c r="AN209" i="4"/>
  <c r="AN198" i="4"/>
  <c r="AN174" i="4"/>
  <c r="AN119" i="4"/>
  <c r="AN116" i="4"/>
  <c r="AL215" i="4"/>
  <c r="AL212" i="4"/>
  <c r="AL210" i="4"/>
  <c r="AL209" i="4"/>
  <c r="AL198" i="4"/>
  <c r="AL175" i="4"/>
  <c r="AL156" i="4"/>
  <c r="AL153" i="4"/>
  <c r="AL121" i="4"/>
  <c r="AL119" i="4"/>
  <c r="AL116" i="4"/>
  <c r="AL42" i="4"/>
  <c r="AN8" i="4"/>
  <c r="AM8" i="4"/>
  <c r="AN693" i="9"/>
  <c r="AN692" i="9"/>
  <c r="AN691" i="9"/>
  <c r="AN690" i="9"/>
  <c r="AL693" i="9"/>
  <c r="AL692" i="9"/>
  <c r="AL691" i="9"/>
  <c r="AL690" i="9"/>
  <c r="AL540" i="9"/>
  <c r="AL173" i="9"/>
  <c r="AL169" i="9"/>
  <c r="AL168" i="9"/>
  <c r="AM160" i="9"/>
  <c r="AN160" i="9" s="1"/>
  <c r="AL157" i="9"/>
  <c r="AL156" i="9"/>
  <c r="AL147" i="9"/>
  <c r="AL146" i="9"/>
  <c r="AL145" i="9"/>
  <c r="AL144" i="9"/>
  <c r="AL143" i="9"/>
  <c r="AL142" i="9"/>
  <c r="AL141" i="9"/>
  <c r="AL140" i="9"/>
  <c r="AL139" i="9"/>
  <c r="AL129" i="9"/>
  <c r="AL128" i="9"/>
  <c r="AL122" i="9"/>
  <c r="AL121" i="9"/>
  <c r="AL113" i="9"/>
  <c r="AL106" i="9"/>
  <c r="AN96" i="9"/>
  <c r="AL96" i="9"/>
  <c r="AM95" i="9"/>
  <c r="AN95" i="9" s="1"/>
  <c r="AM92" i="9"/>
  <c r="AN90" i="9"/>
  <c r="AL90" i="9"/>
  <c r="AL80" i="9"/>
  <c r="AL79" i="9"/>
  <c r="AN67" i="9"/>
  <c r="AN66" i="9"/>
  <c r="AL67" i="9"/>
  <c r="AL66" i="9"/>
  <c r="AL51" i="9"/>
  <c r="AL34" i="9"/>
  <c r="AN34" i="9"/>
  <c r="AB542" i="9"/>
  <c r="O542" i="9"/>
  <c r="R542" i="9" s="1"/>
  <c r="AB541" i="9"/>
  <c r="AC541" i="9" s="1"/>
  <c r="AB540" i="9"/>
  <c r="AC540" i="9" s="1"/>
  <c r="O540" i="9"/>
  <c r="AB134" i="9"/>
  <c r="AB138" i="9"/>
  <c r="G318" i="9"/>
  <c r="AD541" i="9" l="1"/>
  <c r="AF541" i="9"/>
  <c r="AD540" i="9"/>
  <c r="AE541" i="9"/>
  <c r="AG541" i="9"/>
  <c r="AE540" i="9"/>
  <c r="AF540" i="9"/>
  <c r="Q542" i="9"/>
  <c r="AG540" i="9"/>
  <c r="S542" i="9"/>
  <c r="O66" i="9"/>
  <c r="AB66" i="9"/>
  <c r="AC66" i="9" s="1"/>
  <c r="AB172" i="9"/>
  <c r="AB109" i="9"/>
  <c r="AB108" i="9"/>
  <c r="AB110" i="9"/>
  <c r="AB111" i="9"/>
  <c r="AF111" i="9" s="1"/>
  <c r="AB112" i="9"/>
  <c r="AB113" i="9"/>
  <c r="AB114" i="9"/>
  <c r="AB115" i="9"/>
  <c r="AB116" i="9"/>
  <c r="AB117" i="9"/>
  <c r="AB118" i="9"/>
  <c r="AB119" i="9"/>
  <c r="AC119" i="9" s="1"/>
  <c r="AB120" i="9"/>
  <c r="AB121" i="9"/>
  <c r="AB122" i="9"/>
  <c r="AB123" i="9"/>
  <c r="AD123" i="9" s="1"/>
  <c r="AB124" i="9"/>
  <c r="AB125" i="9"/>
  <c r="AF125" i="9" s="1"/>
  <c r="AB126" i="9"/>
  <c r="AB127" i="9"/>
  <c r="AD127" i="9" s="1"/>
  <c r="AB128" i="9"/>
  <c r="AG128" i="9" s="1"/>
  <c r="AB129" i="9"/>
  <c r="AG129" i="9" s="1"/>
  <c r="AB157" i="9"/>
  <c r="P63" i="9"/>
  <c r="Q63" i="9" s="1"/>
  <c r="P62" i="9"/>
  <c r="S62" i="9" s="1"/>
  <c r="P61" i="9"/>
  <c r="R61" i="9" s="1"/>
  <c r="P52" i="9"/>
  <c r="Q52" i="9" s="1"/>
  <c r="P53" i="9"/>
  <c r="Q53" i="9" s="1"/>
  <c r="P12" i="9"/>
  <c r="P10" i="9"/>
  <c r="Q10" i="9" s="1"/>
  <c r="P8" i="9"/>
  <c r="R8" i="9" s="1"/>
  <c r="P6" i="9"/>
  <c r="S6" i="9" s="1"/>
  <c r="P5" i="9"/>
  <c r="R5" i="9" s="1"/>
  <c r="P4" i="9"/>
  <c r="P3" i="9"/>
  <c r="S3" i="9" s="1"/>
  <c r="P2" i="9"/>
  <c r="Q2" i="9" s="1"/>
  <c r="S153" i="9"/>
  <c r="R153" i="9"/>
  <c r="Q153" i="9"/>
  <c r="P153" i="9"/>
  <c r="O129" i="9"/>
  <c r="O128" i="9"/>
  <c r="O127" i="9"/>
  <c r="Q127" i="9" s="1"/>
  <c r="O126" i="9"/>
  <c r="S126" i="9" s="1"/>
  <c r="O125" i="9"/>
  <c r="O122" i="9"/>
  <c r="O121" i="9"/>
  <c r="O120" i="9"/>
  <c r="O119" i="9"/>
  <c r="O117" i="9"/>
  <c r="O116" i="9"/>
  <c r="O115" i="9"/>
  <c r="O114" i="9"/>
  <c r="O113" i="9"/>
  <c r="O112" i="9"/>
  <c r="O111" i="9"/>
  <c r="S111" i="9" s="1"/>
  <c r="O110" i="9"/>
  <c r="O109" i="9"/>
  <c r="O108" i="9"/>
  <c r="Q108" i="9" s="1"/>
  <c r="AB107" i="9"/>
  <c r="AB106" i="9"/>
  <c r="AB105" i="9"/>
  <c r="AG105" i="9" s="1"/>
  <c r="AB104" i="9"/>
  <c r="AB103" i="9"/>
  <c r="AB102" i="9"/>
  <c r="AE102" i="9" s="1"/>
  <c r="O106" i="9"/>
  <c r="O105" i="9"/>
  <c r="S105" i="9" s="1"/>
  <c r="O104" i="9"/>
  <c r="P104" i="9" s="1"/>
  <c r="AB162" i="9"/>
  <c r="AB161" i="9"/>
  <c r="AD161" i="9" s="1"/>
  <c r="O162" i="9"/>
  <c r="O163" i="9"/>
  <c r="AB170" i="9"/>
  <c r="O170" i="9"/>
  <c r="S170" i="9" s="1"/>
  <c r="AB169" i="9"/>
  <c r="AG169" i="9" s="1"/>
  <c r="O169" i="9"/>
  <c r="AB168" i="9"/>
  <c r="AG168" i="9" s="1"/>
  <c r="O168" i="9"/>
  <c r="O151" i="9"/>
  <c r="AB150" i="9"/>
  <c r="AB149" i="9"/>
  <c r="AG149" i="9" s="1"/>
  <c r="AB148" i="9"/>
  <c r="AB145" i="9"/>
  <c r="O145" i="9"/>
  <c r="AB144" i="9"/>
  <c r="O144" i="9"/>
  <c r="AB142" i="9"/>
  <c r="O142" i="9"/>
  <c r="AB47" i="9"/>
  <c r="AE47" i="9" s="1"/>
  <c r="R225" i="4"/>
  <c r="S225" i="4"/>
  <c r="R226" i="4"/>
  <c r="S226" i="4"/>
  <c r="R227" i="4"/>
  <c r="S227" i="4"/>
  <c r="R228" i="4"/>
  <c r="S228" i="4"/>
  <c r="R229" i="4"/>
  <c r="S229" i="4"/>
  <c r="Q229" i="4"/>
  <c r="Q228" i="4"/>
  <c r="Q227" i="4"/>
  <c r="Q226" i="4"/>
  <c r="Q225" i="4"/>
  <c r="P229" i="4"/>
  <c r="P228" i="4"/>
  <c r="P227" i="4"/>
  <c r="P226" i="4"/>
  <c r="P225" i="4"/>
  <c r="R184" i="4"/>
  <c r="S184" i="4"/>
  <c r="Q184" i="4"/>
  <c r="P184" i="4"/>
  <c r="S173" i="4"/>
  <c r="R173" i="4"/>
  <c r="Q173" i="4"/>
  <c r="P173" i="4"/>
  <c r="S167" i="4"/>
  <c r="R167" i="4"/>
  <c r="Q167" i="4"/>
  <c r="P167" i="4"/>
  <c r="R152" i="4"/>
  <c r="S152" i="4"/>
  <c r="Q152" i="4"/>
  <c r="P152" i="4"/>
  <c r="R45" i="4"/>
  <c r="S45" i="4"/>
  <c r="Q45" i="4"/>
  <c r="P45" i="4"/>
  <c r="Q12" i="4"/>
  <c r="R6" i="4"/>
  <c r="S6" i="4"/>
  <c r="Q6" i="4"/>
  <c r="P6" i="4"/>
  <c r="P7" i="4"/>
  <c r="R5" i="4"/>
  <c r="S5" i="4"/>
  <c r="Q5" i="4"/>
  <c r="P5" i="4"/>
  <c r="O543" i="9"/>
  <c r="O173" i="9"/>
  <c r="O172" i="9"/>
  <c r="S172" i="9" s="1"/>
  <c r="O171" i="9"/>
  <c r="O167" i="9"/>
  <c r="Q167" i="9" s="1"/>
  <c r="O165" i="9"/>
  <c r="S165" i="9" s="1"/>
  <c r="O164" i="9"/>
  <c r="S164" i="9" s="1"/>
  <c r="O88" i="9"/>
  <c r="O87" i="9"/>
  <c r="O86" i="9"/>
  <c r="Q86" i="9" s="1"/>
  <c r="O82" i="9"/>
  <c r="O81" i="9"/>
  <c r="S81" i="9" s="1"/>
  <c r="O80" i="9"/>
  <c r="O79" i="9"/>
  <c r="O78" i="9"/>
  <c r="S78" i="9" s="1"/>
  <c r="O77" i="9"/>
  <c r="O156" i="9"/>
  <c r="P156" i="9" s="1"/>
  <c r="AN156" i="9" s="1"/>
  <c r="O159" i="9"/>
  <c r="Q159" i="9" s="1"/>
  <c r="O157" i="9"/>
  <c r="O215" i="9"/>
  <c r="O212" i="9"/>
  <c r="O204" i="9"/>
  <c r="O147" i="9"/>
  <c r="O141" i="9"/>
  <c r="O146" i="9"/>
  <c r="O143" i="9"/>
  <c r="O140" i="9"/>
  <c r="O139" i="9"/>
  <c r="AB214" i="4"/>
  <c r="AG214" i="4" s="1"/>
  <c r="O214" i="4"/>
  <c r="AB204" i="4"/>
  <c r="AC204" i="4" s="1"/>
  <c r="AB205" i="4"/>
  <c r="AD205" i="4" s="1"/>
  <c r="AB203" i="4"/>
  <c r="O205" i="4"/>
  <c r="P205" i="4" s="1"/>
  <c r="O204" i="4"/>
  <c r="P204" i="4" s="1"/>
  <c r="O67" i="9"/>
  <c r="AB67" i="9"/>
  <c r="AG67" i="9" s="1"/>
  <c r="AB68" i="9"/>
  <c r="AC68" i="9" s="1"/>
  <c r="AB100" i="9"/>
  <c r="AB101" i="9"/>
  <c r="AB69" i="9"/>
  <c r="AD69" i="9" s="1"/>
  <c r="AB70" i="9"/>
  <c r="AB71" i="9"/>
  <c r="AB72" i="9"/>
  <c r="AB73" i="9"/>
  <c r="AG73" i="9" s="1"/>
  <c r="AB74" i="9"/>
  <c r="AB75" i="9"/>
  <c r="AG75" i="9" s="1"/>
  <c r="AB667" i="9"/>
  <c r="AB139" i="9"/>
  <c r="AB140" i="9"/>
  <c r="AB143" i="9"/>
  <c r="AB146" i="9"/>
  <c r="AB141" i="9"/>
  <c r="AB147" i="9"/>
  <c r="AB159" i="9"/>
  <c r="AF159" i="9" s="1"/>
  <c r="AB158" i="9"/>
  <c r="AD158" i="9" s="1"/>
  <c r="AB156" i="9"/>
  <c r="AB76" i="9"/>
  <c r="AB79" i="9"/>
  <c r="AB80" i="9"/>
  <c r="AB83" i="9"/>
  <c r="AG83" i="9" s="1"/>
  <c r="AB84" i="9"/>
  <c r="AG84" i="9" s="1"/>
  <c r="AB85" i="9"/>
  <c r="AC85" i="9" s="1"/>
  <c r="AB86" i="9"/>
  <c r="AG86" i="9" s="1"/>
  <c r="AB87" i="9"/>
  <c r="AC87" i="9" s="1"/>
  <c r="AB88" i="9"/>
  <c r="AB89" i="9"/>
  <c r="AB165" i="9"/>
  <c r="AB166" i="9"/>
  <c r="AB167" i="9"/>
  <c r="AB173" i="9"/>
  <c r="AC173" i="9" s="1"/>
  <c r="AB174" i="9"/>
  <c r="AB543" i="9"/>
  <c r="AB137" i="9"/>
  <c r="AB136" i="9"/>
  <c r="AG136" i="9" s="1"/>
  <c r="AB55" i="9"/>
  <c r="AG55" i="9" s="1"/>
  <c r="AB135" i="9"/>
  <c r="AG135" i="9" s="1"/>
  <c r="O135" i="9"/>
  <c r="O90" i="9"/>
  <c r="O61" i="9"/>
  <c r="AB99" i="9"/>
  <c r="AB98" i="9"/>
  <c r="AG98" i="9" s="1"/>
  <c r="AB54" i="9"/>
  <c r="AG54" i="9" s="1"/>
  <c r="AB97" i="9"/>
  <c r="AB63" i="9"/>
  <c r="AG63" i="9" s="1"/>
  <c r="AB53" i="9"/>
  <c r="AG53" i="9" s="1"/>
  <c r="AB62" i="9"/>
  <c r="AB61" i="9"/>
  <c r="AG61" i="9" s="1"/>
  <c r="AB52" i="9"/>
  <c r="AB96" i="9"/>
  <c r="AG96" i="9" s="1"/>
  <c r="AB51" i="9"/>
  <c r="AG51" i="9" s="1"/>
  <c r="AB95" i="9"/>
  <c r="AB160" i="9"/>
  <c r="AB544" i="9"/>
  <c r="AB60" i="9"/>
  <c r="AB59" i="9"/>
  <c r="AB58" i="9"/>
  <c r="AB57" i="9"/>
  <c r="AB50" i="9"/>
  <c r="AB49" i="9"/>
  <c r="AB48" i="9"/>
  <c r="AB46" i="9"/>
  <c r="AG46" i="9" s="1"/>
  <c r="AB45" i="9"/>
  <c r="AG45" i="9" s="1"/>
  <c r="AB44" i="9"/>
  <c r="AG44" i="9" s="1"/>
  <c r="AB43" i="9"/>
  <c r="AF43" i="9" s="1"/>
  <c r="AB42" i="9"/>
  <c r="AF42" i="9" s="1"/>
  <c r="AB41" i="9"/>
  <c r="AF41" i="9" s="1"/>
  <c r="AB40" i="9"/>
  <c r="AE40" i="9" s="1"/>
  <c r="AB39" i="9"/>
  <c r="AE39" i="9" s="1"/>
  <c r="AB38" i="9"/>
  <c r="AE38" i="9" s="1"/>
  <c r="AB94" i="9"/>
  <c r="AG94" i="9" s="1"/>
  <c r="AB56" i="9"/>
  <c r="AG56" i="9" s="1"/>
  <c r="AB37" i="9"/>
  <c r="AG37" i="9" s="1"/>
  <c r="AB93" i="9"/>
  <c r="AC93" i="9" s="1"/>
  <c r="AB36" i="9"/>
  <c r="AG36" i="9" s="1"/>
  <c r="AB92" i="9"/>
  <c r="AG92" i="9" s="1"/>
  <c r="AB64" i="9"/>
  <c r="AE64" i="9" s="1"/>
  <c r="AB35" i="9"/>
  <c r="AE35" i="9" s="1"/>
  <c r="AB91" i="9"/>
  <c r="AG91" i="9" s="1"/>
  <c r="AB90" i="9"/>
  <c r="AE90" i="9" s="1"/>
  <c r="AB34" i="9"/>
  <c r="AH34" i="9" s="1"/>
  <c r="AB33" i="9"/>
  <c r="AG33" i="9" s="1"/>
  <c r="AB32" i="9"/>
  <c r="AH32" i="9" s="1"/>
  <c r="AB31" i="9"/>
  <c r="AB30" i="9"/>
  <c r="AB29" i="9"/>
  <c r="AB28" i="9"/>
  <c r="AB27" i="9"/>
  <c r="AE27" i="9" s="1"/>
  <c r="AB26" i="9"/>
  <c r="AF26" i="9" s="1"/>
  <c r="AB25" i="9"/>
  <c r="AD25" i="9" s="1"/>
  <c r="AB24" i="9"/>
  <c r="AB23" i="9"/>
  <c r="AE23" i="9" s="1"/>
  <c r="AB22" i="9"/>
  <c r="AG22" i="9" s="1"/>
  <c r="AB21" i="9"/>
  <c r="AF21" i="9" s="1"/>
  <c r="AB20" i="9"/>
  <c r="AD20" i="9" s="1"/>
  <c r="AB19" i="9"/>
  <c r="AF19" i="9" s="1"/>
  <c r="AB18" i="9"/>
  <c r="AF18" i="9" s="1"/>
  <c r="AB17" i="9"/>
  <c r="AE17" i="9" s="1"/>
  <c r="AB16" i="9"/>
  <c r="AC16" i="9" s="1"/>
  <c r="AB15" i="9"/>
  <c r="AC15" i="9" s="1"/>
  <c r="AB14" i="9"/>
  <c r="AC14" i="9" s="1"/>
  <c r="AB13" i="9"/>
  <c r="AE13" i="9" s="1"/>
  <c r="AB12" i="9"/>
  <c r="AE12" i="9" s="1"/>
  <c r="AB11" i="9"/>
  <c r="AG11" i="9" s="1"/>
  <c r="AB10" i="9"/>
  <c r="AB9" i="9"/>
  <c r="AB8" i="9"/>
  <c r="AB7" i="9"/>
  <c r="AG7" i="9" s="1"/>
  <c r="AB6" i="9"/>
  <c r="AB5" i="9"/>
  <c r="AB4" i="9"/>
  <c r="AE4" i="9" s="1"/>
  <c r="AB3" i="9"/>
  <c r="AG3" i="9" s="1"/>
  <c r="AB2" i="9"/>
  <c r="AF2" i="9" s="1"/>
  <c r="O99" i="9"/>
  <c r="O97" i="9"/>
  <c r="O63" i="9"/>
  <c r="O53" i="9"/>
  <c r="O62" i="9"/>
  <c r="O52" i="9"/>
  <c r="O96" i="9"/>
  <c r="O51" i="9"/>
  <c r="O95" i="9"/>
  <c r="O160" i="9"/>
  <c r="O544" i="9"/>
  <c r="O94" i="9"/>
  <c r="O56" i="9"/>
  <c r="O37" i="9"/>
  <c r="O93" i="9"/>
  <c r="O36" i="9"/>
  <c r="O92" i="9"/>
  <c r="AL92" i="9" s="1"/>
  <c r="O64" i="9"/>
  <c r="AL64" i="9" s="1"/>
  <c r="O35" i="9"/>
  <c r="AL35" i="9" s="1"/>
  <c r="O91" i="9"/>
  <c r="O34" i="9"/>
  <c r="O33" i="9"/>
  <c r="O32" i="9"/>
  <c r="O31" i="9"/>
  <c r="P31" i="9" s="1"/>
  <c r="O30" i="9"/>
  <c r="P30" i="9" s="1"/>
  <c r="O29" i="9"/>
  <c r="R29" i="9" s="1"/>
  <c r="O28" i="9"/>
  <c r="S28" i="9" s="1"/>
  <c r="O27" i="9"/>
  <c r="R27" i="9" s="1"/>
  <c r="O25" i="9"/>
  <c r="R25" i="9" s="1"/>
  <c r="O24" i="9"/>
  <c r="Q24" i="9" s="1"/>
  <c r="O23" i="9"/>
  <c r="P23" i="9" s="1"/>
  <c r="O20" i="9"/>
  <c r="P20" i="9" s="1"/>
  <c r="O19" i="9"/>
  <c r="Q19" i="9" s="1"/>
  <c r="O18" i="9"/>
  <c r="P18" i="9" s="1"/>
  <c r="O17" i="9"/>
  <c r="P17" i="9" s="1"/>
  <c r="O16" i="9"/>
  <c r="P16" i="9" s="1"/>
  <c r="O15" i="9"/>
  <c r="Q15" i="9" s="1"/>
  <c r="O14" i="9"/>
  <c r="S14" i="9" s="1"/>
  <c r="O13" i="9"/>
  <c r="O12" i="9"/>
  <c r="O11" i="9"/>
  <c r="O10" i="9"/>
  <c r="O9" i="9"/>
  <c r="AN9" i="9" s="1"/>
  <c r="O8" i="9"/>
  <c r="O7" i="9"/>
  <c r="AN7" i="9" s="1"/>
  <c r="O6" i="9"/>
  <c r="O5" i="9"/>
  <c r="O4" i="9"/>
  <c r="O3" i="9"/>
  <c r="O2" i="9"/>
  <c r="O98" i="9"/>
  <c r="AN542" i="9" l="1"/>
  <c r="AL542" i="9"/>
  <c r="AN32" i="9"/>
  <c r="AM32" i="9"/>
  <c r="AN225" i="4"/>
  <c r="AM225" i="4"/>
  <c r="AN226" i="4"/>
  <c r="AM226" i="4"/>
  <c r="AF204" i="4"/>
  <c r="AN227" i="4"/>
  <c r="AM227" i="4"/>
  <c r="AN228" i="4"/>
  <c r="AL228" i="4"/>
  <c r="AM184" i="4"/>
  <c r="AN184" i="4"/>
  <c r="AN229" i="4"/>
  <c r="AL229" i="4"/>
  <c r="AD204" i="4"/>
  <c r="AN173" i="4"/>
  <c r="AL173" i="4"/>
  <c r="AE204" i="4"/>
  <c r="AN152" i="4"/>
  <c r="AM152" i="4"/>
  <c r="AC214" i="4"/>
  <c r="AD214" i="4"/>
  <c r="AM204" i="4"/>
  <c r="AE214" i="4"/>
  <c r="AM205" i="4"/>
  <c r="AN167" i="4"/>
  <c r="AM167" i="4"/>
  <c r="R12" i="9"/>
  <c r="Q4" i="9"/>
  <c r="P105" i="9"/>
  <c r="P127" i="9"/>
  <c r="AG66" i="9"/>
  <c r="P78" i="9"/>
  <c r="AF105" i="9"/>
  <c r="AE84" i="9"/>
  <c r="AE123" i="9"/>
  <c r="AG123" i="9"/>
  <c r="AH123" i="9"/>
  <c r="Q5" i="9"/>
  <c r="AD168" i="9"/>
  <c r="S108" i="9"/>
  <c r="S10" i="9"/>
  <c r="AC125" i="9"/>
  <c r="R53" i="9"/>
  <c r="AF66" i="9"/>
  <c r="S2" i="9"/>
  <c r="AF123" i="9"/>
  <c r="R108" i="9"/>
  <c r="R10" i="9"/>
  <c r="R62" i="9"/>
  <c r="AD119" i="9"/>
  <c r="AG119" i="9"/>
  <c r="Q6" i="9"/>
  <c r="AF84" i="9"/>
  <c r="P86" i="9"/>
  <c r="P170" i="9"/>
  <c r="R4" i="9"/>
  <c r="S52" i="9"/>
  <c r="AF169" i="9"/>
  <c r="AE66" i="9"/>
  <c r="Q12" i="9"/>
  <c r="S4" i="9"/>
  <c r="Q170" i="9"/>
  <c r="S5" i="9"/>
  <c r="R52" i="9"/>
  <c r="AC111" i="9"/>
  <c r="S12" i="9"/>
  <c r="R170" i="9"/>
  <c r="R6" i="9"/>
  <c r="S53" i="9"/>
  <c r="AD111" i="9"/>
  <c r="R86" i="9"/>
  <c r="AD102" i="9"/>
  <c r="AG111" i="9"/>
  <c r="AE119" i="9"/>
  <c r="S86" i="9"/>
  <c r="S8" i="9"/>
  <c r="AC123" i="9"/>
  <c r="AF119" i="9"/>
  <c r="P164" i="9"/>
  <c r="AH105" i="9"/>
  <c r="AC84" i="9"/>
  <c r="P108" i="9"/>
  <c r="S167" i="9"/>
  <c r="R63" i="9"/>
  <c r="AN63" i="9" s="1"/>
  <c r="AC127" i="9"/>
  <c r="R127" i="9"/>
  <c r="AG158" i="9"/>
  <c r="AE173" i="9"/>
  <c r="AG125" i="9"/>
  <c r="AD66" i="9"/>
  <c r="S127" i="9"/>
  <c r="AC105" i="9"/>
  <c r="AF173" i="9"/>
  <c r="AE127" i="9"/>
  <c r="AD105" i="9"/>
  <c r="AH168" i="9"/>
  <c r="AF127" i="9"/>
  <c r="P81" i="9"/>
  <c r="AE105" i="9"/>
  <c r="AG127" i="9"/>
  <c r="R159" i="9"/>
  <c r="AN159" i="9" s="1"/>
  <c r="R167" i="9"/>
  <c r="R2" i="9"/>
  <c r="S63" i="9"/>
  <c r="AG159" i="9"/>
  <c r="AC83" i="9"/>
  <c r="AD84" i="9"/>
  <c r="AD87" i="9"/>
  <c r="AD173" i="9"/>
  <c r="Q104" i="9"/>
  <c r="Q111" i="9"/>
  <c r="Q78" i="9"/>
  <c r="Q164" i="9"/>
  <c r="Q3" i="9"/>
  <c r="AC158" i="9"/>
  <c r="AG87" i="9"/>
  <c r="AG173" i="9"/>
  <c r="AD128" i="9"/>
  <c r="S159" i="9"/>
  <c r="R104" i="9"/>
  <c r="R111" i="9"/>
  <c r="R78" i="9"/>
  <c r="R164" i="9"/>
  <c r="R3" i="9"/>
  <c r="AC86" i="9"/>
  <c r="AD85" i="9"/>
  <c r="AE128" i="9"/>
  <c r="AE87" i="9"/>
  <c r="P111" i="9"/>
  <c r="S104" i="9"/>
  <c r="Q61" i="9"/>
  <c r="AF158" i="9"/>
  <c r="AC168" i="9"/>
  <c r="AE85" i="9"/>
  <c r="AE168" i="9"/>
  <c r="AC128" i="9"/>
  <c r="AF128" i="9"/>
  <c r="P126" i="9"/>
  <c r="P165" i="9"/>
  <c r="P172" i="9"/>
  <c r="S61" i="9"/>
  <c r="AE158" i="9"/>
  <c r="AC102" i="9"/>
  <c r="AC169" i="9"/>
  <c r="AF85" i="9"/>
  <c r="AF168" i="9"/>
  <c r="AC129" i="9"/>
  <c r="Q105" i="9"/>
  <c r="Q126" i="9"/>
  <c r="Q81" i="9"/>
  <c r="Q165" i="9"/>
  <c r="Q172" i="9"/>
  <c r="AG102" i="9"/>
  <c r="AG85" i="9"/>
  <c r="AE111" i="9"/>
  <c r="AD125" i="9"/>
  <c r="AD129" i="9"/>
  <c r="AF87" i="9"/>
  <c r="R105" i="9"/>
  <c r="R126" i="9"/>
  <c r="R81" i="9"/>
  <c r="R165" i="9"/>
  <c r="R172" i="9"/>
  <c r="Q62" i="9"/>
  <c r="AC159" i="9"/>
  <c r="AF102" i="9"/>
  <c r="AD83" i="9"/>
  <c r="AD86" i="9"/>
  <c r="AD169" i="9"/>
  <c r="AE125" i="9"/>
  <c r="AE129" i="9"/>
  <c r="Q8" i="9"/>
  <c r="AD159" i="9"/>
  <c r="AE83" i="9"/>
  <c r="AE86" i="9"/>
  <c r="AE169" i="9"/>
  <c r="AF129" i="9"/>
  <c r="P159" i="9"/>
  <c r="P167" i="9"/>
  <c r="AE159" i="9"/>
  <c r="AF83" i="9"/>
  <c r="AF86" i="9"/>
  <c r="AC161" i="9"/>
  <c r="AG161" i="9"/>
  <c r="AF161" i="9"/>
  <c r="AE161" i="9"/>
  <c r="AC149" i="9"/>
  <c r="AD149" i="9"/>
  <c r="AE149" i="9"/>
  <c r="AF149" i="9"/>
  <c r="AC47" i="9"/>
  <c r="AF69" i="9"/>
  <c r="AG69" i="9"/>
  <c r="AE69" i="9"/>
  <c r="AC73" i="9"/>
  <c r="AD73" i="9"/>
  <c r="AE73" i="9"/>
  <c r="AD47" i="9"/>
  <c r="AE68" i="9"/>
  <c r="AF73" i="9"/>
  <c r="AF68" i="9"/>
  <c r="AG68" i="9"/>
  <c r="AC75" i="9"/>
  <c r="AD68" i="9"/>
  <c r="AD75" i="9"/>
  <c r="AG47" i="9"/>
  <c r="AC69" i="9"/>
  <c r="AE75" i="9"/>
  <c r="AC67" i="9"/>
  <c r="AF47" i="9"/>
  <c r="AF75" i="9"/>
  <c r="AD67" i="9"/>
  <c r="AE67" i="9"/>
  <c r="S204" i="4"/>
  <c r="AL204" i="4" s="1"/>
  <c r="AE205" i="4"/>
  <c r="S205" i="4"/>
  <c r="AL205" i="4" s="1"/>
  <c r="AF205" i="4"/>
  <c r="AG205" i="4"/>
  <c r="AC55" i="9"/>
  <c r="Q204" i="4"/>
  <c r="AG204" i="4"/>
  <c r="AF214" i="4"/>
  <c r="Q205" i="4"/>
  <c r="R205" i="4"/>
  <c r="AC205" i="4"/>
  <c r="R204" i="4"/>
  <c r="AF67" i="9"/>
  <c r="AH63" i="9"/>
  <c r="AC136" i="9"/>
  <c r="AD55" i="9"/>
  <c r="AD136" i="9"/>
  <c r="AE55" i="9"/>
  <c r="AE136" i="9"/>
  <c r="AF55" i="9"/>
  <c r="AE135" i="9"/>
  <c r="AF136" i="9"/>
  <c r="AD135" i="9"/>
  <c r="AF135" i="9"/>
  <c r="AC135" i="9"/>
  <c r="AE98" i="9"/>
  <c r="AF98" i="9"/>
  <c r="AF90" i="9"/>
  <c r="AH53" i="9"/>
  <c r="AC91" i="9"/>
  <c r="AH90" i="9"/>
  <c r="AD91" i="9"/>
  <c r="AE91" i="9"/>
  <c r="AC98" i="9"/>
  <c r="AF91" i="9"/>
  <c r="AD98" i="9"/>
  <c r="AG90" i="9"/>
  <c r="AC90" i="9"/>
  <c r="AD90" i="9"/>
  <c r="AC54" i="9"/>
  <c r="AD54" i="9"/>
  <c r="AE54" i="9"/>
  <c r="AF54" i="9"/>
  <c r="AG34" i="9"/>
  <c r="AC37" i="9"/>
  <c r="AD21" i="9"/>
  <c r="AE21" i="9"/>
  <c r="AD39" i="9"/>
  <c r="AC53" i="9"/>
  <c r="R20" i="9"/>
  <c r="AC63" i="9"/>
  <c r="AD2" i="9"/>
  <c r="AD53" i="9"/>
  <c r="AD26" i="9"/>
  <c r="AE53" i="9"/>
  <c r="AD63" i="9"/>
  <c r="AE63" i="9"/>
  <c r="AF53" i="9"/>
  <c r="AF63" i="9"/>
  <c r="AD23" i="9"/>
  <c r="AC51" i="9"/>
  <c r="AE2" i="9"/>
  <c r="AE51" i="9"/>
  <c r="AC61" i="9"/>
  <c r="AG21" i="9"/>
  <c r="AD51" i="9"/>
  <c r="AE25" i="9"/>
  <c r="AC45" i="9"/>
  <c r="AD61" i="9"/>
  <c r="AE26" i="9"/>
  <c r="AC44" i="9"/>
  <c r="AE61" i="9"/>
  <c r="AE92" i="9"/>
  <c r="AE14" i="9"/>
  <c r="AF51" i="9"/>
  <c r="AF61" i="9"/>
  <c r="AD92" i="9"/>
  <c r="AE34" i="9"/>
  <c r="AC21" i="9"/>
  <c r="AC96" i="9"/>
  <c r="AD96" i="9"/>
  <c r="AE96" i="9"/>
  <c r="AF96" i="9"/>
  <c r="AD43" i="9"/>
  <c r="R28" i="9"/>
  <c r="AF23" i="9"/>
  <c r="AE41" i="9"/>
  <c r="R30" i="9"/>
  <c r="AG14" i="9"/>
  <c r="AE42" i="9"/>
  <c r="S20" i="9"/>
  <c r="AH11" i="9"/>
  <c r="AE43" i="9"/>
  <c r="S29" i="9"/>
  <c r="AC34" i="9"/>
  <c r="AF44" i="9"/>
  <c r="S30" i="9"/>
  <c r="AD34" i="9"/>
  <c r="AD38" i="9"/>
  <c r="AF46" i="9"/>
  <c r="AC38" i="9"/>
  <c r="AG38" i="9"/>
  <c r="AF38" i="9"/>
  <c r="AC39" i="9"/>
  <c r="AG39" i="9"/>
  <c r="AH12" i="9"/>
  <c r="AD41" i="9"/>
  <c r="AE44" i="9"/>
  <c r="AE45" i="9"/>
  <c r="AD40" i="9"/>
  <c r="AC40" i="9"/>
  <c r="AE46" i="9"/>
  <c r="AG40" i="9"/>
  <c r="P27" i="9"/>
  <c r="AC41" i="9"/>
  <c r="AD44" i="9"/>
  <c r="AG41" i="9"/>
  <c r="P29" i="9"/>
  <c r="AC2" i="9"/>
  <c r="AF11" i="9"/>
  <c r="AF34" i="9"/>
  <c r="AC42" i="9"/>
  <c r="AD45" i="9"/>
  <c r="AF39" i="9"/>
  <c r="AG42" i="9"/>
  <c r="Q27" i="9"/>
  <c r="AC25" i="9"/>
  <c r="AF12" i="9"/>
  <c r="AC43" i="9"/>
  <c r="AD46" i="9"/>
  <c r="AF40" i="9"/>
  <c r="AG43" i="9"/>
  <c r="Q29" i="9"/>
  <c r="AC26" i="9"/>
  <c r="AF13" i="9"/>
  <c r="AD42" i="9"/>
  <c r="Q31" i="9"/>
  <c r="AC22" i="9"/>
  <c r="AF14" i="9"/>
  <c r="AF35" i="9"/>
  <c r="R19" i="9"/>
  <c r="AC23" i="9"/>
  <c r="AF20" i="9"/>
  <c r="AC92" i="9"/>
  <c r="AC46" i="9"/>
  <c r="AF92" i="9"/>
  <c r="AF37" i="9"/>
  <c r="AD37" i="9"/>
  <c r="AE37" i="9"/>
  <c r="AC94" i="9"/>
  <c r="AE94" i="9"/>
  <c r="AD56" i="9"/>
  <c r="AC56" i="9"/>
  <c r="AE56" i="9"/>
  <c r="AD94" i="9"/>
  <c r="AF94" i="9"/>
  <c r="AF56" i="9"/>
  <c r="AC36" i="9"/>
  <c r="AD36" i="9"/>
  <c r="AE36" i="9"/>
  <c r="AF36" i="9"/>
  <c r="AG93" i="9"/>
  <c r="AF93" i="9"/>
  <c r="AE93" i="9"/>
  <c r="AD93" i="9"/>
  <c r="AG64" i="9"/>
  <c r="AC64" i="9"/>
  <c r="AG35" i="9"/>
  <c r="AD64" i="9"/>
  <c r="AC35" i="9"/>
  <c r="AF64" i="9"/>
  <c r="AD35" i="9"/>
  <c r="AC19" i="9"/>
  <c r="Q25" i="9"/>
  <c r="AC20" i="9"/>
  <c r="AD7" i="9"/>
  <c r="AG15" i="9"/>
  <c r="AD3" i="9"/>
  <c r="P24" i="9"/>
  <c r="P25" i="9"/>
  <c r="Q28" i="9"/>
  <c r="S31" i="9"/>
  <c r="AH15" i="9"/>
  <c r="P28" i="9"/>
  <c r="Q30" i="9"/>
  <c r="R31" i="9"/>
  <c r="AF22" i="9"/>
  <c r="AH22" i="9"/>
  <c r="AH26" i="9"/>
  <c r="R14" i="9"/>
  <c r="S15" i="9"/>
  <c r="AC11" i="9"/>
  <c r="AD11" i="9"/>
  <c r="AE15" i="9"/>
  <c r="AG2" i="9"/>
  <c r="AC33" i="9"/>
  <c r="R15" i="9"/>
  <c r="S16" i="9"/>
  <c r="AC12" i="9"/>
  <c r="AD12" i="9"/>
  <c r="AG25" i="9"/>
  <c r="AD33" i="9"/>
  <c r="R16" i="9"/>
  <c r="S17" i="9"/>
  <c r="AC13" i="9"/>
  <c r="AD13" i="9"/>
  <c r="AF25" i="9"/>
  <c r="AG26" i="9"/>
  <c r="AE33" i="9"/>
  <c r="R17" i="9"/>
  <c r="S18" i="9"/>
  <c r="AC17" i="9"/>
  <c r="AD14" i="9"/>
  <c r="AG12" i="9"/>
  <c r="AF33" i="9"/>
  <c r="AD27" i="9"/>
  <c r="R18" i="9"/>
  <c r="S19" i="9"/>
  <c r="AC18" i="9"/>
  <c r="AD22" i="9"/>
  <c r="AF27" i="9"/>
  <c r="AG13" i="9"/>
  <c r="AG4" i="9"/>
  <c r="AF3" i="9"/>
  <c r="AG17" i="9"/>
  <c r="P15" i="9"/>
  <c r="Q16" i="9"/>
  <c r="AC27" i="9"/>
  <c r="AF4" i="9"/>
  <c r="AG18" i="9"/>
  <c r="Q17" i="9"/>
  <c r="S23" i="9"/>
  <c r="AE22" i="9"/>
  <c r="AC32" i="9"/>
  <c r="AG20" i="9"/>
  <c r="P19" i="9"/>
  <c r="Q20" i="9"/>
  <c r="R24" i="9"/>
  <c r="S27" i="9"/>
  <c r="AD19" i="9"/>
  <c r="AE3" i="9"/>
  <c r="AF17" i="9"/>
  <c r="AG27" i="9"/>
  <c r="AG23" i="9"/>
  <c r="AF32" i="9"/>
  <c r="AE16" i="9"/>
  <c r="Q14" i="9"/>
  <c r="AD4" i="9"/>
  <c r="AE18" i="9"/>
  <c r="AF7" i="9"/>
  <c r="P14" i="9"/>
  <c r="AE19" i="9"/>
  <c r="AD15" i="9"/>
  <c r="AE20" i="9"/>
  <c r="AC7" i="9"/>
  <c r="AD16" i="9"/>
  <c r="AG19" i="9"/>
  <c r="Q18" i="9"/>
  <c r="S24" i="9"/>
  <c r="AC3" i="9"/>
  <c r="AD17" i="9"/>
  <c r="AF15" i="9"/>
  <c r="AD32" i="9"/>
  <c r="R23" i="9"/>
  <c r="S25" i="9"/>
  <c r="AC4" i="9"/>
  <c r="AD18" i="9"/>
  <c r="AE11" i="9"/>
  <c r="AE7" i="9"/>
  <c r="AF16" i="9"/>
  <c r="AE32" i="9"/>
  <c r="Q23" i="9"/>
  <c r="AG32" i="9"/>
  <c r="AG16" i="9"/>
  <c r="AN15" i="9" l="1"/>
  <c r="AL86" i="9"/>
  <c r="AM53" i="9"/>
  <c r="AN53" i="9" s="1"/>
  <c r="AN86" i="9"/>
  <c r="AN127" i="9"/>
  <c r="AN108" i="9"/>
  <c r="AN19" i="9"/>
  <c r="AN126" i="9"/>
  <c r="AL126" i="9"/>
  <c r="AN105" i="9"/>
  <c r="AL105" i="9"/>
  <c r="AL4" i="9"/>
  <c r="AN4" i="9"/>
  <c r="AN104" i="9"/>
  <c r="AL104" i="9"/>
  <c r="AN170" i="9"/>
  <c r="AL170" i="9"/>
  <c r="AL15" i="9"/>
  <c r="AN30" i="9"/>
  <c r="AL30" i="9"/>
  <c r="AL12" i="9"/>
  <c r="AN12" i="9"/>
  <c r="AM63" i="9"/>
  <c r="AL159" i="9"/>
  <c r="AN14" i="9"/>
  <c r="AL14" i="9"/>
  <c r="AL127" i="9"/>
  <c r="AN111" i="9"/>
  <c r="AL111" i="9"/>
  <c r="AN16" i="9"/>
  <c r="AL16" i="9"/>
  <c r="AL19" i="9"/>
  <c r="AL108" i="9"/>
  <c r="AN81" i="9"/>
  <c r="AL81" i="9"/>
  <c r="P116" i="4" l="1"/>
  <c r="AB199" i="4"/>
  <c r="AG199" i="4" s="1"/>
  <c r="O199" i="4"/>
  <c r="AL199" i="4" s="1"/>
  <c r="AB201" i="4"/>
  <c r="AD201" i="4" s="1"/>
  <c r="O201" i="4"/>
  <c r="AL201" i="4" s="1"/>
  <c r="O198" i="4"/>
  <c r="O200" i="4"/>
  <c r="AB198" i="4"/>
  <c r="AH198" i="4" s="1"/>
  <c r="AB209" i="4"/>
  <c r="AD209" i="4" s="1"/>
  <c r="AB210" i="4"/>
  <c r="AG210" i="4" s="1"/>
  <c r="O209" i="4"/>
  <c r="O210" i="4"/>
  <c r="Q13" i="4"/>
  <c r="AE199" i="4" l="1"/>
  <c r="AC199" i="4"/>
  <c r="AD199" i="4"/>
  <c r="AF199" i="4"/>
  <c r="AE201" i="4"/>
  <c r="AG201" i="4"/>
  <c r="AC201" i="4"/>
  <c r="AF201" i="4"/>
  <c r="AH209" i="4"/>
  <c r="AC198" i="4"/>
  <c r="AG198" i="4"/>
  <c r="AD210" i="4"/>
  <c r="AF198" i="4"/>
  <c r="AE210" i="4"/>
  <c r="AE198" i="4"/>
  <c r="AH210" i="4"/>
  <c r="AE209" i="4"/>
  <c r="AF209" i="4"/>
  <c r="AG209" i="4"/>
  <c r="AF210" i="4"/>
  <c r="AD198" i="4"/>
  <c r="AC209" i="4"/>
  <c r="AC210" i="4"/>
  <c r="AB229" i="4"/>
  <c r="AG229" i="4" s="1"/>
  <c r="O229" i="4"/>
  <c r="AB228" i="4"/>
  <c r="AC228" i="4" s="1"/>
  <c r="O228" i="4"/>
  <c r="AB223" i="4"/>
  <c r="P174" i="4"/>
  <c r="AB224" i="4"/>
  <c r="AF224" i="4" s="1"/>
  <c r="AH203" i="4"/>
  <c r="AB169" i="4"/>
  <c r="AD169" i="4" s="1"/>
  <c r="AE228" i="4" l="1"/>
  <c r="AD228" i="4"/>
  <c r="AG228" i="4"/>
  <c r="AF228" i="4"/>
  <c r="AD229" i="4"/>
  <c r="AF229" i="4"/>
  <c r="AC229" i="4"/>
  <c r="AE229" i="4"/>
  <c r="AC224" i="4"/>
  <c r="AD224" i="4"/>
  <c r="AG224" i="4"/>
  <c r="AE224" i="4"/>
  <c r="AG203" i="4"/>
  <c r="AF203" i="4"/>
  <c r="AE203" i="4"/>
  <c r="AD203" i="4"/>
  <c r="AC203" i="4"/>
  <c r="AC169" i="4"/>
  <c r="AG169" i="4"/>
  <c r="AF169" i="4"/>
  <c r="AE169" i="4"/>
  <c r="K145" i="4"/>
  <c r="O145" i="4" s="1"/>
  <c r="AB230" i="4" l="1"/>
  <c r="AG230" i="4" s="1"/>
  <c r="AB231" i="4"/>
  <c r="AG232" i="4" s="1"/>
  <c r="AB232" i="4"/>
  <c r="AB233" i="4"/>
  <c r="AB234" i="4"/>
  <c r="AB235" i="4"/>
  <c r="AD235" i="4" s="1"/>
  <c r="AB148" i="4"/>
  <c r="AB147" i="4"/>
  <c r="AB197" i="4"/>
  <c r="AB196" i="4"/>
  <c r="AB195" i="4"/>
  <c r="AB179" i="4"/>
  <c r="AE179" i="4" s="1"/>
  <c r="AB177" i="4"/>
  <c r="AF177" i="4" s="1"/>
  <c r="AB178" i="4"/>
  <c r="AC178" i="4" s="1"/>
  <c r="AB4" i="4"/>
  <c r="AB5" i="4"/>
  <c r="AB6" i="4"/>
  <c r="AB7" i="4"/>
  <c r="AD7" i="4" s="1"/>
  <c r="AB8" i="4"/>
  <c r="AB9" i="4"/>
  <c r="AB10" i="4"/>
  <c r="AB11" i="4"/>
  <c r="AB15" i="4"/>
  <c r="AB17" i="4"/>
  <c r="AB18" i="4"/>
  <c r="AB19" i="4"/>
  <c r="AB20" i="4"/>
  <c r="AH20" i="4" s="1"/>
  <c r="AB21" i="4"/>
  <c r="AB22" i="4"/>
  <c r="AB23" i="4"/>
  <c r="AB24" i="4"/>
  <c r="AB25" i="4"/>
  <c r="AB27" i="4"/>
  <c r="AB28" i="4"/>
  <c r="AB29" i="4"/>
  <c r="AB31" i="4"/>
  <c r="AH31" i="4" s="1"/>
  <c r="AB32" i="4"/>
  <c r="AH32" i="4" s="1"/>
  <c r="AB34" i="4"/>
  <c r="AB35" i="4"/>
  <c r="AB36" i="4"/>
  <c r="AB37" i="4"/>
  <c r="AB38" i="4"/>
  <c r="AB39" i="4"/>
  <c r="AH39" i="4" s="1"/>
  <c r="AB40" i="4"/>
  <c r="AB44" i="4"/>
  <c r="AH44" i="4" s="1"/>
  <c r="AB45" i="4"/>
  <c r="AB46" i="4"/>
  <c r="AB47" i="4"/>
  <c r="AC47" i="4" s="1"/>
  <c r="AB48" i="4"/>
  <c r="AB49" i="4"/>
  <c r="AB50" i="4"/>
  <c r="AB51" i="4"/>
  <c r="AB52" i="4"/>
  <c r="AC52" i="4" s="1"/>
  <c r="AB53" i="4"/>
  <c r="AD53" i="4" s="1"/>
  <c r="AB54" i="4"/>
  <c r="AB55" i="4"/>
  <c r="AB56" i="4"/>
  <c r="AB57" i="4"/>
  <c r="AB115" i="4"/>
  <c r="AB116" i="4"/>
  <c r="AB117" i="4"/>
  <c r="AB118" i="4"/>
  <c r="AB119" i="4"/>
  <c r="AH119" i="4" s="1"/>
  <c r="AB120" i="4"/>
  <c r="AB121" i="4"/>
  <c r="AB122" i="4"/>
  <c r="AB123" i="4"/>
  <c r="AB144" i="4"/>
  <c r="AB145" i="4"/>
  <c r="AB149" i="4"/>
  <c r="AB151" i="4"/>
  <c r="AB153" i="4"/>
  <c r="AB154" i="4"/>
  <c r="AB155" i="4"/>
  <c r="AB156" i="4"/>
  <c r="AB157" i="4"/>
  <c r="AB158" i="4"/>
  <c r="AH158" i="4" s="1"/>
  <c r="AB159" i="4"/>
  <c r="AB160" i="4"/>
  <c r="AE160" i="4" s="1"/>
  <c r="AB161" i="4"/>
  <c r="AB162" i="4"/>
  <c r="AB163" i="4"/>
  <c r="AB164" i="4"/>
  <c r="AB165" i="4"/>
  <c r="AB166" i="4"/>
  <c r="AB168" i="4"/>
  <c r="AB170" i="4"/>
  <c r="AB171" i="4"/>
  <c r="AB172" i="4"/>
  <c r="AB173" i="4"/>
  <c r="AB175" i="4"/>
  <c r="AB176" i="4"/>
  <c r="AH176" i="4" s="1"/>
  <c r="AB180" i="4"/>
  <c r="AB182" i="4"/>
  <c r="AB183" i="4"/>
  <c r="AB185" i="4"/>
  <c r="AB186" i="4"/>
  <c r="AB187" i="4"/>
  <c r="AB188" i="4"/>
  <c r="AB190" i="4"/>
  <c r="AB191" i="4"/>
  <c r="AC191" i="4" s="1"/>
  <c r="AB192" i="4"/>
  <c r="AB193" i="4"/>
  <c r="AB194" i="4"/>
  <c r="AB200" i="4"/>
  <c r="AB202" i="4"/>
  <c r="AB206" i="4"/>
  <c r="AB211" i="4"/>
  <c r="AB212" i="4"/>
  <c r="AB213" i="4"/>
  <c r="AB215" i="4"/>
  <c r="AB216" i="4"/>
  <c r="AB217" i="4"/>
  <c r="AB218" i="4"/>
  <c r="AB219" i="4"/>
  <c r="AB220" i="4"/>
  <c r="AB221" i="4"/>
  <c r="AB222" i="4"/>
  <c r="AB3" i="4"/>
  <c r="AH3" i="4" s="1"/>
  <c r="O43" i="4"/>
  <c r="O42" i="4"/>
  <c r="O41" i="4"/>
  <c r="S16" i="4"/>
  <c r="AD233" i="4" l="1"/>
  <c r="AG233" i="4"/>
  <c r="AC233" i="4"/>
  <c r="AF233" i="4"/>
  <c r="AE233" i="4"/>
  <c r="AC170" i="4"/>
  <c r="AD170" i="4"/>
  <c r="AE170" i="4"/>
  <c r="AF170" i="4"/>
  <c r="AG170" i="4"/>
  <c r="AF230" i="4"/>
  <c r="AE230" i="4"/>
  <c r="AD230" i="4"/>
  <c r="AG235" i="4"/>
  <c r="AG231" i="4"/>
  <c r="AF231" i="4"/>
  <c r="AE231" i="4"/>
  <c r="AC230" i="4"/>
  <c r="AD231" i="4"/>
  <c r="AG3" i="4"/>
  <c r="AC231" i="4"/>
  <c r="AF232" i="4"/>
  <c r="AE177" i="4"/>
  <c r="AC232" i="4"/>
  <c r="AE232" i="4"/>
  <c r="AF235" i="4"/>
  <c r="AD178" i="4"/>
  <c r="AD232" i="4"/>
  <c r="AE235" i="4"/>
  <c r="AC235" i="4"/>
  <c r="AD177" i="4"/>
  <c r="AG178" i="4"/>
  <c r="AF178" i="4"/>
  <c r="AE178" i="4"/>
  <c r="AD179" i="4"/>
  <c r="AC20" i="4"/>
  <c r="AG52" i="4"/>
  <c r="AF52" i="4"/>
  <c r="AE52" i="4"/>
  <c r="AD52" i="4"/>
  <c r="AC7" i="4"/>
  <c r="AC53" i="4"/>
  <c r="AH7" i="4"/>
  <c r="AG53" i="4"/>
  <c r="AG7" i="4"/>
  <c r="AF53" i="4"/>
  <c r="AC177" i="4"/>
  <c r="AC179" i="4"/>
  <c r="AF7" i="4"/>
  <c r="AE53" i="4"/>
  <c r="AG179" i="4"/>
  <c r="AE7" i="4"/>
  <c r="AG177" i="4"/>
  <c r="AF179" i="4"/>
  <c r="Q7" i="4"/>
  <c r="R7" i="4"/>
  <c r="S7" i="4"/>
  <c r="O183" i="4"/>
  <c r="O168" i="4"/>
  <c r="O151" i="4"/>
  <c r="AF3" i="4"/>
  <c r="AC222" i="4"/>
  <c r="AD192" i="4"/>
  <c r="AD206" i="4"/>
  <c r="AC217" i="4"/>
  <c r="AE218" i="4"/>
  <c r="AD219" i="4"/>
  <c r="AF220" i="4"/>
  <c r="AE221" i="4"/>
  <c r="AC173" i="4"/>
  <c r="AF176" i="4"/>
  <c r="AC180" i="4"/>
  <c r="AD182" i="4"/>
  <c r="AF190" i="4"/>
  <c r="AF191" i="4"/>
  <c r="AD144" i="4"/>
  <c r="AF149" i="4"/>
  <c r="AE153" i="4"/>
  <c r="AD158" i="4"/>
  <c r="AF159" i="4"/>
  <c r="AC160" i="4"/>
  <c r="AD161" i="4"/>
  <c r="AF164" i="4"/>
  <c r="AC165" i="4"/>
  <c r="AE115" i="4"/>
  <c r="AG119" i="4"/>
  <c r="AC120" i="4"/>
  <c r="AC121" i="4"/>
  <c r="AF122" i="4"/>
  <c r="AE123" i="4"/>
  <c r="AD56" i="4"/>
  <c r="AF57" i="4"/>
  <c r="AC39" i="4"/>
  <c r="AF44" i="4"/>
  <c r="AE45" i="4"/>
  <c r="AE47" i="4"/>
  <c r="AF50" i="4"/>
  <c r="AC51" i="4"/>
  <c r="AF31" i="4"/>
  <c r="AC32" i="4"/>
  <c r="AG20" i="4"/>
  <c r="AF4" i="4"/>
  <c r="AE6" i="4"/>
  <c r="AD8" i="4"/>
  <c r="AG10" i="4"/>
  <c r="AF11" i="4"/>
  <c r="O3" i="4"/>
  <c r="R24" i="4"/>
  <c r="S24" i="4"/>
  <c r="Q24" i="4"/>
  <c r="R23" i="4"/>
  <c r="S23" i="4"/>
  <c r="R28" i="4"/>
  <c r="S28" i="4"/>
  <c r="R29" i="4"/>
  <c r="S29" i="4"/>
  <c r="R30" i="4"/>
  <c r="S30" i="4"/>
  <c r="R31" i="4"/>
  <c r="S31" i="4"/>
  <c r="R33" i="4"/>
  <c r="S33" i="4"/>
  <c r="Q33" i="4"/>
  <c r="Q31" i="4"/>
  <c r="Q30" i="4"/>
  <c r="Q29" i="4"/>
  <c r="Q28" i="4"/>
  <c r="R27" i="4"/>
  <c r="S27" i="4"/>
  <c r="Q27" i="4"/>
  <c r="R26" i="4"/>
  <c r="S26" i="4"/>
  <c r="Q26" i="4"/>
  <c r="Q23" i="4"/>
  <c r="R22" i="4"/>
  <c r="S22" i="4"/>
  <c r="Q22" i="4"/>
  <c r="R21" i="4"/>
  <c r="S21" i="4"/>
  <c r="Q21" i="4"/>
  <c r="R20" i="4"/>
  <c r="S20" i="4"/>
  <c r="Q20" i="4"/>
  <c r="R19" i="4"/>
  <c r="S19" i="4"/>
  <c r="Q19" i="4"/>
  <c r="R17" i="4"/>
  <c r="S17" i="4"/>
  <c r="R16" i="4"/>
  <c r="R14" i="4"/>
  <c r="S14" i="4"/>
  <c r="R13" i="4"/>
  <c r="S13" i="4"/>
  <c r="Q17" i="4"/>
  <c r="Q16" i="4"/>
  <c r="Q14" i="4"/>
  <c r="R12" i="4"/>
  <c r="S12" i="4"/>
  <c r="P33" i="4"/>
  <c r="P31" i="4"/>
  <c r="P30" i="4"/>
  <c r="P29" i="4"/>
  <c r="P28" i="4"/>
  <c r="P27" i="4"/>
  <c r="P26" i="4"/>
  <c r="P24" i="4"/>
  <c r="P23" i="4"/>
  <c r="P22" i="4"/>
  <c r="P21" i="4"/>
  <c r="P20" i="4"/>
  <c r="P19" i="4"/>
  <c r="P17" i="4"/>
  <c r="P16" i="4"/>
  <c r="P14" i="4"/>
  <c r="P13" i="4"/>
  <c r="P12" i="4"/>
  <c r="P157" i="4"/>
  <c r="P145" i="4"/>
  <c r="O8"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9" i="4"/>
  <c r="O120" i="4"/>
  <c r="O121" i="4"/>
  <c r="O122" i="4"/>
  <c r="R122" i="4" s="1"/>
  <c r="O123" i="4"/>
  <c r="O144" i="4"/>
  <c r="Q144" i="4" s="1"/>
  <c r="O149" i="4"/>
  <c r="O150" i="4"/>
  <c r="O152" i="4"/>
  <c r="O153" i="4"/>
  <c r="O154" i="4"/>
  <c r="O155" i="4"/>
  <c r="Q155" i="4" s="1"/>
  <c r="O156" i="4"/>
  <c r="O157" i="4"/>
  <c r="O158" i="4"/>
  <c r="O159" i="4"/>
  <c r="P159" i="4" s="1"/>
  <c r="O160" i="4"/>
  <c r="O161" i="4"/>
  <c r="R161" i="4" s="1"/>
  <c r="O162" i="4"/>
  <c r="O163" i="4"/>
  <c r="O164" i="4"/>
  <c r="O165" i="4"/>
  <c r="O167" i="4"/>
  <c r="O170" i="4"/>
  <c r="O171" i="4"/>
  <c r="O172" i="4"/>
  <c r="O173" i="4"/>
  <c r="O174" i="4"/>
  <c r="O175" i="4"/>
  <c r="O180" i="4"/>
  <c r="O182" i="4"/>
  <c r="O184" i="4"/>
  <c r="O185" i="4"/>
  <c r="O186" i="4"/>
  <c r="R186" i="4" s="1"/>
  <c r="O187" i="4"/>
  <c r="Q187" i="4" s="1"/>
  <c r="O189" i="4"/>
  <c r="Q189" i="4" s="1"/>
  <c r="O190" i="4"/>
  <c r="S190" i="4" s="1"/>
  <c r="O191" i="4"/>
  <c r="O202" i="4"/>
  <c r="S202" i="4" s="1"/>
  <c r="O206" i="4"/>
  <c r="O211" i="4"/>
  <c r="Q211" i="4" s="1"/>
  <c r="O212" i="4"/>
  <c r="O215" i="4"/>
  <c r="O217" i="4"/>
  <c r="AL217" i="4" s="1"/>
  <c r="O218" i="4"/>
  <c r="AL218" i="4" s="1"/>
  <c r="O219" i="4"/>
  <c r="AL219" i="4" s="1"/>
  <c r="O220" i="4"/>
  <c r="AL220" i="4" s="1"/>
  <c r="O221" i="4"/>
  <c r="AL221" i="4" s="1"/>
  <c r="O222" i="4"/>
  <c r="AL222" i="4" s="1"/>
  <c r="O225" i="4"/>
  <c r="O226" i="4"/>
  <c r="O227" i="4"/>
  <c r="O44" i="4"/>
  <c r="O45" i="4"/>
  <c r="O46" i="4"/>
  <c r="O47" i="4"/>
  <c r="O48" i="4"/>
  <c r="O50" i="4"/>
  <c r="O51" i="4"/>
  <c r="O27" i="4"/>
  <c r="O28" i="4"/>
  <c r="O29" i="4"/>
  <c r="O30" i="4"/>
  <c r="O31" i="4"/>
  <c r="O32" i="4"/>
  <c r="O33" i="4"/>
  <c r="O34" i="4"/>
  <c r="O37" i="4"/>
  <c r="O4" i="4"/>
  <c r="O5" i="4"/>
  <c r="O6" i="4"/>
  <c r="O7" i="4"/>
  <c r="O9" i="4"/>
  <c r="S9" i="4" s="1"/>
  <c r="O10" i="4"/>
  <c r="O11" i="4"/>
  <c r="O12" i="4"/>
  <c r="O13" i="4"/>
  <c r="O14" i="4"/>
  <c r="O15" i="4"/>
  <c r="O16" i="4"/>
  <c r="O17" i="4"/>
  <c r="O18" i="4"/>
  <c r="O19" i="4"/>
  <c r="O20" i="4"/>
  <c r="O21" i="4"/>
  <c r="O22" i="4"/>
  <c r="O23" i="4"/>
  <c r="O24" i="4"/>
  <c r="O25" i="4"/>
  <c r="O26" i="4"/>
  <c r="AN3" i="4" l="1"/>
  <c r="AM3" i="4"/>
  <c r="AN20" i="4"/>
  <c r="AL20" i="4"/>
  <c r="AN7" i="4"/>
  <c r="AM7" i="4"/>
  <c r="AN22" i="4"/>
  <c r="AL22" i="4"/>
  <c r="AN31" i="4"/>
  <c r="AL31" i="4"/>
  <c r="AN29" i="4"/>
  <c r="AL29" i="4"/>
  <c r="AL19" i="4"/>
  <c r="AN19" i="4"/>
  <c r="AN23" i="4"/>
  <c r="AL23" i="4"/>
  <c r="AC158" i="4"/>
  <c r="AD32" i="4"/>
  <c r="AE8" i="4"/>
  <c r="AG51" i="4"/>
  <c r="AE176" i="4"/>
  <c r="AD176" i="4"/>
  <c r="AE191" i="4"/>
  <c r="AE11" i="4"/>
  <c r="AC6" i="4"/>
  <c r="AG182" i="4"/>
  <c r="AC57" i="4"/>
  <c r="AF51" i="4"/>
  <c r="AE51" i="4"/>
  <c r="AE192" i="4"/>
  <c r="Q186" i="4"/>
  <c r="AC149" i="4"/>
  <c r="AE119" i="4"/>
  <c r="AD222" i="4"/>
  <c r="AG121" i="4"/>
  <c r="AG158" i="4"/>
  <c r="AC192" i="4"/>
  <c r="AF158" i="4"/>
  <c r="AE159" i="4"/>
  <c r="AG8" i="4"/>
  <c r="AD159" i="4"/>
  <c r="AF8" i="4"/>
  <c r="AD119" i="4"/>
  <c r="AF217" i="4"/>
  <c r="AC115" i="4"/>
  <c r="AG120" i="4"/>
  <c r="AG180" i="4"/>
  <c r="AE217" i="4"/>
  <c r="AC206" i="4"/>
  <c r="AF10" i="4"/>
  <c r="AF120" i="4"/>
  <c r="AF180" i="4"/>
  <c r="AD217" i="4"/>
  <c r="AG217" i="4"/>
  <c r="P189" i="4"/>
  <c r="S189" i="4"/>
  <c r="AC119" i="4"/>
  <c r="AE10" i="4"/>
  <c r="AD51" i="4"/>
  <c r="AE120" i="4"/>
  <c r="AG160" i="4"/>
  <c r="AE180" i="4"/>
  <c r="AG220" i="4"/>
  <c r="AF47" i="4"/>
  <c r="R189" i="4"/>
  <c r="AC144" i="4"/>
  <c r="AD10" i="4"/>
  <c r="AG56" i="4"/>
  <c r="AD120" i="4"/>
  <c r="AF160" i="4"/>
  <c r="AD180" i="4"/>
  <c r="AF56" i="4"/>
  <c r="AC8" i="4"/>
  <c r="AD11" i="4"/>
  <c r="AD115" i="4"/>
  <c r="AF121" i="4"/>
  <c r="AD160" i="4"/>
  <c r="AF182" i="4"/>
  <c r="AC56" i="4"/>
  <c r="AC159" i="4"/>
  <c r="AD123" i="4"/>
  <c r="AC11" i="4"/>
  <c r="AC218" i="4"/>
  <c r="AG39" i="4"/>
  <c r="AG144" i="4"/>
  <c r="AD165" i="4"/>
  <c r="AD191" i="4"/>
  <c r="AC10" i="4"/>
  <c r="AG161" i="4"/>
  <c r="AC50" i="4"/>
  <c r="AD6" i="4"/>
  <c r="AF39" i="4"/>
  <c r="AF144" i="4"/>
  <c r="AG173" i="4"/>
  <c r="AG192" i="4"/>
  <c r="P122" i="4"/>
  <c r="AC190" i="4"/>
  <c r="AG6" i="4"/>
  <c r="AG47" i="4"/>
  <c r="AF119" i="4"/>
  <c r="AE144" i="4"/>
  <c r="AF173" i="4"/>
  <c r="AF192" i="4"/>
  <c r="AC219" i="4"/>
  <c r="P211" i="4"/>
  <c r="AE3" i="4"/>
  <c r="AC45" i="4"/>
  <c r="AC123" i="4"/>
  <c r="AE4" i="4"/>
  <c r="AE31" i="4"/>
  <c r="AE44" i="4"/>
  <c r="AE50" i="4"/>
  <c r="AE57" i="4"/>
  <c r="AE122" i="4"/>
  <c r="AE149" i="4"/>
  <c r="AE164" i="4"/>
  <c r="AE190" i="4"/>
  <c r="AD218" i="4"/>
  <c r="AD221" i="4"/>
  <c r="S211" i="4"/>
  <c r="AD3" i="4"/>
  <c r="AC182" i="4"/>
  <c r="AD4" i="4"/>
  <c r="AD31" i="4"/>
  <c r="AD44" i="4"/>
  <c r="AD50" i="4"/>
  <c r="AD57" i="4"/>
  <c r="AD122" i="4"/>
  <c r="AD149" i="4"/>
  <c r="AD164" i="4"/>
  <c r="AD190" i="4"/>
  <c r="AG219" i="4"/>
  <c r="AG222" i="4"/>
  <c r="AD45" i="4"/>
  <c r="AC4" i="4"/>
  <c r="AF6" i="4"/>
  <c r="AG11" i="4"/>
  <c r="AG32" i="4"/>
  <c r="AG45" i="4"/>
  <c r="AG115" i="4"/>
  <c r="AG123" i="4"/>
  <c r="AG153" i="4"/>
  <c r="AG165" i="4"/>
  <c r="AG191" i="4"/>
  <c r="AG206" i="4"/>
  <c r="AF219" i="4"/>
  <c r="AF222" i="4"/>
  <c r="AC153" i="4"/>
  <c r="AF32" i="4"/>
  <c r="AF45" i="4"/>
  <c r="AF115" i="4"/>
  <c r="AF123" i="4"/>
  <c r="AF153" i="4"/>
  <c r="AF165" i="4"/>
  <c r="AF206" i="4"/>
  <c r="AE219" i="4"/>
  <c r="AE222" i="4"/>
  <c r="AD153" i="4"/>
  <c r="AE32" i="4"/>
  <c r="AE165" i="4"/>
  <c r="AE206" i="4"/>
  <c r="AC161" i="4"/>
  <c r="AF20" i="4"/>
  <c r="AF161" i="4"/>
  <c r="AC31" i="4"/>
  <c r="AC220" i="4"/>
  <c r="AE39" i="4"/>
  <c r="AE56" i="4"/>
  <c r="AE121" i="4"/>
  <c r="AE158" i="4"/>
  <c r="AE161" i="4"/>
  <c r="AE182" i="4"/>
  <c r="AD220" i="4"/>
  <c r="AC3" i="4"/>
  <c r="AC221" i="4"/>
  <c r="AD20" i="4"/>
  <c r="AD39" i="4"/>
  <c r="AD47" i="4"/>
  <c r="AD121" i="4"/>
  <c r="AD173" i="4"/>
  <c r="AG218" i="4"/>
  <c r="AG221" i="4"/>
  <c r="AE220" i="4"/>
  <c r="AC164" i="4"/>
  <c r="AE20" i="4"/>
  <c r="AE173" i="4"/>
  <c r="AG4" i="4"/>
  <c r="AG31" i="4"/>
  <c r="AG44" i="4"/>
  <c r="AG50" i="4"/>
  <c r="AG57" i="4"/>
  <c r="AG122" i="4"/>
  <c r="AG149" i="4"/>
  <c r="AG159" i="4"/>
  <c r="AG164" i="4"/>
  <c r="AG176" i="4"/>
  <c r="AG190" i="4"/>
  <c r="AF218" i="4"/>
  <c r="AF221" i="4"/>
  <c r="AC44" i="4"/>
  <c r="AC122" i="4"/>
  <c r="AC176" i="4"/>
  <c r="S187" i="4"/>
  <c r="P161" i="4"/>
  <c r="R187" i="4"/>
  <c r="R211" i="4"/>
  <c r="AM211" i="4" s="1"/>
  <c r="S161" i="4"/>
  <c r="P190" i="4"/>
  <c r="Q202" i="4"/>
  <c r="P186" i="4"/>
  <c r="R202" i="4"/>
  <c r="R190" i="4"/>
  <c r="Q161" i="4"/>
  <c r="Q190" i="4"/>
  <c r="S186" i="4"/>
  <c r="S159" i="4"/>
  <c r="Q159" i="4"/>
  <c r="R159" i="4"/>
  <c r="R9" i="4"/>
  <c r="Q9" i="4"/>
  <c r="Q122" i="4"/>
  <c r="P144" i="4"/>
  <c r="P155" i="4"/>
  <c r="S144" i="4"/>
  <c r="S155" i="4"/>
  <c r="R144" i="4"/>
  <c r="R155" i="4"/>
  <c r="S157" i="4"/>
  <c r="R157" i="4"/>
  <c r="Q157" i="4"/>
  <c r="P9" i="4"/>
  <c r="S122"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M144" i="4" l="1"/>
  <c r="AL157" i="4"/>
  <c r="AL187" i="4"/>
  <c r="AL189" i="4"/>
  <c r="AL144" i="4"/>
  <c r="AL202" i="4"/>
  <c r="AL155" i="4"/>
  <c r="AL159" i="4"/>
  <c r="AN159" i="4"/>
  <c r="AL190" i="4"/>
  <c r="AN190" i="4"/>
  <c r="AL122" i="4"/>
  <c r="AN122" i="4"/>
  <c r="AL186" i="4"/>
  <c r="P202" i="4"/>
  <c r="A144" i="4"/>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P187" i="4"/>
</calcChain>
</file>

<file path=xl/sharedStrings.xml><?xml version="1.0" encoding="utf-8"?>
<sst xmlns="http://schemas.openxmlformats.org/spreadsheetml/2006/main" count="8300" uniqueCount="1956">
  <si>
    <t>Object</t>
  </si>
  <si>
    <t>Thermal conductivity W/mK</t>
  </si>
  <si>
    <t>https://www.tandfonline.com/doi/pdf/10.1080/10942912.2013.831444#:~:text=The%20average%20densi%2D%20ties%20measured,volume%20and%20mass%20of%20fruits.</t>
  </si>
  <si>
    <t>Newspaper</t>
  </si>
  <si>
    <t>Cardboard</t>
  </si>
  <si>
    <t>100% recycled paper</t>
  </si>
  <si>
    <t>Glossy paper</t>
  </si>
  <si>
    <t>Milk carton</t>
  </si>
  <si>
    <t>Juice carton</t>
  </si>
  <si>
    <t>Self copying dry SC</t>
  </si>
  <si>
    <t xml:space="preserve">Greaseproof p (GPC) </t>
  </si>
  <si>
    <t xml:space="preserve">Silicone p 1 (SR1) </t>
  </si>
  <si>
    <t xml:space="preserve">Silicone p 2 (SR2) </t>
  </si>
  <si>
    <t xml:space="preserve">Silicone p3 (SR3) </t>
  </si>
  <si>
    <t xml:space="preserve">Baking p (BP) </t>
  </si>
  <si>
    <t xml:space="preserve">Packaging p  (PEP) </t>
  </si>
  <si>
    <t xml:space="preserve">Paper cores (PC) </t>
  </si>
  <si>
    <t>PRESENCE OF MOISTURE</t>
  </si>
  <si>
    <t>SGW 100 CSF</t>
  </si>
  <si>
    <t>PGW 100 CSF</t>
  </si>
  <si>
    <t>TMP 100 CSF</t>
  </si>
  <si>
    <t>SGW 70 CSF</t>
  </si>
  <si>
    <t>SGW 48 CSF</t>
  </si>
  <si>
    <t>bleached pine kraft</t>
  </si>
  <si>
    <t>bleached birch kraft 22 SR</t>
  </si>
  <si>
    <t>bleached birch kraft 48 SR</t>
  </si>
  <si>
    <t>bleached birch kraft 69 SR</t>
  </si>
  <si>
    <t>30% bleached pine kraft, 20 SR</t>
  </si>
  <si>
    <t>ID</t>
  </si>
  <si>
    <t>Type</t>
  </si>
  <si>
    <t>Subtype</t>
  </si>
  <si>
    <t>Comments</t>
  </si>
  <si>
    <t>Density g/cm^3</t>
  </si>
  <si>
    <t xml:space="preserve">Paper </t>
  </si>
  <si>
    <t>copy sheet papers</t>
  </si>
  <si>
    <t>Web</t>
  </si>
  <si>
    <t>DOI</t>
  </si>
  <si>
    <t xml:space="preserve"> 10.1080/10942912.2013.831444</t>
  </si>
  <si>
    <t>https://www.researchgate.net/profile/Jilen-Mayani/publication/329207694_A_study_on_physical_properties_of_pomegranate_Punica_granatum_L_Punicaceae_fruits/links/5bfcc528a6fdcc76e722bc31/A-study-on-physical-properties-of-pomegranate-Punica-granatum-L-Punicaceae-fruits.pdf</t>
  </si>
  <si>
    <t>https://www.researchgate.net/file.PostFileLoader.html?id=57dc0df6dc332d6c7a2b0e94&amp;assetKey=AS%3A406964417908742%401474039286881</t>
  </si>
  <si>
    <t>https://www.fao.org/3/ap815e/ap815e.pdf</t>
  </si>
  <si>
    <t>Ref A</t>
  </si>
  <si>
    <t>10.1080/07373937.2011.638148</t>
  </si>
  <si>
    <t>https://www.researchgate.net/publication/254334214_Thermal_Properties_of_Copy_Paper_Sheets</t>
  </si>
  <si>
    <t xml:space="preserve">copy sheet papers, Low-density copy </t>
  </si>
  <si>
    <t xml:space="preserve">copy sheet papers, UCFS </t>
  </si>
  <si>
    <t xml:space="preserve">copy sheet papers, Offset, uncoated </t>
  </si>
  <si>
    <t xml:space="preserve">copy sheet papers, Glossy, coated </t>
  </si>
  <si>
    <t>10.15376/frc.1985.1.381</t>
  </si>
  <si>
    <t>https://bioresources.cnr.ncsu.edu/wp-content/uploads/2021/12/1985.1.381.pdf</t>
  </si>
  <si>
    <t>Pulps studied, Uncalendered</t>
  </si>
  <si>
    <t>Pulps studied, Calendered</t>
  </si>
  <si>
    <t xml:space="preserve"> 10.15159/AR.18.045</t>
  </si>
  <si>
    <t>https://www.researchgate.net/publication/329246600_Specialty_types_of_waste_paper_as_an_energetic_commodity</t>
  </si>
  <si>
    <t>Office paper</t>
  </si>
  <si>
    <t>dry state</t>
  </si>
  <si>
    <t xml:space="preserve">Printed paper </t>
  </si>
  <si>
    <t>O %wt</t>
  </si>
  <si>
    <t>C %wt</t>
  </si>
  <si>
    <t>H %wt</t>
  </si>
  <si>
    <t>N %wt</t>
  </si>
  <si>
    <t>S %wt</t>
  </si>
  <si>
    <t>https://task36.ieabioenergy.com/wp-content/uploads/sites/4/2016/06/Characterisation_of_MSW_for_Combustion_Studies-2001.pdf</t>
  </si>
  <si>
    <t>Volatile content %wt</t>
  </si>
  <si>
    <t>Moisture content %wt</t>
  </si>
  <si>
    <t>Ash content %wt</t>
  </si>
  <si>
    <t>Char content %wt</t>
  </si>
  <si>
    <t>Comments</t>
    <phoneticPr fontId="4" type="noConversion"/>
  </si>
  <si>
    <t>Cl %wt</t>
    <phoneticPr fontId="4" type="noConversion"/>
  </si>
  <si>
    <t>dry basis</t>
    <phoneticPr fontId="4" type="noConversion"/>
  </si>
  <si>
    <t>air dry basis</t>
    <phoneticPr fontId="4" type="noConversion"/>
  </si>
  <si>
    <t>as received</t>
    <phoneticPr fontId="4" type="noConversion"/>
  </si>
  <si>
    <t>Toilette paper</t>
    <phoneticPr fontId="4" type="noConversion"/>
  </si>
  <si>
    <t>Tissue paper</t>
    <phoneticPr fontId="4" type="noConversion"/>
  </si>
  <si>
    <t>Paper board</t>
    <phoneticPr fontId="4" type="noConversion"/>
  </si>
  <si>
    <t xml:space="preserve">Glossy paper </t>
    <phoneticPr fontId="4" type="noConversion"/>
  </si>
  <si>
    <t>Cardboard</t>
    <phoneticPr fontId="4" type="noConversion"/>
  </si>
  <si>
    <t>Newspaper</t>
    <phoneticPr fontId="4" type="noConversion"/>
  </si>
  <si>
    <t>Magazine</t>
    <phoneticPr fontId="4" type="noConversion"/>
  </si>
  <si>
    <t>dry state</t>
    <phoneticPr fontId="4" type="noConversion"/>
  </si>
  <si>
    <t>http://dx.doi.org/10.1155/2013/731858</t>
    <phoneticPr fontId="3" type="noConversion"/>
  </si>
  <si>
    <t>10.1177/0734242X18816797</t>
    <phoneticPr fontId="3" type="noConversion"/>
  </si>
  <si>
    <t>10.1002/ceat.202000501</t>
    <phoneticPr fontId="3" type="noConversion"/>
  </si>
  <si>
    <t>https://doi.org/10.1080/10962247.2013.873094</t>
    <phoneticPr fontId="3" type="noConversion"/>
  </si>
  <si>
    <t>10.1080/10962247.2013.873094</t>
    <phoneticPr fontId="3" type="noConversion"/>
  </si>
  <si>
    <t>https://www.researchgate.net/publication/317095324</t>
  </si>
  <si>
    <t>10.1080/15567036.2020.1841343</t>
    <phoneticPr fontId="3" type="noConversion"/>
  </si>
  <si>
    <t>https://doi.org/10.1080/10473289.2001.10464266</t>
    <phoneticPr fontId="3" type="noConversion"/>
  </si>
  <si>
    <t>10.1080/10473289.2001.10464266</t>
    <phoneticPr fontId="3" type="noConversion"/>
  </si>
  <si>
    <t>https://www.sciencedirect.com/science/article/pii/S0016236100002180</t>
    <phoneticPr fontId="3" type="noConversion"/>
  </si>
  <si>
    <t>https://www.sciencedirect.com/science/article/pii/001623619400018M</t>
    <phoneticPr fontId="3" type="noConversion"/>
  </si>
  <si>
    <t>https://www.sciencedirect.com/science/article/pii/S0956053X08002444</t>
    <phoneticPr fontId="3" type="noConversion"/>
  </si>
  <si>
    <t>https://www.sciencedirect.com/science/article/pii/S0956053X19301801</t>
    <phoneticPr fontId="3" type="noConversion"/>
  </si>
  <si>
    <t>https://www.sciencedirect.com/science/article/pii/S2095809917304344</t>
    <phoneticPr fontId="3" type="noConversion"/>
  </si>
  <si>
    <t>https://pubs.acs.org/doi/abs/10.1021/acs.energyfuels.8b02571</t>
    <phoneticPr fontId="3" type="noConversion"/>
  </si>
  <si>
    <t>https://www.sciencedirect.com/science/article/pii/S174396711420208X</t>
    <phoneticPr fontId="3" type="noConversion"/>
  </si>
  <si>
    <t>https://www.sciencedirect.com/science/article/pii/S0956053X08000883</t>
    <phoneticPr fontId="3" type="noConversion"/>
  </si>
  <si>
    <t>https://www.sciencedirect.com/science/article/pii/S1364032114002512</t>
    <phoneticPr fontId="3" type="noConversion"/>
  </si>
  <si>
    <t>https://onlinelibrary.wiley.com/doi/abs/10.1002/ceat.202000501</t>
    <phoneticPr fontId="3" type="noConversion"/>
  </si>
  <si>
    <t>https://pubs.acs.org/doi/pdf/10.1021/ie00045a010</t>
    <phoneticPr fontId="3" type="noConversion"/>
  </si>
  <si>
    <t>https://www.sciencedirect.com/science/article/pii/S0960852403002232</t>
    <phoneticPr fontId="3" type="noConversion"/>
  </si>
  <si>
    <t>https://www.sciencedirect.com/science/article/pii/S0956053X16303208</t>
    <phoneticPr fontId="3" type="noConversion"/>
  </si>
  <si>
    <t>https://www.sciencedirect.com/science/article/pii/S0959652617302172</t>
    <phoneticPr fontId="3" type="noConversion"/>
  </si>
  <si>
    <t>https://www.sciencedirect.com/science/article/pii/S0196890414005135</t>
    <phoneticPr fontId="3" type="noConversion"/>
  </si>
  <si>
    <t>https://www.sciencedirect.com/science/article/pii/S0165237002000165</t>
    <phoneticPr fontId="3" type="noConversion"/>
  </si>
  <si>
    <t>https://www.sciencedirect.com/science/article/pii/S0016236106002560</t>
    <phoneticPr fontId="3" type="noConversion"/>
  </si>
  <si>
    <t>https://www.sciencedirect.com/science/article/pii/S0016236114003548</t>
    <phoneticPr fontId="3" type="noConversion"/>
  </si>
  <si>
    <t>Paper waste</t>
    <phoneticPr fontId="4" type="noConversion"/>
  </si>
  <si>
    <t>Mixed paper waste in MSW</t>
  </si>
  <si>
    <t xml:space="preserve">Paper </t>
    <phoneticPr fontId="4" type="noConversion"/>
  </si>
  <si>
    <t>https://sciendo.com/article/10.2478/adms-2023-0002</t>
    <phoneticPr fontId="3" type="noConversion"/>
  </si>
  <si>
    <t>Specific Heat Capacity kJ/kg*K</t>
    <phoneticPr fontId="4" type="noConversion"/>
  </si>
  <si>
    <t>https://help.iesve.com/ve2021/table_6_thermal_conductivity__specific_heat_capacity_and_density.htm</t>
    <phoneticPr fontId="3" type="noConversion"/>
  </si>
  <si>
    <t>https://onlinelibrary.wiley.com/doi/epdf/10.1002/pts.2492</t>
    <phoneticPr fontId="3" type="noConversion"/>
  </si>
  <si>
    <t>SUM</t>
  </si>
  <si>
    <t>M_norm</t>
  </si>
  <si>
    <t>V_norm</t>
  </si>
  <si>
    <t>C_norm</t>
  </si>
  <si>
    <t>A_norm</t>
  </si>
  <si>
    <t>A</t>
  </si>
  <si>
    <t>HHV [MJ/kg] DAF</t>
  </si>
  <si>
    <t>https://journals.sagepub.com/doi/10.1177/0734242X18816797</t>
  </si>
  <si>
    <t>Magazine</t>
  </si>
  <si>
    <t>Magazine stock</t>
  </si>
  <si>
    <t>Paper waste</t>
  </si>
  <si>
    <t>Mixed paper</t>
  </si>
  <si>
    <t>Paper mixture</t>
  </si>
  <si>
    <t>Paper waste I</t>
  </si>
  <si>
    <t>Paper waste II</t>
  </si>
  <si>
    <t>Paper waste III</t>
  </si>
  <si>
    <t>Paper waste IV</t>
  </si>
  <si>
    <t>Newspaper I</t>
  </si>
  <si>
    <t>Glossy paper I</t>
  </si>
  <si>
    <t>Newspaper II</t>
  </si>
  <si>
    <t>Newprint I</t>
  </si>
  <si>
    <t>Newprint II</t>
  </si>
  <si>
    <t>Magazines</t>
  </si>
  <si>
    <t>Glossy paper II</t>
  </si>
  <si>
    <t>Trade magazines</t>
  </si>
  <si>
    <t>Corrugated boxes</t>
  </si>
  <si>
    <t>Corrugated and kraft</t>
  </si>
  <si>
    <t>Corrugated paper</t>
  </si>
  <si>
    <t>Coated Paper</t>
  </si>
  <si>
    <t>Plastic coated paper</t>
  </si>
  <si>
    <t>Paper cup waste</t>
  </si>
  <si>
    <t>Brown paper</t>
  </si>
  <si>
    <t>High-grade paper</t>
  </si>
  <si>
    <t>Junk mail</t>
  </si>
  <si>
    <t>Non-glossy paper</t>
  </si>
  <si>
    <t>Pa food cartons</t>
  </si>
  <si>
    <t>Waxed milk cartons</t>
  </si>
  <si>
    <t>HHV_D [MJ/kg]</t>
  </si>
  <si>
    <t>Others</t>
  </si>
  <si>
    <t>Non-recycled paper I</t>
  </si>
  <si>
    <t>Non-recycled paper II</t>
  </si>
  <si>
    <t>HHV_eff_norm  [MJ/kg]</t>
  </si>
  <si>
    <t>Paper cup/plates</t>
  </si>
  <si>
    <t>Brown paper bags</t>
  </si>
  <si>
    <t>Paper packing</t>
  </si>
  <si>
    <t>https://www.sciencedirect.com/science/article/pii/S0016236108000471</t>
  </si>
  <si>
    <t>Recycling paper</t>
  </si>
  <si>
    <t>Tetra pack</t>
  </si>
  <si>
    <t>Norway</t>
  </si>
  <si>
    <t>Indonesia</t>
  </si>
  <si>
    <t>Duplex paper</t>
  </si>
  <si>
    <t>Thick paper</t>
  </si>
  <si>
    <t xml:space="preserve">Box </t>
  </si>
  <si>
    <t>Carton</t>
  </si>
  <si>
    <t>Writing paper</t>
  </si>
  <si>
    <t>Printing paper</t>
  </si>
  <si>
    <t>Copy paper</t>
  </si>
  <si>
    <t>Nigeria</t>
  </si>
  <si>
    <t>United Kingdom</t>
  </si>
  <si>
    <t>Homogeneous From Repulped Paper</t>
  </si>
  <si>
    <t>Laminated</t>
  </si>
  <si>
    <t xml:space="preserve">Canada </t>
  </si>
  <si>
    <t>Czech Republic</t>
  </si>
  <si>
    <t>China</t>
  </si>
  <si>
    <t>USA</t>
  </si>
  <si>
    <t>Europe</t>
  </si>
  <si>
    <t>America</t>
  </si>
  <si>
    <t>Asia</t>
  </si>
  <si>
    <t>India</t>
  </si>
  <si>
    <t xml:space="preserve">Asia </t>
  </si>
  <si>
    <t>Italy</t>
  </si>
  <si>
    <t>South Africa</t>
  </si>
  <si>
    <t>Africa</t>
  </si>
  <si>
    <t>Bangladesh</t>
  </si>
  <si>
    <t>Malaysia</t>
  </si>
  <si>
    <t>Oman</t>
  </si>
  <si>
    <t>Serbia</t>
  </si>
  <si>
    <t>Europa</t>
  </si>
  <si>
    <t>Morocco</t>
  </si>
  <si>
    <t>Greece</t>
  </si>
  <si>
    <t>Taiwan</t>
  </si>
  <si>
    <t>Finland</t>
  </si>
  <si>
    <t>10.1016/j.fuel.2014.12.015</t>
  </si>
  <si>
    <t>Organic</t>
    <phoneticPr fontId="1" type="noConversion"/>
  </si>
  <si>
    <t>Waste</t>
    <phoneticPr fontId="1" type="noConversion"/>
  </si>
  <si>
    <t>Food residue</t>
    <phoneticPr fontId="1" type="noConversion"/>
  </si>
  <si>
    <t>Organic waste</t>
    <phoneticPr fontId="1" type="noConversion"/>
  </si>
  <si>
    <t>Green waste</t>
  </si>
  <si>
    <t>Green waste</t>
    <phoneticPr fontId="1" type="noConversion"/>
  </si>
  <si>
    <t>Food waste</t>
    <phoneticPr fontId="1" type="noConversion"/>
  </si>
  <si>
    <t>Wood waste</t>
    <phoneticPr fontId="1" type="noConversion"/>
  </si>
  <si>
    <t xml:space="preserve">Yard waste </t>
    <phoneticPr fontId="1" type="noConversion"/>
  </si>
  <si>
    <t>Vagetable food waste</t>
    <phoneticPr fontId="1" type="noConversion"/>
  </si>
  <si>
    <t>Coffee waste</t>
    <phoneticPr fontId="1" type="noConversion"/>
  </si>
  <si>
    <t>Tea waste</t>
    <phoneticPr fontId="1" type="noConversion"/>
  </si>
  <si>
    <t>Yard waste</t>
  </si>
  <si>
    <t>leaves</t>
  </si>
  <si>
    <t>Yard waste</t>
    <phoneticPr fontId="1" type="noConversion"/>
  </si>
  <si>
    <t>mixture</t>
    <phoneticPr fontId="1" type="noConversion"/>
  </si>
  <si>
    <t>Wood chip</t>
    <phoneticPr fontId="1" type="noConversion"/>
  </si>
  <si>
    <t>dry ash free basis</t>
    <phoneticPr fontId="1" type="noConversion"/>
  </si>
  <si>
    <t>dry ash free basis</t>
  </si>
  <si>
    <t>dry basis</t>
    <phoneticPr fontId="1" type="noConversion"/>
  </si>
  <si>
    <t>Wood</t>
  </si>
  <si>
    <t>air dried basis</t>
  </si>
  <si>
    <t>Organic</t>
  </si>
  <si>
    <t>Orange peel</t>
  </si>
  <si>
    <t>dry basis</t>
  </si>
  <si>
    <t>Waste</t>
  </si>
  <si>
    <t>Food waste</t>
  </si>
  <si>
    <t>Fruit</t>
  </si>
  <si>
    <t>Ref</t>
  </si>
  <si>
    <t>Artichokes</t>
    <phoneticPr fontId="1" type="noConversion"/>
  </si>
  <si>
    <t>Leaves</t>
    <phoneticPr fontId="1" type="noConversion"/>
  </si>
  <si>
    <t>Grass</t>
    <phoneticPr fontId="1" type="noConversion"/>
  </si>
  <si>
    <t>Ginger</t>
    <phoneticPr fontId="1" type="noConversion"/>
  </si>
  <si>
    <t>Cabbage</t>
    <phoneticPr fontId="1" type="noConversion"/>
  </si>
  <si>
    <t>Citrus rinds and seeds</t>
  </si>
  <si>
    <t>Flowering plants</t>
    <phoneticPr fontId="1" type="noConversion"/>
  </si>
  <si>
    <t>Furniture wood</t>
    <phoneticPr fontId="1" type="noConversion"/>
  </si>
  <si>
    <t>Hardwood</t>
    <phoneticPr fontId="1" type="noConversion"/>
  </si>
  <si>
    <t>Lawngrass</t>
    <phoneticPr fontId="1" type="noConversion"/>
  </si>
  <si>
    <t>Mixedgreens</t>
  </si>
  <si>
    <t>Green logs</t>
    <phoneticPr fontId="1" type="noConversion"/>
  </si>
  <si>
    <t>Tofu</t>
  </si>
  <si>
    <t>Chinese cabbage</t>
    <phoneticPr fontId="1" type="noConversion"/>
  </si>
  <si>
    <t>Potato</t>
    <phoneticPr fontId="1" type="noConversion"/>
  </si>
  <si>
    <t>Pakchoi</t>
    <phoneticPr fontId="1" type="noConversion"/>
  </si>
  <si>
    <t>Spinach</t>
  </si>
  <si>
    <t>Banana peel</t>
    <phoneticPr fontId="1" type="noConversion"/>
  </si>
  <si>
    <t>Tangerine peel</t>
    <phoneticPr fontId="1" type="noConversion"/>
  </si>
  <si>
    <t>Lettuce</t>
    <phoneticPr fontId="1" type="noConversion"/>
  </si>
  <si>
    <t>Peas</t>
    <phoneticPr fontId="1" type="noConversion"/>
  </si>
  <si>
    <t>Rice</t>
    <phoneticPr fontId="1" type="noConversion"/>
  </si>
  <si>
    <t>Scallion</t>
    <phoneticPr fontId="1" type="noConversion"/>
  </si>
  <si>
    <t>Chinar leaves</t>
  </si>
  <si>
    <t>Fallen leaves</t>
  </si>
  <si>
    <t>Leaves</t>
  </si>
  <si>
    <t>Pine needles</t>
  </si>
  <si>
    <t>Poplar leaves</t>
  </si>
  <si>
    <t>King grass</t>
  </si>
  <si>
    <t>Miscanthus</t>
  </si>
  <si>
    <t>Pennisetum</t>
  </si>
  <si>
    <t>Peanut shell</t>
    <phoneticPr fontId="1" type="noConversion"/>
  </si>
  <si>
    <t>Walnut shell</t>
    <phoneticPr fontId="1" type="noConversion"/>
  </si>
  <si>
    <t>Vegetables mix</t>
    <phoneticPr fontId="1" type="noConversion"/>
  </si>
  <si>
    <t>Fruit peel</t>
    <phoneticPr fontId="1" type="noConversion"/>
  </si>
  <si>
    <t>Orange peel</t>
    <phoneticPr fontId="1" type="noConversion"/>
  </si>
  <si>
    <t>Jerusalem</t>
  </si>
  <si>
    <t>Asparagus</t>
  </si>
  <si>
    <t>Beans</t>
    <phoneticPr fontId="1" type="noConversion"/>
  </si>
  <si>
    <t>Beets</t>
  </si>
  <si>
    <t>Broccoli</t>
  </si>
  <si>
    <t>Brussels sprouts</t>
  </si>
  <si>
    <t>Carrots</t>
  </si>
  <si>
    <t>Cauliflower</t>
  </si>
  <si>
    <t>Celeriac</t>
  </si>
  <si>
    <t>Celery</t>
  </si>
  <si>
    <t>Collards</t>
  </si>
  <si>
    <t>Cucumbers</t>
  </si>
  <si>
    <t>Eggplant</t>
  </si>
  <si>
    <t>Endive</t>
  </si>
  <si>
    <t>Garlic</t>
  </si>
  <si>
    <t>Horseradish</t>
  </si>
  <si>
    <t>Kale</t>
  </si>
  <si>
    <t>Kohlrabi</t>
  </si>
  <si>
    <t>Leeks</t>
  </si>
  <si>
    <t>Mushrooms</t>
  </si>
  <si>
    <t>Okra</t>
  </si>
  <si>
    <t>Onions</t>
  </si>
  <si>
    <t>Parsley</t>
  </si>
  <si>
    <t>Parsnips</t>
  </si>
  <si>
    <t>Peppers</t>
    <phoneticPr fontId="1" type="noConversion"/>
  </si>
  <si>
    <t>Pumpkins</t>
  </si>
  <si>
    <t>Radishes</t>
    <phoneticPr fontId="1" type="noConversion"/>
  </si>
  <si>
    <t>Rhubarb</t>
  </si>
  <si>
    <t>Rutabaga</t>
  </si>
  <si>
    <t>Salsify</t>
    <phoneticPr fontId="1" type="noConversion"/>
  </si>
  <si>
    <t>Squash</t>
    <phoneticPr fontId="1" type="noConversion"/>
  </si>
  <si>
    <t>Tomato</t>
    <phoneticPr fontId="1" type="noConversion"/>
  </si>
  <si>
    <t>Turnip</t>
  </si>
  <si>
    <t>Watercress</t>
  </si>
  <si>
    <t>Yams</t>
  </si>
  <si>
    <t>Almonds</t>
  </si>
  <si>
    <t>Filberts</t>
  </si>
  <si>
    <t>Peanuts</t>
    <phoneticPr fontId="1" type="noConversion"/>
  </si>
  <si>
    <t>Pecans</t>
  </si>
  <si>
    <t>Apples</t>
    <phoneticPr fontId="1" type="noConversion"/>
  </si>
  <si>
    <t>Apricots</t>
  </si>
  <si>
    <t>Blackberries</t>
  </si>
  <si>
    <t>Blueberries</t>
  </si>
  <si>
    <t>Cantaloupes</t>
  </si>
  <si>
    <t>Cherries</t>
    <phoneticPr fontId="1" type="noConversion"/>
  </si>
  <si>
    <t>Cranberries</t>
  </si>
  <si>
    <t>Currants</t>
    <phoneticPr fontId="1" type="noConversion"/>
  </si>
  <si>
    <t>Dates</t>
    <phoneticPr fontId="1" type="noConversion"/>
  </si>
  <si>
    <t>Figs</t>
    <phoneticPr fontId="1" type="noConversion"/>
  </si>
  <si>
    <t>Gooseberries</t>
  </si>
  <si>
    <t>Grapefruit</t>
  </si>
  <si>
    <t>Grapes</t>
    <phoneticPr fontId="1" type="noConversion"/>
  </si>
  <si>
    <t>Limes</t>
  </si>
  <si>
    <t>Mangos</t>
    <phoneticPr fontId="1" type="noConversion"/>
  </si>
  <si>
    <t>Melons</t>
    <phoneticPr fontId="1" type="noConversion"/>
  </si>
  <si>
    <t>Nectarines</t>
  </si>
  <si>
    <t>Olives</t>
  </si>
  <si>
    <t>Peaches</t>
    <phoneticPr fontId="1" type="noConversion"/>
  </si>
  <si>
    <t>Pears</t>
  </si>
  <si>
    <t>Persimmons</t>
  </si>
  <si>
    <t>Pineapples</t>
  </si>
  <si>
    <t>Plums</t>
  </si>
  <si>
    <t>Pomegranates</t>
  </si>
  <si>
    <t>Prunes</t>
    <phoneticPr fontId="1" type="noConversion"/>
  </si>
  <si>
    <t>Quinces</t>
  </si>
  <si>
    <t>Raisins</t>
    <phoneticPr fontId="1" type="noConversion"/>
  </si>
  <si>
    <t>Raspberries</t>
  </si>
  <si>
    <t>Popcorn</t>
    <phoneticPr fontId="1" type="noConversion"/>
  </si>
  <si>
    <t>Peanut brittle</t>
    <phoneticPr fontId="1" type="noConversion"/>
  </si>
  <si>
    <t>Tangerines</t>
  </si>
  <si>
    <t>Avocados</t>
  </si>
  <si>
    <t>Bananas</t>
  </si>
  <si>
    <t>Lemons</t>
    <phoneticPr fontId="1" type="noConversion"/>
  </si>
  <si>
    <t>Strawberries</t>
  </si>
  <si>
    <t>Oranges</t>
    <phoneticPr fontId="1" type="noConversion"/>
  </si>
  <si>
    <t>Other</t>
    <phoneticPr fontId="1" type="noConversion"/>
  </si>
  <si>
    <t>Grapefruit juice</t>
    <phoneticPr fontId="1" type="noConversion"/>
  </si>
  <si>
    <t>Grape juice</t>
    <phoneticPr fontId="1" type="noConversion"/>
  </si>
  <si>
    <t>Lemon juice</t>
  </si>
  <si>
    <t>Lime juice</t>
    <phoneticPr fontId="1" type="noConversion"/>
  </si>
  <si>
    <t>Orange juice</t>
  </si>
  <si>
    <t>Pineapple juice</t>
    <phoneticPr fontId="1" type="noConversion"/>
  </si>
  <si>
    <t>Prune juice</t>
  </si>
  <si>
    <t>Tomato juice</t>
  </si>
  <si>
    <t>Cranberry-apple juice drink</t>
  </si>
  <si>
    <t>Cranberry-grape juice drink</t>
  </si>
  <si>
    <t>Fruit punch drink</t>
  </si>
  <si>
    <t>Club soda</t>
  </si>
  <si>
    <t>Cola</t>
    <phoneticPr fontId="1" type="noConversion"/>
  </si>
  <si>
    <t>Cream soda</t>
  </si>
  <si>
    <t>Ginger ale</t>
  </si>
  <si>
    <t>Grape soda</t>
  </si>
  <si>
    <t>Lemon-lime soda</t>
  </si>
  <si>
    <t>Orange soda</t>
  </si>
  <si>
    <t>Root beer</t>
  </si>
  <si>
    <t>Honey</t>
  </si>
  <si>
    <t>Maple syrup</t>
    <phoneticPr fontId="1" type="noConversion"/>
  </si>
  <si>
    <t>Yeast</t>
    <phoneticPr fontId="1" type="noConversion"/>
  </si>
  <si>
    <t>Apple juice</t>
    <phoneticPr fontId="1" type="noConversion"/>
  </si>
  <si>
    <t>Milk chocolate</t>
  </si>
  <si>
    <t>Fudge, vanilla</t>
    <phoneticPr fontId="1" type="noConversion"/>
  </si>
  <si>
    <t>Marshmallows</t>
  </si>
  <si>
    <t>Animal Derivatives</t>
  </si>
  <si>
    <t>Meat and Bone</t>
    <phoneticPr fontId="1" type="noConversion"/>
  </si>
  <si>
    <t>Ham (Pork)</t>
    <phoneticPr fontId="1" type="noConversion"/>
  </si>
  <si>
    <t>Salami</t>
  </si>
  <si>
    <t>Chicken</t>
  </si>
  <si>
    <t>Duck</t>
  </si>
  <si>
    <t>Turkey</t>
  </si>
  <si>
    <t>Egg White</t>
    <phoneticPr fontId="1" type="noConversion"/>
  </si>
  <si>
    <t>Egg Whole</t>
    <phoneticPr fontId="1" type="noConversion"/>
  </si>
  <si>
    <t>Egg Yolk</t>
    <phoneticPr fontId="1" type="noConversion"/>
  </si>
  <si>
    <t>globe</t>
    <phoneticPr fontId="1" type="noConversion"/>
  </si>
  <si>
    <t>English typ</t>
  </si>
  <si>
    <t>root</t>
    <phoneticPr fontId="1" type="noConversion"/>
  </si>
  <si>
    <t>clippings</t>
    <phoneticPr fontId="1" type="noConversion"/>
  </si>
  <si>
    <t>dirt, leaves</t>
    <phoneticPr fontId="1" type="noConversion"/>
  </si>
  <si>
    <t>iceberg</t>
    <phoneticPr fontId="1" type="noConversion"/>
  </si>
  <si>
    <t>green</t>
    <phoneticPr fontId="1" type="noConversion"/>
  </si>
  <si>
    <t>main crop</t>
    <phoneticPr fontId="1" type="noConversion"/>
  </si>
  <si>
    <t>snap</t>
    <phoneticPr fontId="1" type="noConversion"/>
  </si>
  <si>
    <t>lima</t>
  </si>
  <si>
    <t>pureed</t>
    <phoneticPr fontId="1" type="noConversion"/>
  </si>
  <si>
    <t>dehydrated flakes</t>
  </si>
  <si>
    <t>freeze-dried</t>
  </si>
  <si>
    <t>sweet, green</t>
  </si>
  <si>
    <t>vegetable oyster</t>
    <phoneticPr fontId="1" type="noConversion"/>
  </si>
  <si>
    <t>summer</t>
    <phoneticPr fontId="1" type="noConversion"/>
  </si>
  <si>
    <t>winter</t>
  </si>
  <si>
    <t>ripe</t>
  </si>
  <si>
    <t>greens</t>
  </si>
  <si>
    <t>dry roasted with salt</t>
  </si>
  <si>
    <t>dried</t>
  </si>
  <si>
    <t>sour</t>
    <phoneticPr fontId="1" type="noConversion"/>
  </si>
  <si>
    <t>sweet</t>
  </si>
  <si>
    <t>European black</t>
  </si>
  <si>
    <t>red and white</t>
    <phoneticPr fontId="1" type="noConversion"/>
  </si>
  <si>
    <t>cured</t>
    <phoneticPr fontId="1" type="noConversion"/>
  </si>
  <si>
    <t>fresh</t>
    <phoneticPr fontId="1" type="noConversion"/>
  </si>
  <si>
    <t>American typ</t>
    <phoneticPr fontId="1" type="noConversion"/>
  </si>
  <si>
    <t>European type</t>
  </si>
  <si>
    <t>honeydew</t>
  </si>
  <si>
    <t>watermelon</t>
  </si>
  <si>
    <t>dried</t>
    <phoneticPr fontId="1" type="noConversion"/>
  </si>
  <si>
    <t>seedless</t>
    <phoneticPr fontId="1" type="noConversion"/>
  </si>
  <si>
    <t>air-popped</t>
    <phoneticPr fontId="1" type="noConversion"/>
  </si>
  <si>
    <t>oil-popped</t>
  </si>
  <si>
    <t>sweet</t>
    <phoneticPr fontId="1" type="noConversion"/>
  </si>
  <si>
    <t>mature green</t>
    <phoneticPr fontId="1" type="noConversion"/>
  </si>
  <si>
    <t>casaba</t>
    <phoneticPr fontId="1" type="noConversion"/>
  </si>
  <si>
    <t>raw</t>
  </si>
  <si>
    <t>sweetened</t>
    <phoneticPr fontId="1" type="noConversion"/>
  </si>
  <si>
    <t>unsweetened</t>
    <phoneticPr fontId="1" type="noConversion"/>
  </si>
  <si>
    <t>baker’s, compressed</t>
    <phoneticPr fontId="1" type="noConversion"/>
  </si>
  <si>
    <t>whole (ribs 6-12)</t>
    <phoneticPr fontId="1" type="noConversion"/>
  </si>
  <si>
    <t>kippered</t>
    <phoneticPr fontId="1" type="noConversion"/>
  </si>
  <si>
    <t>Atlantic typ</t>
    <phoneticPr fontId="1" type="noConversion"/>
  </si>
  <si>
    <t>pink</t>
    <phoneticPr fontId="1" type="noConversion"/>
  </si>
  <si>
    <t>bluefin</t>
    <phoneticPr fontId="1" type="noConversion"/>
  </si>
  <si>
    <t>no shell</t>
  </si>
  <si>
    <t>choice</t>
    <phoneticPr fontId="1" type="noConversion"/>
  </si>
  <si>
    <t>select</t>
    <phoneticPr fontId="1" type="noConversion"/>
  </si>
  <si>
    <t>full cut, lean and fat</t>
    <phoneticPr fontId="1" type="noConversion"/>
  </si>
  <si>
    <t>full cut, lean</t>
  </si>
  <si>
    <t>lean</t>
    <phoneticPr fontId="1" type="noConversion"/>
  </si>
  <si>
    <t>porterhouse steak, lean</t>
    <phoneticPr fontId="1" type="noConversion"/>
  </si>
  <si>
    <t>cured, whole, lean</t>
    <phoneticPr fontId="1" type="noConversion"/>
  </si>
  <si>
    <t>whole, lean</t>
    <phoneticPr fontId="1" type="noConversion"/>
  </si>
  <si>
    <t>salted</t>
    <phoneticPr fontId="1" type="noConversion"/>
  </si>
  <si>
    <t>sugared</t>
  </si>
  <si>
    <t>whole, lean</t>
  </si>
  <si>
    <t>country cured, lean</t>
  </si>
  <si>
    <t>https://www.tandfonline.com/doi/full/10.1081/JFP-120016621</t>
  </si>
  <si>
    <t>https://www.sciencedirect.com/science/article/pii/S0260877499000795</t>
  </si>
  <si>
    <t>https://www.researchgate.net/profile/Rc-Verma/publication/297790797_Mechanical_and_thermal_properties_of_maize/links/5d68f783299bf1d59944be16/Mechanical-and-thermal-properties-of-maize.pdf</t>
    <phoneticPr fontId="1" type="noConversion"/>
  </si>
  <si>
    <t>https://www.researchgate.net/publication/334623814_PHYSICAL_PROPERTIES_OF_FRESH_GINGER_Zingiber_officinale_RHIZOMES</t>
    <phoneticPr fontId="1" type="noConversion"/>
  </si>
  <si>
    <t>http://uest.ntua.gr/athens2017/proceedings/pdfs/Athens2017_Kwapinska_Leahy.pdf</t>
    <phoneticPr fontId="1" type="noConversion"/>
  </si>
  <si>
    <t>https://www.sciencedirect.com/science/article/pii/S0165237015303247</t>
    <phoneticPr fontId="1" type="noConversion"/>
  </si>
  <si>
    <t>https://www.sciencedirect.com/science/article/pii/S0959652615007234</t>
  </si>
  <si>
    <t>https://www.tandfonline.com/doi/full/10.1080/10942910500471636</t>
  </si>
  <si>
    <t>https://yadda.icm.edu.pl/agro/element/bwmeta1.element.agro-article-17967291-ce47-46fd-a010-97cf0548a2aa</t>
    <phoneticPr fontId="1" type="noConversion"/>
  </si>
  <si>
    <t>https://www.sciencedirect.com/science/article/pii/S1658077X22000996</t>
  </si>
  <si>
    <t>https://link.springer.com/article/10.1007/BF00385604</t>
  </si>
  <si>
    <t>https://www.tandfonline.com/doi/abs/10.1080/10942910009524617</t>
    <phoneticPr fontId="1" type="noConversion"/>
  </si>
  <si>
    <t>Mauritius</t>
  </si>
  <si>
    <t>Packaging</t>
  </si>
  <si>
    <t>Hygienic paper</t>
  </si>
  <si>
    <t>Iraq</t>
  </si>
  <si>
    <t>Walnuts shell</t>
  </si>
  <si>
    <t>Walnuts kernels</t>
  </si>
  <si>
    <t>x</t>
  </si>
  <si>
    <t>w/d basis</t>
  </si>
  <si>
    <t>wet basis</t>
  </si>
  <si>
    <t>air dry basis</t>
  </si>
  <si>
    <t>Green wastes</t>
  </si>
  <si>
    <t>Grass clippings</t>
  </si>
  <si>
    <t>Grass dirt leaves</t>
  </si>
  <si>
    <t>Corn sweet, yellow</t>
  </si>
  <si>
    <t>30 to 60°C and 10 to 50 % moisture</t>
  </si>
  <si>
    <t>Corn</t>
  </si>
  <si>
    <t>Banana peel</t>
  </si>
  <si>
    <t>Chestnut shell</t>
  </si>
  <si>
    <t>Flour</t>
  </si>
  <si>
    <t>Bambo</t>
  </si>
  <si>
    <t>Moso bambo</t>
  </si>
  <si>
    <t xml:space="preserve">Organic </t>
  </si>
  <si>
    <t>China fir</t>
  </si>
  <si>
    <t>Dry wood</t>
  </si>
  <si>
    <t>Pine</t>
  </si>
  <si>
    <t>Pine wood</t>
  </si>
  <si>
    <t>Polar scraps</t>
  </si>
  <si>
    <t>Sawdust</t>
  </si>
  <si>
    <t>Spurce chips</t>
  </si>
  <si>
    <t>Tree branches</t>
  </si>
  <si>
    <t>Wood chips</t>
  </si>
  <si>
    <t>Wooden chopsticks</t>
  </si>
  <si>
    <t>Rice</t>
  </si>
  <si>
    <t>avg. Properties in differents states at 50°C</t>
  </si>
  <si>
    <t>infiltrated with water</t>
  </si>
  <si>
    <t>average value in moisture content between 8 and 1%w.</t>
  </si>
  <si>
    <t>air dryed</t>
  </si>
  <si>
    <t>Lemons Seeds</t>
  </si>
  <si>
    <t>Peanuts</t>
  </si>
  <si>
    <t>Solid density  peanut shell</t>
  </si>
  <si>
    <t>Solid density  peanut kernel</t>
  </si>
  <si>
    <t>Solid density hulled peanuts</t>
  </si>
  <si>
    <t>Argentina</t>
  </si>
  <si>
    <t>Iran</t>
  </si>
  <si>
    <t>Ireland</t>
  </si>
  <si>
    <t>Irland</t>
  </si>
  <si>
    <t>dried, at 23°C</t>
  </si>
  <si>
    <t>Artichokes</t>
  </si>
  <si>
    <t>Cod (whole fish)</t>
  </si>
  <si>
    <t>Haddock (whole fish)</t>
  </si>
  <si>
    <t>Halibut (whole fish)</t>
  </si>
  <si>
    <t>Herring (whole fish)</t>
  </si>
  <si>
    <t>Mackerel (whole fish)</t>
  </si>
  <si>
    <t>Perch (whole fish)</t>
  </si>
  <si>
    <t>Pollock (whole fish)</t>
  </si>
  <si>
    <t>Tuna (whole fish)</t>
  </si>
  <si>
    <t>Whiting (whole fish)</t>
  </si>
  <si>
    <t>Salmon (whole fish)</t>
  </si>
  <si>
    <t>Clams (shellfish)</t>
  </si>
  <si>
    <t>Shrimp (shellfish)</t>
  </si>
  <si>
    <t>Scallop (shellfish)</t>
  </si>
  <si>
    <t>Oysters (shellfish)</t>
  </si>
  <si>
    <t>Lobster (shellfish)</t>
  </si>
  <si>
    <t>T-bone steak, lean</t>
  </si>
  <si>
    <t>Ribs (beef)</t>
  </si>
  <si>
    <t>Carcass (beef)</t>
  </si>
  <si>
    <t>Liver (beef)</t>
  </si>
  <si>
    <t>Round (beef)</t>
  </si>
  <si>
    <t>Sirloin (beef)</t>
  </si>
  <si>
    <t>Short loin (beef)</t>
  </si>
  <si>
    <t>Tenderloin (beef)</t>
  </si>
  <si>
    <t>Veal (beef)</t>
  </si>
  <si>
    <t>Brisket (beef)</t>
  </si>
  <si>
    <t>Backfat (pork)</t>
  </si>
  <si>
    <t>Bacon (pork)</t>
  </si>
  <si>
    <t>Belly (pork)</t>
  </si>
  <si>
    <t>Carcass (pork)</t>
  </si>
  <si>
    <t>Ham (pork)</t>
  </si>
  <si>
    <t>Shoulder (pork)</t>
  </si>
  <si>
    <t>Braunschweiger (sausage)</t>
  </si>
  <si>
    <t>Frankfurter (sausage)</t>
  </si>
  <si>
    <t>Italian (sausage)</t>
  </si>
  <si>
    <t>Polish (sausage)</t>
  </si>
  <si>
    <t>Pork (sausage)</t>
  </si>
  <si>
    <t>Smoked links (sausage)</t>
  </si>
  <si>
    <t>Composite of cuts (lamb)</t>
  </si>
  <si>
    <t>Leg (lamb)</t>
  </si>
  <si>
    <t>Candy</t>
  </si>
  <si>
    <t>Apples</t>
  </si>
  <si>
    <t>Apple</t>
  </si>
  <si>
    <t>Applesauce</t>
  </si>
  <si>
    <t>Apricots,</t>
  </si>
  <si>
    <t>Beans,</t>
  </si>
  <si>
    <t>Dates</t>
  </si>
  <si>
    <t>Figs</t>
  </si>
  <si>
    <t>Grape</t>
  </si>
  <si>
    <t>Orange</t>
  </si>
  <si>
    <t>Peas</t>
  </si>
  <si>
    <t>Pear</t>
  </si>
  <si>
    <t>Potato</t>
  </si>
  <si>
    <t>Prunes</t>
  </si>
  <si>
    <t>Raisins</t>
  </si>
  <si>
    <t>Strawberry</t>
  </si>
  <si>
    <t>Squash</t>
  </si>
  <si>
    <t>Beef</t>
  </si>
  <si>
    <t>Beefstick</t>
  </si>
  <si>
    <t>Bologna</t>
  </si>
  <si>
    <t>Ham,</t>
  </si>
  <si>
    <t>Lamb</t>
  </si>
  <si>
    <t>Pepperoni</t>
  </si>
  <si>
    <t>Pork</t>
  </si>
  <si>
    <t>Sausage</t>
  </si>
  <si>
    <t>Veal</t>
  </si>
  <si>
    <t>Egg,</t>
  </si>
  <si>
    <t>salmon</t>
  </si>
  <si>
    <t>Seal</t>
  </si>
  <si>
    <t>Whale</t>
  </si>
  <si>
    <t>Molasses</t>
  </si>
  <si>
    <t>Flaxseed</t>
  </si>
  <si>
    <t>Sorghum</t>
  </si>
  <si>
    <t>Gelatin</t>
  </si>
  <si>
    <t>Margarine</t>
  </si>
  <si>
    <t>Oil</t>
  </si>
  <si>
    <t xml:space="preserve">Wheat </t>
  </si>
  <si>
    <t>Oats</t>
  </si>
  <si>
    <t>Cake</t>
  </si>
  <si>
    <t>Milk</t>
  </si>
  <si>
    <t>Salmon</t>
  </si>
  <si>
    <t>Fish</t>
  </si>
  <si>
    <t>Peaches</t>
  </si>
  <si>
    <t xml:space="preserve"> (at 8°C)</t>
  </si>
  <si>
    <t>dried (at 23°C)</t>
  </si>
  <si>
    <t>juice (at 20°C)</t>
  </si>
  <si>
    <t xml:space="preserve"> (at 29°C)</t>
  </si>
  <si>
    <t>runner (at 9°C)</t>
  </si>
  <si>
    <t xml:space="preserve"> (at 28°C)</t>
  </si>
  <si>
    <t xml:space="preserve"> (at 23°C)</t>
  </si>
  <si>
    <t>juice vesicle (at 30°C)</t>
  </si>
  <si>
    <t>rind (at 28°C)</t>
  </si>
  <si>
    <t>green, juice (at 20°C)</t>
  </si>
  <si>
    <t>jelly (at 20°C)</t>
  </si>
  <si>
    <t xml:space="preserve"> (at 8.6°C)</t>
  </si>
  <si>
    <t>rind (at 30°C)</t>
  </si>
  <si>
    <t xml:space="preserve"> (at 7°C)</t>
  </si>
  <si>
    <t xml:space="preserve"> (at 8.7°C)</t>
  </si>
  <si>
    <t>salad (at 2°C)</t>
  </si>
  <si>
    <t>jam (at 20°C)</t>
  </si>
  <si>
    <t>lean (at 3°C)</t>
  </si>
  <si>
    <t>lean (at 20°C)</t>
  </si>
  <si>
    <t>lean (at 6°C)</t>
  </si>
  <si>
    <t>ground (at 6°C)</t>
  </si>
  <si>
    <t>ground (at 4°C)</t>
  </si>
  <si>
    <t>ground (at 3°C)</t>
  </si>
  <si>
    <t>brain (at 35°C)</t>
  </si>
  <si>
    <t>fat (at 35°C)</t>
  </si>
  <si>
    <t>fat (at 2°C)</t>
  </si>
  <si>
    <t>kidney (at 35°C)</t>
  </si>
  <si>
    <t>liver (at 35°C)</t>
  </si>
  <si>
    <t xml:space="preserve"> (at 20°C)</t>
  </si>
  <si>
    <t>country (at 20°C)</t>
  </si>
  <si>
    <t>fat (at 3°C)</t>
  </si>
  <si>
    <t>lean leg (at 4°C)</t>
  </si>
  <si>
    <t xml:space="preserve"> (at 25°C)</t>
  </si>
  <si>
    <t>breast (at 20°C)</t>
  </si>
  <si>
    <t>with skin (at 20°C)</t>
  </si>
  <si>
    <t>breast (at 3°C)</t>
  </si>
  <si>
    <t>leg (at 4°C)</t>
  </si>
  <si>
    <t>white (at 36°C)</t>
  </si>
  <si>
    <t>yolk (at 31°C)</t>
  </si>
  <si>
    <t>cod (at 3°C)</t>
  </si>
  <si>
    <t>cod (at 1°C)</t>
  </si>
  <si>
    <t xml:space="preserve"> (at 3°C)</t>
  </si>
  <si>
    <t xml:space="preserve"> (at 5°C)</t>
  </si>
  <si>
    <t>blubber (at 5°C)</t>
  </si>
  <si>
    <t>blubber (at 18°C)</t>
  </si>
  <si>
    <t>meat (at 32°C)</t>
  </si>
  <si>
    <t>whole (at 28°C)</t>
  </si>
  <si>
    <t>whole (at 2°C)</t>
  </si>
  <si>
    <t>whole (at 20°C)</t>
  </si>
  <si>
    <t>whole (at 50°C)</t>
  </si>
  <si>
    <t>whole (at 80°C)</t>
  </si>
  <si>
    <t>skimmed (at 2°C)</t>
  </si>
  <si>
    <t>skimmed (at 20°C)</t>
  </si>
  <si>
    <t>skimmed (at 50°C)</t>
  </si>
  <si>
    <t>skimmed (at 80°C)</t>
  </si>
  <si>
    <t>evaporated (at 2°C)</t>
  </si>
  <si>
    <t>evaporated (at 20°C)</t>
  </si>
  <si>
    <t>evaporated (at 50°C)</t>
  </si>
  <si>
    <t>evaporated (at 80°C)</t>
  </si>
  <si>
    <t>evaporated (at 23°C)</t>
  </si>
  <si>
    <t>evaporated (at 41°C)</t>
  </si>
  <si>
    <t>evaporated (at 60°C)</t>
  </si>
  <si>
    <t>evaporated (at 79°C)</t>
  </si>
  <si>
    <t>evaporated (at 26°C)</t>
  </si>
  <si>
    <t>evaporated (at 40°C)</t>
  </si>
  <si>
    <t>evaporated (at 59°C)</t>
  </si>
  <si>
    <t>Whey (at 2°C)</t>
  </si>
  <si>
    <t>Whey (at 20°C)</t>
  </si>
  <si>
    <t>Whey (at 50°C)</t>
  </si>
  <si>
    <t>Whey (at 80°C)</t>
  </si>
  <si>
    <t xml:space="preserve"> (at 2°C)</t>
  </si>
  <si>
    <t xml:space="preserve"> (at 69°C)</t>
  </si>
  <si>
    <t>syrup (at 30°C)</t>
  </si>
  <si>
    <t>angel food (at 23°C)</t>
  </si>
  <si>
    <t>applesauce (at 23°C)</t>
  </si>
  <si>
    <t>carrot (at 23°C)</t>
  </si>
  <si>
    <t>chocolate (at 23°C)</t>
  </si>
  <si>
    <t>pound (at 23°C)</t>
  </si>
  <si>
    <t>yellow (at 23°C)</t>
  </si>
  <si>
    <t>white (at 23°C)</t>
  </si>
  <si>
    <t>yellow (at 32°C)</t>
  </si>
  <si>
    <t xml:space="preserve"> (at 32°C)</t>
  </si>
  <si>
    <t>white English (at 27°C)</t>
  </si>
  <si>
    <t>No. 1 northern  (at 34°C)</t>
  </si>
  <si>
    <t>hard spring (at °C)</t>
  </si>
  <si>
    <t>soft white winter (at 31°C)</t>
  </si>
  <si>
    <t>gel (at 5°C)</t>
  </si>
  <si>
    <t>almond (at 4°C)</t>
  </si>
  <si>
    <t>cod liver (at 35°C)</t>
  </si>
  <si>
    <t>lemon (at 6°C)</t>
  </si>
  <si>
    <t>mustard (at 25°C)</t>
  </si>
  <si>
    <t>nutmeg (at 4°C)</t>
  </si>
  <si>
    <t>olive (at 7°C)</t>
  </si>
  <si>
    <t>olive (at 32°C)</t>
  </si>
  <si>
    <t>olive (at 65°C)</t>
  </si>
  <si>
    <t>olive (at 151°C)</t>
  </si>
  <si>
    <t>olive (at 185°C)</t>
  </si>
  <si>
    <t>peanut (at 4°C)</t>
  </si>
  <si>
    <t>peanut (at 25°C)</t>
  </si>
  <si>
    <t>rapeseed (at 20°C)</t>
  </si>
  <si>
    <t>sesame (at 4°C)</t>
  </si>
  <si>
    <t>kitchen waste</t>
  </si>
  <si>
    <t>Dog food</t>
  </si>
  <si>
    <t>Cat food</t>
  </si>
  <si>
    <t>(at 23°C)</t>
  </si>
  <si>
    <t>(at 20°C)</t>
  </si>
  <si>
    <t>Horse meat</t>
  </si>
  <si>
    <t>(at 30°C)</t>
  </si>
  <si>
    <t>lean flank (at 2.2°C)</t>
  </si>
  <si>
    <t>Sweet-lime</t>
  </si>
  <si>
    <t>Lemon</t>
  </si>
  <si>
    <t>Appel</t>
  </si>
  <si>
    <t>average value</t>
  </si>
  <si>
    <t xml:space="preserve">Pomegranate </t>
  </si>
  <si>
    <t>Pomegranate arils</t>
  </si>
  <si>
    <t xml:space="preserve">Coffee, green (beans)   </t>
  </si>
  <si>
    <t xml:space="preserve">Coffee, powder (nescafé)   </t>
  </si>
  <si>
    <t xml:space="preserve">Coffee, roasted (beans)   </t>
  </si>
  <si>
    <t xml:space="preserve">Powder, chocolate drinking powder  </t>
  </si>
  <si>
    <t xml:space="preserve">Powders     </t>
  </si>
  <si>
    <t xml:space="preserve">Tea, black (tea leaves)  </t>
  </si>
  <si>
    <t xml:space="preserve">Tea, herbal, Ciakimora leaves  </t>
  </si>
  <si>
    <t xml:space="preserve">Tea, flakes    </t>
  </si>
  <si>
    <t xml:space="preserve">Tea, powdered    </t>
  </si>
  <si>
    <t>Cooking oil elianto oil, salad, golden fry, rina</t>
  </si>
  <si>
    <t xml:space="preserve">Cooking oil, sima   </t>
  </si>
  <si>
    <t xml:space="preserve">Cooking oil, tily, chipo, pura </t>
  </si>
  <si>
    <t xml:space="preserve">Oil, other than palmoil  </t>
  </si>
  <si>
    <t xml:space="preserve">Oil, palmoil    </t>
  </si>
  <si>
    <t xml:space="preserve">Oil, sunflower    </t>
  </si>
  <si>
    <t xml:space="preserve">Oil, vegetable, coconut   </t>
  </si>
  <si>
    <t xml:space="preserve">Oil, vegetable, corn   </t>
  </si>
  <si>
    <t xml:space="preserve">Oil, vegetable, olive   </t>
  </si>
  <si>
    <t xml:space="preserve">Oil, vegetable, palm   </t>
  </si>
  <si>
    <t xml:space="preserve">Oil, vegetable, peanut   </t>
  </si>
  <si>
    <t xml:space="preserve">Oil, vegetable, soya   </t>
  </si>
  <si>
    <t xml:space="preserve">Animal fat    </t>
  </si>
  <si>
    <t xml:space="preserve">Lard     </t>
  </si>
  <si>
    <t xml:space="preserve">Mayonnaise, light    </t>
  </si>
  <si>
    <t xml:space="preserve">Mayonnaise, traditional    </t>
  </si>
  <si>
    <t xml:space="preserve">Solid vegetable fat kimbo  </t>
  </si>
  <si>
    <t xml:space="preserve">Solid vegetable fat rina  </t>
  </si>
  <si>
    <t xml:space="preserve">Barley     </t>
  </si>
  <si>
    <t xml:space="preserve">Barley malt, flour   </t>
  </si>
  <si>
    <t xml:space="preserve">Barley, fine ground   </t>
  </si>
  <si>
    <t xml:space="preserve">Barley, meal    </t>
  </si>
  <si>
    <t xml:space="preserve">Barley, flour    </t>
  </si>
  <si>
    <t xml:space="preserve">Barley, flour, malted   </t>
  </si>
  <si>
    <t xml:space="preserve">Barley, ground    </t>
  </si>
  <si>
    <t xml:space="preserve">Barley, malted    </t>
  </si>
  <si>
    <t xml:space="preserve">Barley, rolled    </t>
  </si>
  <si>
    <t xml:space="preserve">Barley, scoured    </t>
  </si>
  <si>
    <t xml:space="preserve">Barley, whole    </t>
  </si>
  <si>
    <t xml:space="preserve">Biscuits     </t>
  </si>
  <si>
    <t xml:space="preserve">Bran     </t>
  </si>
  <si>
    <t xml:space="preserve">Bread     </t>
  </si>
  <si>
    <t xml:space="preserve">Bread, cornbread    </t>
  </si>
  <si>
    <t xml:space="preserve">Bread, roll, soft   </t>
  </si>
  <si>
    <t xml:space="preserve">Bread, white    </t>
  </si>
  <si>
    <t xml:space="preserve">Bread, white, sliced, prepacked  </t>
  </si>
  <si>
    <t xml:space="preserve">Breadcrumbs     </t>
  </si>
  <si>
    <t xml:space="preserve">Breakfast cereal, cornflakes (dry cereal) </t>
  </si>
  <si>
    <t xml:space="preserve">Breakfast cereal, muesli w/ fruits&amp;nuts </t>
  </si>
  <si>
    <t xml:space="preserve">Breakfast cereal, raisin bran  </t>
  </si>
  <si>
    <t xml:space="preserve">Breakfast cereal, type Cheerios  </t>
  </si>
  <si>
    <t xml:space="preserve">Breakfast cereal, type Corn flakes </t>
  </si>
  <si>
    <t xml:space="preserve">Breakfast cereal, type Crispix  </t>
  </si>
  <si>
    <t xml:space="preserve">Breakfast cereal, type frosted flakes </t>
  </si>
  <si>
    <t xml:space="preserve">Breakfast cereal, type Just Right </t>
  </si>
  <si>
    <t xml:space="preserve">Breakfast cereal, type rice krispies </t>
  </si>
  <si>
    <t xml:space="preserve">Buckwheat, bran    </t>
  </si>
  <si>
    <t xml:space="preserve">Buckwheat, flour    </t>
  </si>
  <si>
    <t xml:space="preserve">Buckwheat, whole    </t>
  </si>
  <si>
    <t xml:space="preserve">Bulrush mille, fermented flour  </t>
  </si>
  <si>
    <t xml:space="preserve">Cake     </t>
  </si>
  <si>
    <t xml:space="preserve">Cake mix    </t>
  </si>
  <si>
    <t xml:space="preserve">Corn/maize flour, white   </t>
  </si>
  <si>
    <t xml:space="preserve">Corn/maize starch, loosely packed  </t>
  </si>
  <si>
    <t xml:space="preserve">Corn/maize sugar    </t>
  </si>
  <si>
    <t xml:space="preserve">Corn/maize, boiled    </t>
  </si>
  <si>
    <t xml:space="preserve">Corn/maize, boiled with fat  </t>
  </si>
  <si>
    <t xml:space="preserve">Corn/maize, bran    </t>
  </si>
  <si>
    <t xml:space="preserve">Corn/maize, chops (coarse)   </t>
  </si>
  <si>
    <t xml:space="preserve">Corn/maize, chops (fine)   </t>
  </si>
  <si>
    <t xml:space="preserve">Corn/maize, chops (medium)   </t>
  </si>
  <si>
    <t xml:space="preserve">Corn/maize, cobs    </t>
  </si>
  <si>
    <t xml:space="preserve">Corn/maize, cracked (coarse)   </t>
  </si>
  <si>
    <t xml:space="preserve">Corn/maize, ear    </t>
  </si>
  <si>
    <t xml:space="preserve">Corn/maize, fermented flour   </t>
  </si>
  <si>
    <t xml:space="preserve">Corn/maize, flour    </t>
  </si>
  <si>
    <t xml:space="preserve">Corn/maize, meal    </t>
  </si>
  <si>
    <t xml:space="preserve">Corn/maize, germ flour   </t>
  </si>
  <si>
    <t xml:space="preserve">Corn/maize, gluten flour   </t>
  </si>
  <si>
    <t xml:space="preserve">Corn/maize, grits    </t>
  </si>
  <si>
    <t xml:space="preserve">Corn/maize, ground    </t>
  </si>
  <si>
    <t xml:space="preserve">Corn/maize, kibbled    </t>
  </si>
  <si>
    <t xml:space="preserve">Corn/maize, mash    </t>
  </si>
  <si>
    <t xml:space="preserve">Corn/maize, shelled    </t>
  </si>
  <si>
    <t xml:space="preserve">Corn/maize, starch    </t>
  </si>
  <si>
    <t xml:space="preserve">Corn/maize, starch, tightly packed  </t>
  </si>
  <si>
    <t xml:space="preserve">Corn/maize, white, boiled   </t>
  </si>
  <si>
    <t xml:space="preserve">Corn/maize, white, dry   </t>
  </si>
  <si>
    <t>Corn/maize, whole kernel, dried, cracked (Njenga)</t>
  </si>
  <si>
    <t>Corn/maize, whole kernel, dried, cracked, boiled (Njenga)</t>
  </si>
  <si>
    <t xml:space="preserve">Corn/maize, whole shelled   </t>
  </si>
  <si>
    <t xml:space="preserve">Donut mix    </t>
  </si>
  <si>
    <t xml:space="preserve">Dough mix    </t>
  </si>
  <si>
    <t xml:space="preserve">Finger millet, fermented flour  </t>
  </si>
  <si>
    <t xml:space="preserve">Millet     </t>
  </si>
  <si>
    <t xml:space="preserve">Millet flour, bulrush   </t>
  </si>
  <si>
    <t xml:space="preserve">Millet flour, finger   </t>
  </si>
  <si>
    <t xml:space="preserve">Millet, bulrush    </t>
  </si>
  <si>
    <t xml:space="preserve">Millet, finger    </t>
  </si>
  <si>
    <t xml:space="preserve">Oat Flour    </t>
  </si>
  <si>
    <t xml:space="preserve">Oat middlings    </t>
  </si>
  <si>
    <t xml:space="preserve">Oats     </t>
  </si>
  <si>
    <t xml:space="preserve">Oats groats, whole   </t>
  </si>
  <si>
    <t xml:space="preserve">Oats, ground    </t>
  </si>
  <si>
    <t xml:space="preserve">Oats, hulls    </t>
  </si>
  <si>
    <t xml:space="preserve">Oats, rolled    </t>
  </si>
  <si>
    <t xml:space="preserve">Pasta, short macaroni style, boiled </t>
  </si>
  <si>
    <t xml:space="preserve">Pasta, short macaroni style, raw </t>
  </si>
  <si>
    <t xml:space="preserve">Pasta/ noodles, boiled   </t>
  </si>
  <si>
    <t xml:space="preserve">Porridge flour bonavist, boiled  </t>
  </si>
  <si>
    <t xml:space="preserve">Porridge flour bonavist, raw  </t>
  </si>
  <si>
    <t>Porridge flour ken-uji + lemon extract</t>
  </si>
  <si>
    <t>Porridge flour ken-uji:F.mill, bul, sorg, wheat</t>
  </si>
  <si>
    <t xml:space="preserve">Porridge, maize, flour + water </t>
  </si>
  <si>
    <t xml:space="preserve">Rice     </t>
  </si>
  <si>
    <t xml:space="preserve">Rice, boiled    </t>
  </si>
  <si>
    <t xml:space="preserve">Rice, boiled with fat  </t>
  </si>
  <si>
    <t xml:space="preserve">Rice, bran    </t>
  </si>
  <si>
    <t xml:space="preserve">Rice, hulled    </t>
  </si>
  <si>
    <t xml:space="preserve">Rice, puffed    </t>
  </si>
  <si>
    <t xml:space="preserve">Rice, raw    </t>
  </si>
  <si>
    <t xml:space="preserve">Rice, rough    </t>
  </si>
  <si>
    <t xml:space="preserve">Rice, white, boiled   </t>
  </si>
  <si>
    <t xml:space="preserve">Rice, white, raw   </t>
  </si>
  <si>
    <t xml:space="preserve">Rye     </t>
  </si>
  <si>
    <t xml:space="preserve">Rye, bran    </t>
  </si>
  <si>
    <t xml:space="preserve">Rye, flour    </t>
  </si>
  <si>
    <t xml:space="preserve">Rye, malted    </t>
  </si>
  <si>
    <t xml:space="preserve">Rye, middlings    </t>
  </si>
  <si>
    <t xml:space="preserve">Rye, shorts    </t>
  </si>
  <si>
    <t xml:space="preserve">Rye, whole    </t>
  </si>
  <si>
    <t xml:space="preserve">Semolina, raw    </t>
  </si>
  <si>
    <t xml:space="preserve">Sorghum, fermented flour   </t>
  </si>
  <si>
    <t xml:space="preserve">Sorghum, flour    </t>
  </si>
  <si>
    <t xml:space="preserve">Sorghum, seed    </t>
  </si>
  <si>
    <t xml:space="preserve">Soy, flour    </t>
  </si>
  <si>
    <t xml:space="preserve">Soya, flour    </t>
  </si>
  <si>
    <t xml:space="preserve">Wheat     </t>
  </si>
  <si>
    <t xml:space="preserve">Wheat, bran    </t>
  </si>
  <si>
    <t xml:space="preserve">Wheat, cracked    </t>
  </si>
  <si>
    <t xml:space="preserve">Wheat, cut    </t>
  </si>
  <si>
    <t xml:space="preserve">Wheat, flour    </t>
  </si>
  <si>
    <t xml:space="preserve">Wheat, flour, malted   </t>
  </si>
  <si>
    <t xml:space="preserve">Wheat, flour, white   </t>
  </si>
  <si>
    <t xml:space="preserve">Wheat, flour, wholemeal   </t>
  </si>
  <si>
    <t xml:space="preserve">Wheat, gluten    </t>
  </si>
  <si>
    <t xml:space="preserve">Wheat, hulls    </t>
  </si>
  <si>
    <t xml:space="preserve">Wheat, middlings    </t>
  </si>
  <si>
    <t xml:space="preserve">Wheat, shaved    </t>
  </si>
  <si>
    <t xml:space="preserve">Wheat, whole    </t>
  </si>
  <si>
    <t xml:space="preserve">Whey     </t>
  </si>
  <si>
    <t xml:space="preserve">Arrowroot/cocoyam, boiled    </t>
  </si>
  <si>
    <t xml:space="preserve">Arrowroot/cocoyam, raw    </t>
  </si>
  <si>
    <t xml:space="preserve">Cassava,flour     </t>
  </si>
  <si>
    <t xml:space="preserve">Cassava, boiled    </t>
  </si>
  <si>
    <t xml:space="preserve">Cassava, raw    </t>
  </si>
  <si>
    <t xml:space="preserve">Potato, english, boiled   </t>
  </si>
  <si>
    <t xml:space="preserve">Potato, english, raw   </t>
  </si>
  <si>
    <t xml:space="preserve">Potatoes, flakes    </t>
  </si>
  <si>
    <t xml:space="preserve">Potatoes, powdered    </t>
  </si>
  <si>
    <t xml:space="preserve">Sweet potato, boiled   </t>
  </si>
  <si>
    <t xml:space="preserve">Sweet potato, raw   </t>
  </si>
  <si>
    <t xml:space="preserve">Yam, boiled    </t>
  </si>
  <si>
    <t xml:space="preserve">Yam, raw    </t>
  </si>
  <si>
    <t xml:space="preserve">Almonds     </t>
  </si>
  <si>
    <t xml:space="preserve">Cashews     </t>
  </si>
  <si>
    <t xml:space="preserve">Coconut Chips    </t>
  </si>
  <si>
    <t xml:space="preserve">Flaxseed     </t>
  </si>
  <si>
    <t xml:space="preserve">Nuts     </t>
  </si>
  <si>
    <t xml:space="preserve">Peanuts     </t>
  </si>
  <si>
    <t xml:space="preserve">Peanuts, shelled    </t>
  </si>
  <si>
    <t xml:space="preserve">Peanuts, unshelled    </t>
  </si>
  <si>
    <t xml:space="preserve">Pistachio, raw, with shell  </t>
  </si>
  <si>
    <t xml:space="preserve">Pistachio, raw, without shell  </t>
  </si>
  <si>
    <t xml:space="preserve">Rapeseed     </t>
  </si>
  <si>
    <t xml:space="preserve">Sunflower, seed    </t>
  </si>
  <si>
    <t xml:space="preserve">Apple slices, dried   </t>
  </si>
  <si>
    <t xml:space="preserve">Loquat     </t>
  </si>
  <si>
    <t xml:space="preserve">Paw Paw, unripe   </t>
  </si>
  <si>
    <t xml:space="preserve">Alfalfa, leaf, meal   </t>
  </si>
  <si>
    <t xml:space="preserve">Alfalfa,meal, dehydrated 0.13   </t>
  </si>
  <si>
    <t xml:space="preserve">Alfalfa, meal, dehydrated 0.17  </t>
  </si>
  <si>
    <t xml:space="preserve">Alfalfa, meal, fine ground  </t>
  </si>
  <si>
    <t xml:space="preserve">Alfalfa, meal, suncured 0.13  </t>
  </si>
  <si>
    <t xml:space="preserve">Alfalfa, seed    </t>
  </si>
  <si>
    <t xml:space="preserve">Alfalfa, stem meal   </t>
  </si>
  <si>
    <t xml:space="preserve">Carrot, raw, chopped   </t>
  </si>
  <si>
    <t xml:space="preserve">Carrot, raw, grated   </t>
  </si>
  <si>
    <t xml:space="preserve">Cauliflower, boiled    </t>
  </si>
  <si>
    <t xml:space="preserve">Chili, green    </t>
  </si>
  <si>
    <t xml:space="preserve">Chili, red    </t>
  </si>
  <si>
    <t xml:space="preserve">French green beans   </t>
  </si>
  <si>
    <t xml:space="preserve">Fresh green peas (minji)  </t>
  </si>
  <si>
    <t>Leaves, managu, raw (black night shade)</t>
  </si>
  <si>
    <t xml:space="preserve">Leaves, onion, spring onion, raw </t>
  </si>
  <si>
    <t xml:space="preserve">Corn/maize, green, sweet corn, boiled </t>
  </si>
  <si>
    <t xml:space="preserve">Corn/maize, green, sweet corn, raw </t>
  </si>
  <si>
    <t xml:space="preserve">Olives, green, with stone  </t>
  </si>
  <si>
    <t xml:space="preserve">Onions, chopped    </t>
  </si>
  <si>
    <t xml:space="preserve">Onions, minced    </t>
  </si>
  <si>
    <t xml:space="preserve">Onions, powdered    </t>
  </si>
  <si>
    <t xml:space="preserve">Onions, fried, cubed   </t>
  </si>
  <si>
    <t xml:space="preserve">Onions, raw, cubed   </t>
  </si>
  <si>
    <t xml:space="preserve">Salad, green, leaves, raw  </t>
  </si>
  <si>
    <t xml:space="preserve">Spinach, frozen, cooked   </t>
  </si>
  <si>
    <t xml:space="preserve">Spinach, leaves, raw   </t>
  </si>
  <si>
    <t xml:space="preserve">Sweet pepper, raw, cubes  </t>
  </si>
  <si>
    <t xml:space="preserve">Sweet pepper, raw, half rings </t>
  </si>
  <si>
    <t xml:space="preserve">Beans, white    </t>
  </si>
  <si>
    <t xml:space="preserve">Cowpeas     </t>
  </si>
  <si>
    <t xml:space="preserve">Cowpeas, dried, boiled   </t>
  </si>
  <si>
    <t xml:space="preserve">Cowpeas, dried, raw   </t>
  </si>
  <si>
    <t xml:space="preserve">Greengram, boiled    </t>
  </si>
  <si>
    <t xml:space="preserve">Greengram, raw    </t>
  </si>
  <si>
    <t xml:space="preserve">Kidney beans, dry, boiled  </t>
  </si>
  <si>
    <t xml:space="preserve">Kidney beans, dry, raw  </t>
  </si>
  <si>
    <t xml:space="preserve">Kidney beans, green, boiled  </t>
  </si>
  <si>
    <t xml:space="preserve">Kidney beans, green, raw  </t>
  </si>
  <si>
    <t xml:space="preserve">Lentils, green, small, boiled  </t>
  </si>
  <si>
    <t xml:space="preserve">Lentils, green, small, raw  </t>
  </si>
  <si>
    <t xml:space="preserve">Pigeon peas, boiled   </t>
  </si>
  <si>
    <t xml:space="preserve">Pigeon peas, raw   </t>
  </si>
  <si>
    <t xml:space="preserve">Soybean     </t>
  </si>
  <si>
    <t xml:space="preserve">Soybean, flakes    </t>
  </si>
  <si>
    <t xml:space="preserve">Soybean, hulls    </t>
  </si>
  <si>
    <t xml:space="preserve">Soybean, meal    </t>
  </si>
  <si>
    <t xml:space="preserve">Soybean, boiled    </t>
  </si>
  <si>
    <t xml:space="preserve">Soybean, boiled with fat  </t>
  </si>
  <si>
    <t xml:space="preserve">Prawns, whole, boiled, with shell </t>
  </si>
  <si>
    <t xml:space="preserve">Prawns, whole, boiled, without shell </t>
  </si>
  <si>
    <t xml:space="preserve">Egg, yoke, powder   </t>
  </si>
  <si>
    <t xml:space="preserve">Egg, chicken, boiled/poached   </t>
  </si>
  <si>
    <t xml:space="preserve">Eggs, powdered    </t>
  </si>
  <si>
    <t xml:space="preserve">Blood, flour    </t>
  </si>
  <si>
    <t xml:space="preserve">Blood, meal    </t>
  </si>
  <si>
    <t xml:space="preserve">Bone and meat meal, loose </t>
  </si>
  <si>
    <t xml:space="preserve">Bone meal, loose   </t>
  </si>
  <si>
    <t xml:space="preserve">Cow intestine, boiled   </t>
  </si>
  <si>
    <t xml:space="preserve">Cow, lean, no bone, raw </t>
  </si>
  <si>
    <t xml:space="preserve">Cow, intestine, raw   </t>
  </si>
  <si>
    <t xml:space="preserve">Goat, intestine, boiled   </t>
  </si>
  <si>
    <t xml:space="preserve">Goat, intestine, raw   </t>
  </si>
  <si>
    <t xml:space="preserve">Pork, fatty, with bone, boiled </t>
  </si>
  <si>
    <t xml:space="preserve">Pork, fatty, with bone, raw </t>
  </si>
  <si>
    <t xml:space="preserve">Pork, medium, with bone, boiled </t>
  </si>
  <si>
    <t xml:space="preserve">Pork, medium, with bone, raw </t>
  </si>
  <si>
    <t xml:space="preserve">Potato chips    </t>
  </si>
  <si>
    <t xml:space="preserve">Potato chips, pringles   </t>
  </si>
  <si>
    <t xml:space="preserve">Snacks, puffed, lowfat   </t>
  </si>
  <si>
    <t xml:space="preserve">Plant based </t>
  </si>
  <si>
    <t>Other</t>
  </si>
  <si>
    <t>Fish bone</t>
    <phoneticPr fontId="1" type="noConversion"/>
  </si>
  <si>
    <t>Dairy Products</t>
  </si>
  <si>
    <t>Biological milk sludge</t>
  </si>
  <si>
    <t>Milk sludge</t>
  </si>
  <si>
    <t>milk+butter</t>
  </si>
  <si>
    <t>milk+butter+whey powder+casein</t>
  </si>
  <si>
    <t>milk+butter+whey powder+casein+cheese</t>
  </si>
  <si>
    <t>Butter</t>
  </si>
  <si>
    <t>Cheddar chesse</t>
  </si>
  <si>
    <t>Hamburger chesse</t>
  </si>
  <si>
    <t>Old kashkaval cheese</t>
  </si>
  <si>
    <t>Tulum cheese</t>
  </si>
  <si>
    <t>Fresh kashkaval cheese</t>
  </si>
  <si>
    <t>Mozzarella cheese</t>
  </si>
  <si>
    <t>Buffet kashkaval cheese</t>
  </si>
  <si>
    <t>Fresh cream cheese</t>
  </si>
  <si>
    <t>Labne</t>
  </si>
  <si>
    <t>Low fat labne</t>
  </si>
  <si>
    <t>Spreadable cheese</t>
  </si>
  <si>
    <t>Strained yogurt</t>
  </si>
  <si>
    <t>Light yogurt</t>
  </si>
  <si>
    <t>Pasteurized yogurt</t>
  </si>
  <si>
    <t>Extra light yogurt</t>
  </si>
  <si>
    <t>Butter</t>
    <phoneticPr fontId="1" type="noConversion"/>
  </si>
  <si>
    <t>Camembert</t>
  </si>
  <si>
    <t>Cheddar</t>
  </si>
  <si>
    <t>Cottage, uncreamed</t>
  </si>
  <si>
    <t>Cream</t>
  </si>
  <si>
    <t>Gouda</t>
    <phoneticPr fontId="1" type="noConversion"/>
  </si>
  <si>
    <t>Limburger</t>
  </si>
  <si>
    <t>Mozzarella</t>
  </si>
  <si>
    <t>Parmesan, hard</t>
  </si>
  <si>
    <t>Processed American</t>
  </si>
  <si>
    <t>Roquefort</t>
  </si>
  <si>
    <t>Swiss</t>
  </si>
  <si>
    <t>Cream</t>
    <phoneticPr fontId="1" type="noConversion"/>
  </si>
  <si>
    <t>half and half</t>
    <phoneticPr fontId="1" type="noConversion"/>
  </si>
  <si>
    <t>table</t>
    <phoneticPr fontId="1" type="noConversion"/>
  </si>
  <si>
    <t>heavy whipping</t>
    <phoneticPr fontId="1" type="noConversion"/>
  </si>
  <si>
    <t>Ice Cream</t>
    <phoneticPr fontId="1" type="noConversion"/>
  </si>
  <si>
    <t>chocolate</t>
    <phoneticPr fontId="1" type="noConversion"/>
  </si>
  <si>
    <t>strawberry</t>
    <phoneticPr fontId="1" type="noConversion"/>
  </si>
  <si>
    <t>vanilla</t>
    <phoneticPr fontId="1" type="noConversion"/>
  </si>
  <si>
    <t>Milk</t>
    <phoneticPr fontId="1" type="noConversion"/>
  </si>
  <si>
    <t>canned, condensed, sweetened</t>
    <phoneticPr fontId="1" type="noConversion"/>
  </si>
  <si>
    <t>evaporated</t>
    <phoneticPr fontId="1" type="noConversion"/>
  </si>
  <si>
    <t>skim</t>
    <phoneticPr fontId="1" type="noConversion"/>
  </si>
  <si>
    <t>skim, dried</t>
    <phoneticPr fontId="1" type="noConversion"/>
  </si>
  <si>
    <t>whole</t>
    <phoneticPr fontId="1" type="noConversion"/>
  </si>
  <si>
    <t>whey, acid, dried</t>
    <phoneticPr fontId="1" type="noConversion"/>
  </si>
  <si>
    <t>sweet, dried</t>
  </si>
  <si>
    <t xml:space="preserve">Butter     </t>
  </si>
  <si>
    <t xml:space="preserve">Butter, margarine    </t>
  </si>
  <si>
    <t xml:space="preserve">Buttermilk, dried    </t>
  </si>
  <si>
    <t xml:space="preserve">Casein     </t>
  </si>
  <si>
    <t xml:space="preserve">Cheese, emmentaler, grated   </t>
  </si>
  <si>
    <t xml:space="preserve">Cream, 0.13 fat   </t>
  </si>
  <si>
    <t xml:space="preserve">Cream, 0.38 fat   </t>
  </si>
  <si>
    <t xml:space="preserve">Cream, 0.09 fat   </t>
  </si>
  <si>
    <t xml:space="preserve">Cream, heavy    </t>
  </si>
  <si>
    <t xml:space="preserve">Cream, light    </t>
  </si>
  <si>
    <t>Cream sour (crème fraiche about 0.18 fat)</t>
  </si>
  <si>
    <t>Cream sour (crème fraiche about 0.38 fat)</t>
  </si>
  <si>
    <t xml:space="preserve">Cream, whipping (about 0.4 fat) </t>
  </si>
  <si>
    <t xml:space="preserve">Ice cream    </t>
  </si>
  <si>
    <t xml:space="preserve">Ice cream, dairy   </t>
  </si>
  <si>
    <t>Ice cream, light (formerly ice milk)</t>
  </si>
  <si>
    <t>Ice cream, light, no sugar added</t>
  </si>
  <si>
    <t xml:space="preserve">Ice cream, no sugar added </t>
  </si>
  <si>
    <t xml:space="preserve">Ice cream, regular   </t>
  </si>
  <si>
    <t xml:space="preserve">Ice cream, rich   </t>
  </si>
  <si>
    <t xml:space="preserve">Sour milk, cow, whole  </t>
  </si>
  <si>
    <t>Yoghurt, berry, low fat, artificially sweetened</t>
  </si>
  <si>
    <t xml:space="preserve">Yoghurt, fruits    </t>
  </si>
  <si>
    <t xml:space="preserve">Yoghurt, low fat, fruit  </t>
  </si>
  <si>
    <t xml:space="preserve">Yoghurt, plain, unsweetened   </t>
  </si>
  <si>
    <t xml:space="preserve">Yoghurt, strawberry, low fat  </t>
  </si>
  <si>
    <t>Object</t>
    <phoneticPr fontId="5" type="noConversion"/>
  </si>
  <si>
    <t>abbr.</t>
    <phoneticPr fontId="5" type="noConversion"/>
  </si>
  <si>
    <t>Density g/cm^3</t>
    <phoneticPr fontId="5" type="noConversion"/>
  </si>
  <si>
    <t>Thermal conductivity W/mK</t>
    <phoneticPr fontId="5" type="noConversion"/>
  </si>
  <si>
    <t>Specific Heat Capacity kJ/kg*K</t>
    <phoneticPr fontId="5" type="noConversion"/>
  </si>
  <si>
    <t>Comments</t>
    <phoneticPr fontId="5" type="noConversion"/>
  </si>
  <si>
    <t>Volatile content %wt</t>
    <phoneticPr fontId="3" type="noConversion"/>
  </si>
  <si>
    <t>SUM</t>
    <phoneticPr fontId="3" type="noConversion"/>
  </si>
  <si>
    <t>Cl %wt</t>
    <phoneticPr fontId="5" type="noConversion"/>
  </si>
  <si>
    <t>Ref</t>
    <phoneticPr fontId="3" type="noConversion"/>
  </si>
  <si>
    <t>Plastic</t>
    <phoneticPr fontId="5" type="noConversion"/>
  </si>
  <si>
    <t xml:space="preserve">High-density polyethylene </t>
    <phoneticPr fontId="5" type="noConversion"/>
  </si>
  <si>
    <t>HDPE</t>
  </si>
  <si>
    <t>dry ash free basis</t>
    <phoneticPr fontId="5" type="noConversion"/>
  </si>
  <si>
    <t>N/A</t>
    <phoneticPr fontId="3" type="noConversion"/>
  </si>
  <si>
    <t>N/A</t>
  </si>
  <si>
    <t>HDPE</t>
    <phoneticPr fontId="3" type="noConversion"/>
  </si>
  <si>
    <t>HDPE</t>
    <phoneticPr fontId="5" type="noConversion"/>
  </si>
  <si>
    <t>dry basis</t>
    <phoneticPr fontId="5" type="noConversion"/>
  </si>
  <si>
    <t>as received</t>
    <phoneticPr fontId="5" type="noConversion"/>
  </si>
  <si>
    <t>air dry basis</t>
    <phoneticPr fontId="5" type="noConversion"/>
  </si>
  <si>
    <t>Low-density polyethylene</t>
    <phoneticPr fontId="5" type="noConversion"/>
  </si>
  <si>
    <t>LDPE</t>
  </si>
  <si>
    <t>LDPE</t>
    <phoneticPr fontId="3" type="noConversion"/>
  </si>
  <si>
    <t>air dry basis</t>
    <phoneticPr fontId="3" type="noConversion"/>
  </si>
  <si>
    <t>Polyamide (nylon)</t>
    <phoneticPr fontId="5" type="noConversion"/>
  </si>
  <si>
    <t>PA</t>
    <phoneticPr fontId="3" type="noConversion"/>
  </si>
  <si>
    <t>PA</t>
    <phoneticPr fontId="5" type="noConversion"/>
  </si>
  <si>
    <t>Polyethylene</t>
    <phoneticPr fontId="5" type="noConversion"/>
  </si>
  <si>
    <t>PE</t>
    <phoneticPr fontId="5" type="noConversion"/>
  </si>
  <si>
    <t>PE</t>
    <phoneticPr fontId="3" type="noConversion"/>
  </si>
  <si>
    <t>dry basis</t>
    <phoneticPr fontId="3" type="noConversion"/>
  </si>
  <si>
    <t>Polyethylene terephthalate</t>
    <phoneticPr fontId="5" type="noConversion"/>
  </si>
  <si>
    <t>PET</t>
  </si>
  <si>
    <t>PET</t>
    <phoneticPr fontId="3" type="noConversion"/>
  </si>
  <si>
    <t>Polypropylene</t>
    <phoneticPr fontId="5" type="noConversion"/>
  </si>
  <si>
    <t>PP</t>
  </si>
  <si>
    <t>PP</t>
    <phoneticPr fontId="3" type="noConversion"/>
  </si>
  <si>
    <t>Polystyrene</t>
    <phoneticPr fontId="5" type="noConversion"/>
  </si>
  <si>
    <t>PS</t>
  </si>
  <si>
    <t>PS</t>
    <phoneticPr fontId="3" type="noConversion"/>
  </si>
  <si>
    <t>Polystyrene</t>
  </si>
  <si>
    <t>Polyvinylchloride</t>
    <phoneticPr fontId="5" type="noConversion"/>
  </si>
  <si>
    <t>PVC</t>
  </si>
  <si>
    <t>Polyvinylchloride</t>
  </si>
  <si>
    <t>PVC</t>
    <phoneticPr fontId="3" type="noConversion"/>
  </si>
  <si>
    <t>PVC</t>
    <phoneticPr fontId="5" type="noConversion"/>
  </si>
  <si>
    <t>Asia</t>
    <phoneticPr fontId="3" type="noConversion"/>
  </si>
  <si>
    <t>Japan</t>
    <phoneticPr fontId="3" type="noConversion"/>
  </si>
  <si>
    <t>https://www.jstage.jst.go.jp/article/jie/95/8/95_621/_article/-char/ja/</t>
    <phoneticPr fontId="3" type="noConversion"/>
  </si>
  <si>
    <t>Europe</t>
    <phoneticPr fontId="3" type="noConversion"/>
  </si>
  <si>
    <t>Turkey</t>
    <phoneticPr fontId="3" type="noConversion"/>
  </si>
  <si>
    <t>https://www.researchgate.net/publication/242724319</t>
    <phoneticPr fontId="3" type="noConversion"/>
  </si>
  <si>
    <t>India</t>
    <phoneticPr fontId="3" type="noConversion"/>
  </si>
  <si>
    <t>https://onlinelibrary.wiley.com/doi/full/10.1155/2013/987568</t>
    <phoneticPr fontId="3" type="noConversion"/>
  </si>
  <si>
    <t>The Netherlands</t>
    <phoneticPr fontId="3" type="noConversion"/>
  </si>
  <si>
    <t>https://www.sciencedirect.com/science/article/pii/S0165237003001839</t>
    <phoneticPr fontId="3" type="noConversion"/>
  </si>
  <si>
    <t>America</t>
    <phoneticPr fontId="3" type="noConversion"/>
  </si>
  <si>
    <t>USA</t>
    <phoneticPr fontId="3" type="noConversion"/>
  </si>
  <si>
    <t>China</t>
    <phoneticPr fontId="3" type="noConversion"/>
  </si>
  <si>
    <t>https://www.sciencedirect.com/science/article/pii/S0378382007001361</t>
    <phoneticPr fontId="3" type="noConversion"/>
  </si>
  <si>
    <t>https://www.sciencedirect.com/science/article/pii/S0360544221004801</t>
    <phoneticPr fontId="3" type="noConversion"/>
  </si>
  <si>
    <t>https://www.mdpi.com/2073-4360/14/13/2707</t>
    <phoneticPr fontId="3" type="noConversion"/>
  </si>
  <si>
    <t>https://www.sciencedirect.com/science/article/pii/S0301479719303706</t>
    <phoneticPr fontId="3" type="noConversion"/>
  </si>
  <si>
    <t>https://link.springer.com/article/10.1007/s11814-010-0414-1</t>
    <phoneticPr fontId="3" type="noConversion"/>
  </si>
  <si>
    <t>10.1007/s11814-010-0414-1</t>
    <phoneticPr fontId="3" type="noConversion"/>
  </si>
  <si>
    <t>Hungary</t>
    <phoneticPr fontId="3" type="noConversion"/>
  </si>
  <si>
    <t>https://www.sciencedirect.com/science/article/pii/S0141391004001508</t>
    <phoneticPr fontId="3" type="noConversion"/>
  </si>
  <si>
    <t>Africa</t>
    <phoneticPr fontId="3" type="noConversion"/>
  </si>
  <si>
    <t>https://www.sciencedirect.com/science/article/pii/S0196890409005238</t>
    <phoneticPr fontId="3" type="noConversion"/>
  </si>
  <si>
    <t>https://www.sciencedirect.com/science/article/pii/S0016236120314940</t>
    <phoneticPr fontId="3" type="noConversion"/>
  </si>
  <si>
    <t>Brazil</t>
  </si>
  <si>
    <t>https://onlinelibrary.wiley.com/doi/abs/10.1002/(SICI)1097-4628(19961226)62:13%3C2281::AID-APP12%3E3.0.CO;2-6</t>
    <phoneticPr fontId="3" type="noConversion"/>
  </si>
  <si>
    <t>https://www.sciencedirect.com/science/article/pii/S0196890413005785</t>
    <phoneticPr fontId="3" type="noConversion"/>
  </si>
  <si>
    <t>Spain</t>
  </si>
  <si>
    <t>https://www.sciencedirect.com/science/article/pii/S0957582022009624</t>
    <phoneticPr fontId="3" type="noConversion"/>
  </si>
  <si>
    <t>UK</t>
    <phoneticPr fontId="3" type="noConversion"/>
  </si>
  <si>
    <t>https://iopscience.iop.org/article/10.1088/0022-3719/10/2/005/meta</t>
    <phoneticPr fontId="3" type="noConversion"/>
  </si>
  <si>
    <t>10.1088/0022-3719/10/2/005</t>
  </si>
  <si>
    <t>https://pubs.acs.org/doi/full/10.1021/acsomega.9b04116</t>
    <phoneticPr fontId="3" type="noConversion"/>
  </si>
  <si>
    <t>https://www.sciencedirect.com/science/article/pii/S0960148121005474</t>
  </si>
  <si>
    <t>https://www.sciencedirect.com/science/article/pii/S0165237015000637</t>
    <phoneticPr fontId="3" type="noConversion"/>
  </si>
  <si>
    <t>https://www.sciencedirect.com/science/article/pii/S0165237017310860</t>
    <phoneticPr fontId="3" type="noConversion"/>
  </si>
  <si>
    <t>https://www.sciencedirect.com/science/article/pii/S0016236121012758</t>
    <phoneticPr fontId="3" type="noConversion"/>
  </si>
  <si>
    <t>https://www.sciencedirect.com/science/article/pii/S0009250922009253</t>
    <phoneticPr fontId="3" type="noConversion"/>
  </si>
  <si>
    <t>https://www.sciencedirect.com/science/article/pii/S0360544222026962</t>
    <phoneticPr fontId="3" type="noConversion"/>
  </si>
  <si>
    <t>Poland</t>
    <phoneticPr fontId="3" type="noConversion"/>
  </si>
  <si>
    <t>https://www.mdpi.com/1996-1073/15/6/2114</t>
  </si>
  <si>
    <t>https://www.scielo.br/j/bjce/a/QGbJqWFxxtZN5b4MnJFbZcS/?format=html</t>
    <phoneticPr fontId="3" type="noConversion"/>
  </si>
  <si>
    <t>Morocco</t>
    <phoneticPr fontId="3" type="noConversion"/>
  </si>
  <si>
    <t>https://joam.inoe.ro/articles/reconstruction-of-a-triangular-geometry-defects-in-inaccessible-face-by-a-model-of-active-thermography/</t>
    <phoneticPr fontId="3" type="noConversion"/>
  </si>
  <si>
    <t>Germany</t>
    <phoneticPr fontId="3" type="noConversion"/>
  </si>
  <si>
    <t>Spain</t>
    <phoneticPr fontId="3" type="noConversion"/>
  </si>
  <si>
    <t>https://www.sciencedirect.com/science/article/pii/S0378382007002809</t>
    <phoneticPr fontId="3" type="noConversion"/>
  </si>
  <si>
    <t>Saudi Arabia</t>
  </si>
  <si>
    <t>https://www.mdpi.com/1996-1944/13/21/4912</t>
  </si>
  <si>
    <t>Canada</t>
    <phoneticPr fontId="3" type="noConversion"/>
  </si>
  <si>
    <t>https://pubs.acs.org/doi/full/10.1021/acs.iecr.1c03373</t>
    <phoneticPr fontId="3" type="noConversion"/>
  </si>
  <si>
    <t>https://www.sciencedirect.com/science/article/pii/S1743967116301337</t>
    <phoneticPr fontId="3" type="noConversion"/>
  </si>
  <si>
    <t>https://www.mdpi.com/1996-1944/16/18/6079</t>
    <phoneticPr fontId="3" type="noConversion"/>
  </si>
  <si>
    <t>Norway</t>
    <phoneticPr fontId="3" type="noConversion"/>
  </si>
  <si>
    <t>https://www.sciencedirect.com/science/article/pii/S0378382003003242</t>
    <phoneticPr fontId="3" type="noConversion"/>
  </si>
  <si>
    <t>https://www.sciencedirect.com/science/article/pii/S0261306913002847</t>
    <phoneticPr fontId="3" type="noConversion"/>
  </si>
  <si>
    <t>Brazil</t>
    <phoneticPr fontId="3" type="noConversion"/>
  </si>
  <si>
    <t>https://www.abcm.org.br/anais/encit/2008/artigos/3_5316.pdf</t>
    <phoneticPr fontId="3" type="noConversion"/>
  </si>
  <si>
    <t>https://www.mdpi.com/1996-1944/14/7/1795</t>
    <phoneticPr fontId="3" type="noConversion"/>
  </si>
  <si>
    <t>Taiwan</t>
    <phoneticPr fontId="3" type="noConversion"/>
  </si>
  <si>
    <t>https://www.sciencedirect.com/science/article/pii/0956053X9390046Y</t>
    <phoneticPr fontId="3" type="noConversion"/>
  </si>
  <si>
    <t>Poland</t>
  </si>
  <si>
    <t>https://www.mdpi.com/1996-1073/14/15/4510</t>
    <phoneticPr fontId="3" type="noConversion"/>
  </si>
  <si>
    <t>Australia</t>
    <phoneticPr fontId="3" type="noConversion"/>
  </si>
  <si>
    <t>https://www.sciencedirect.com/science/article/pii/S0196890420312413</t>
  </si>
  <si>
    <t>https://core.ac.uk/outputs/83532929/?utm_source=pdf&amp;utm_medium=banner&amp;utm_campaign=pdf-decoration-v1</t>
    <phoneticPr fontId="3" type="noConversion"/>
  </si>
  <si>
    <t>Nigeria</t>
    <phoneticPr fontId="3" type="noConversion"/>
  </si>
  <si>
    <t>https://www.researchgate.net/publication/304837400</t>
    <phoneticPr fontId="3" type="noConversion"/>
  </si>
  <si>
    <t>10.9790/019X-03023438</t>
    <phoneticPr fontId="3" type="noConversion"/>
  </si>
  <si>
    <t>https://www.sciencedirect.com/science/article/pii/S0196890417306945</t>
    <phoneticPr fontId="3" type="noConversion"/>
  </si>
  <si>
    <t>THERMAL AND ELECTRICAL PROPERTIES OF PE</t>
    <phoneticPr fontId="3" type="noConversion"/>
  </si>
  <si>
    <t>https://www.professionalplastics.com/professionalplastics/ThermalPropertiesofPlasticMaterials.pdf?srsltid=AfmBOoq3UWJIlK4AVJJkQWMhGxguTgsTBSOb_-VvRN0nV-U-OIaAqih5</t>
  </si>
  <si>
    <t>https://www.matweb.com/search/datasheet.aspx?matguid=29b7c1d742df4caab61835d8eedada2c&amp;n=1</t>
  </si>
  <si>
    <t>https://www.hinkel-elektronik.de/pdf_node/954.pdf</t>
  </si>
  <si>
    <t>https://www.ensingerplastics.com/en/shapes/pa12-tecamid-12-natural</t>
  </si>
  <si>
    <t>https://rolec.de/fileadmin/Media/44/a2/Polyamid_PA6_en-.pdf</t>
  </si>
  <si>
    <t>Polyamid PA6</t>
  </si>
  <si>
    <t>https://analyzing-testing.netzsch.com/en/polymers-netzsch-com/engineering-thermoplastics/pa11-polyamide-11</t>
  </si>
  <si>
    <t>https://link.springer.com/article/10.1007/s10973-017-6597-5</t>
  </si>
  <si>
    <t>Malaysia</t>
    <phoneticPr fontId="3" type="noConversion"/>
  </si>
  <si>
    <t>10.1088/1742-6596/908/1/012073</t>
    <phoneticPr fontId="3" type="noConversion"/>
  </si>
  <si>
    <t>Indonesia</t>
    <phoneticPr fontId="3" type="noConversion"/>
  </si>
  <si>
    <t>https://iopscience.iop.org/article/10.1088/1755-1315/963/1/012012/meta</t>
    <phoneticPr fontId="3" type="noConversion"/>
  </si>
  <si>
    <t>10.1088/1755-1315/963/1/012012</t>
    <phoneticPr fontId="3" type="noConversion"/>
  </si>
  <si>
    <t>https://www.sciencedirect.com/science/article/pii/S0165237021001212</t>
  </si>
  <si>
    <t>https://www.sciencedirect.com/science/article/pii/S1876610217352062</t>
    <phoneticPr fontId="3" type="noConversion"/>
  </si>
  <si>
    <t>https://www.sciencedirect.com/science/article/pii/S0360544222017431</t>
    <phoneticPr fontId="3" type="noConversion"/>
  </si>
  <si>
    <t>https://www.sciencedirect.com/science/article/pii/S0306261920310205</t>
    <phoneticPr fontId="3" type="noConversion"/>
  </si>
  <si>
    <t>https://www.sciencedirect.com/science/article/pii/S1876610218301218</t>
    <phoneticPr fontId="3" type="noConversion"/>
  </si>
  <si>
    <t>https://www.sciencedirect.com/science/article/pii/S030147972101207X</t>
  </si>
  <si>
    <t>https://intapi.sciendo.com/pdf/10.2478/auoc-2022-0007</t>
    <phoneticPr fontId="3" type="noConversion"/>
  </si>
  <si>
    <t>10.2478/auoc-2022-0007</t>
    <phoneticPr fontId="3" type="noConversion"/>
  </si>
  <si>
    <t>https://www.mdpi.com/2073-4360/12/3/705</t>
    <phoneticPr fontId="3" type="noConversion"/>
  </si>
  <si>
    <t xml:space="preserve">Asia </t>
    <phoneticPr fontId="3" type="noConversion"/>
  </si>
  <si>
    <t>Iran</t>
    <phoneticPr fontId="3" type="noConversion"/>
  </si>
  <si>
    <t>https://www.sciencedirect.com/science/article/pii/S0165237021003260</t>
    <phoneticPr fontId="3" type="noConversion"/>
  </si>
  <si>
    <t>10.1080/15567036.2019.1635232</t>
  </si>
  <si>
    <t>https://pubs.acs.org/doi/pdf/10.1021/acs.energyfuels.9b03135?ref=article_openPDF</t>
  </si>
  <si>
    <t>https://pdf.sciencedirectassets.com/271404/1-s2.0-S0378382010X00029/1-s2.0-S037838200900321X/main.pdf?X-Amz-Security-Token=IQoJb3JpZ2luX2VjELf%2F%2F%2F%2F%2F%2F%2F%2F%2F%2FwEaCXVzLWVhc3QtMSJGMEQCIG%2BZIX1Z787XVlcV7kq8m4h4Crf2BvWTeYWKwvl3oR57AiA4DOgPlUc9t8f9mmQSOt6bDhOFlkAEbnNO2yAQFWHzOSqzBQgvEAUaDDA1OTAwMzU0Njg2NSIMbzRn5dcXy5wIDNz7KpAFWwepm8tnFN5ozNEbiidsroDS7kShAW%2FljqZBZA5PJUNIGtYMzIQOzcowqSqRc69rn8ypYCbP9ltsaP9SVo2QG%2F06CoLUf3EOAqNWxEYP8xhQEH%2FLgZbb3DVCtcCG8MnoMIm7OsE6FFdzCcLMU0oaBh2J6MUX0z8CaL2ca4cnyjLv0q4WCv0RhJBWgT1KfWwbXJ6O%2FhQI%2FBfQPC%2FLnzdUyqqC%2BZf5oJmrtPj1415mbtGfGiujHWNFILbxfMsGNey1ljGsS5yV2xSjqoRE33zRUTq5ONOuR6mhQtaPCLCV0sb14%2BRZ7RH3ON%2Fx5zIUOaO3Z7BU%2B4Tv6HNvmaJAqufbQx0nte1sCFPYso0l%2FH3PIUh8R3%2BjslxcBG8QDoGokZBGR4Yunj%2FXCx02dzOwhCza%2BDxnszxciCVpFz3UZ5PQNDF6u026v3AMl6E6wGTcUoDaUDZQrqkTBI1Emt9Te85aMsyMLLDiEHfUIsVp939AZIbwCkj9eAZAvXc%2BHr6acyz%2FwvGQnfRcDbxK0wimkWnBs9cE6rzpinmGC7LbVMZdC%2FPFBxRQADhxiOh%2BHQbX4m3%2Fpi4ydUtqvVf6DpB8QLMRBQIblBfZVkIzkAGnPLhOXwEvuPWND%2BVoLWImQQG%2BB53znjkE2HdxKVwG7ENcSQ5xEy6lRj0jh81QowD8GqQnMGK8XQDgnBkNGmQPfoEUlRlxMO4PmlmwzJQG3OTTYka27BK1Ev0Gu6RSae0MlYTnLpB0zvanlL%2BqasaAZVvOFO1leQ3Hl4MWVNk4ylx54uK%2FL5jo4dNWEFDAJ21M7czE3UFWYYCy%2BZk%2FgM7B%2BrfpigwqPzoUi4AGXFoTMCqfNZ7s0RlrXuy9NDF%2Fr7OggI5LNF4w6tCQxgY6sgHTjfE%2B8pAY9qV8bwsXyFm4sRPJK38jJnAqY1JGawrPG340tfNkZqCRFz6fIHzHURQSPJN5Jdx%2F1oeDnAJUL%2B9I3aWqa9B1ssdgBWpizPnd6qmCgOiTKNXarPaI4IOQAEnscn%2BjSN588rUiJ5wtH5G%2BUOLUNOHPzCigmdsU4A4FW9tCWls%2FFClJooChWn%2Bg26mBPGiEbpvDfwtyOWCtloZZxR%2FS4I8vzLbma7Pb%2BSrmRiYM&amp;X-Amz-Algorithm=AWS4-HMAC-SHA256&amp;X-Amz-Date=20250912T143257Z&amp;X-Amz-SignedHeaders=host&amp;X-Amz-Expires=300&amp;X-Amz-Credential=ASIAQ3PHCVTYUKUJD35V%2F20250912%2Fus-east-1%2Fs3%2Faws4_request&amp;X-Amz-Signature=8e0d230167c5b8d54b837b21276aab96a47247e127ba6eabfbb50e40298ee1db&amp;hash=c189a02626f99be3fbe81dce73f88fa09245f721915a91a5d53130bdddad484f&amp;host=68042c943591013ac2b2430a89b270f6af2c76d8dfd086a07176afe7c76c2c61&amp;pii=S037838200900321X&amp;tid=spdf-2167bd17-0948-4518-aaa4-40a549230cd7&amp;sid=2e2e4ce54230504527595ea8410fae1a7334gxrqb&amp;type=client&amp;tsoh=d3d3LnNjaWVuY2VkaXJlY3QuY29t&amp;rh=d3d3LnNjaWVuY2VkaXJlY3QuY29t&amp;ua=1e0757590453540a0800&amp;rr=97e01dff18f3c7af&amp;cc=de</t>
  </si>
  <si>
    <t>South Korea</t>
  </si>
  <si>
    <t>https://www.sciencedirect.com/science/article/pii/S0360319908016844</t>
  </si>
  <si>
    <t>https://www.sciencedirect.com/science/article/pii/S0306261917315702</t>
  </si>
  <si>
    <t>as received basis</t>
  </si>
  <si>
    <t>https://www.sciencedirect.com/science/article/pii/S019689040600286X</t>
  </si>
  <si>
    <t>Croatia</t>
  </si>
  <si>
    <t>https://repositorio.lneg.pt/bitstream/10400.9/2932/1/ChemicalEngineeringTransactions_Vol.43_2053-2058.pdf</t>
  </si>
  <si>
    <t>Portugal</t>
  </si>
  <si>
    <t>as received</t>
  </si>
  <si>
    <t>https://iopscience.iop.org/article/10.1088/1742-6596/908/1/012073/meta</t>
  </si>
  <si>
    <t>https://www.labxing.com/files/lab_data/1340-1625805401-Qqoazhfj.pdf</t>
  </si>
  <si>
    <t>TC at 373K and Cp at 300K</t>
  </si>
  <si>
    <t>TC at 293 K and CP at 300 K</t>
  </si>
  <si>
    <t xml:space="preserve">PE </t>
  </si>
  <si>
    <t xml:space="preserve">Cp at 300 K </t>
  </si>
  <si>
    <t xml:space="preserve">TC at 293 K and Cp at 300 K </t>
  </si>
  <si>
    <t xml:space="preserve">TC at 293 K  and Cp at 300 K </t>
  </si>
  <si>
    <t>Polyamide (nylon)</t>
  </si>
  <si>
    <t>https://www.researchgate.net/profile/Mingyang-Ma/post/How-we-can-measure-thermal-conductivity-of-metallic-sample-using-DSC/attachment/59d63c44c49f478072ea7c0c/AS%3A273748907757573%401442278233859/download/Thermal+conductivity+determination+of+small+polymer+samples+by+differential+scanning+calorimetry.pdf</t>
  </si>
  <si>
    <t>10.1016/j.polymertesting.2006.11.003</t>
  </si>
  <si>
    <t>England</t>
  </si>
  <si>
    <t>at 300K</t>
  </si>
  <si>
    <t>303-333K</t>
  </si>
  <si>
    <t xml:space="preserve">at 300K </t>
  </si>
  <si>
    <t>at 300 K</t>
  </si>
  <si>
    <t>10.1016/j.ijrefrig.2008.11.008</t>
  </si>
  <si>
    <t>https://ceclnx01.cec.miamioh.edu/~sommerad/sdarticle_polymer_HXs_IJR2008.pdf</t>
  </si>
  <si>
    <t>Belgium</t>
  </si>
  <si>
    <t>TC at 297K and Cp 296K</t>
  </si>
  <si>
    <t>https://nusearch.nottingham.ac.uk/discovery/fulldisplay?docid=alma990015661870205561&amp;context=L&amp;vid=44NOTTS_UNUK:44NOTUK&amp;lang=en&amp;search_scope=MyInst_and_CI&amp;adaptor=Local%20Search%20Engine&amp;tab=Everything&amp;query=sub,exact,polypropylene&amp;mode=Basic&amp;offset=0</t>
  </si>
  <si>
    <t>UK</t>
  </si>
  <si>
    <t>PE</t>
  </si>
  <si>
    <t>https://www.advan-kt.com/principlesofsolarengi.pdf</t>
  </si>
  <si>
    <t>https://catatanabimanyu.wordpress.com/wp-content/uploads/2012/06/offshore-pipelines.pdf</t>
  </si>
  <si>
    <t>Cp at 20°C</t>
  </si>
  <si>
    <t>https://www.sciencedirect.com/science/article/pii/S0956053X24004124</t>
  </si>
  <si>
    <t>https://www.sciencedirect.com/science/article/pii/S0016236101001685?via%3Dihub</t>
  </si>
  <si>
    <t>10.1088/1757-899X/334/1/012001</t>
  </si>
  <si>
    <t>https://iopscience.iop.org/article/10.1088/1757-899X/334/1/012001</t>
  </si>
  <si>
    <t>density at 15°C</t>
  </si>
  <si>
    <t>dry  basis</t>
  </si>
  <si>
    <t>https://www.intechopen.com/chapters/66340</t>
  </si>
  <si>
    <t>10.5772/intechopen.85124</t>
  </si>
  <si>
    <t>at 23°C</t>
  </si>
  <si>
    <t>Cp at 25°C</t>
  </si>
  <si>
    <t>Year</t>
  </si>
  <si>
    <t>Country</t>
  </si>
  <si>
    <t>Continent</t>
  </si>
  <si>
    <t>Ref Paper</t>
  </si>
  <si>
    <t>Ref Organic</t>
  </si>
  <si>
    <t>Ref Plastic</t>
  </si>
  <si>
    <t>Group</t>
  </si>
  <si>
    <t>Specific Heat Capacity kJ/kg*K</t>
  </si>
  <si>
    <t>E_C_norm</t>
  </si>
  <si>
    <t>E_H_norm</t>
  </si>
  <si>
    <t>E_N_norm</t>
  </si>
  <si>
    <t>E_S_norm</t>
  </si>
  <si>
    <t>E_Cl_norm</t>
  </si>
  <si>
    <t>E_O_norm</t>
  </si>
  <si>
    <t>E_HHV_eff_norm  [MJ/kg]</t>
  </si>
  <si>
    <t>E_HHV_D [MJ/kg]</t>
  </si>
  <si>
    <t>E_HHV [MJ/kg] DAF</t>
  </si>
  <si>
    <t xml:space="preserve">Processed </t>
  </si>
  <si>
    <t>SiO2</t>
  </si>
  <si>
    <t>CaO</t>
  </si>
  <si>
    <t>Fe2O3</t>
  </si>
  <si>
    <t>Al2O3</t>
  </si>
  <si>
    <t>Netherlands</t>
  </si>
  <si>
    <t>Na2O</t>
  </si>
  <si>
    <t>MgO</t>
  </si>
  <si>
    <t>P2O5</t>
  </si>
  <si>
    <t>SO3</t>
  </si>
  <si>
    <t>K2O</t>
  </si>
  <si>
    <t>TiO2</t>
  </si>
  <si>
    <t>MnO</t>
  </si>
  <si>
    <t>CuO</t>
  </si>
  <si>
    <t>ZnO</t>
  </si>
  <si>
    <t>BaO</t>
  </si>
  <si>
    <t xml:space="preserve">Bottom Ash </t>
  </si>
  <si>
    <t>in Moderdijk</t>
  </si>
  <si>
    <t>in Wijster</t>
  </si>
  <si>
    <t>in Beijing</t>
  </si>
  <si>
    <t>in Chongqing</t>
  </si>
  <si>
    <t>in Chengdu</t>
  </si>
  <si>
    <t>in Jinjiang</t>
  </si>
  <si>
    <t>in Jiangqiao</t>
  </si>
  <si>
    <t>in Yuqiao</t>
  </si>
  <si>
    <t>in Shenzhen</t>
  </si>
  <si>
    <t>Cl</t>
  </si>
  <si>
    <t>in Aichi-ken</t>
  </si>
  <si>
    <t>in Taipei City</t>
  </si>
  <si>
    <t>Cr2O3</t>
  </si>
  <si>
    <t>from Jiangxia MSW Incineration Plant in Wuhan</t>
  </si>
  <si>
    <t xml:space="preserve">from Keppel Seghers Tuas Waste to Energy </t>
  </si>
  <si>
    <t>from the Dalian MSW Incineration Plant</t>
  </si>
  <si>
    <t>from a municipal solid waste incineration facility in China</t>
  </si>
  <si>
    <t>from a local waste-to-energy incineration plant</t>
  </si>
  <si>
    <t>from a single municipal solid waste incinerator in Tarragona</t>
  </si>
  <si>
    <t>from a Portuguese incinerator located in the district of Lisbon</t>
  </si>
  <si>
    <t>from different municipal solid waste incinerators mainly located in the North of Italy</t>
  </si>
  <si>
    <t>from Vercelli Municipal Solid Waste Incinerator</t>
  </si>
  <si>
    <t>from Bergamo MSWI</t>
  </si>
  <si>
    <t>from Vercelli MSWI</t>
  </si>
  <si>
    <t>from a waste-to-energy facility located in Tarragona 0.063-1 mm</t>
  </si>
  <si>
    <t>from a waste-to-energy facility located in Tarragona 2-4 mm</t>
  </si>
  <si>
    <t>from a waste-to-energy facility located in Tarragona 4-8 mm</t>
  </si>
  <si>
    <t xml:space="preserve">from the Reggio Emilia municipal incinerator (Italy) </t>
  </si>
  <si>
    <t>from a waste-to-energy facility located in Tarragona 0-0.063 mm</t>
  </si>
  <si>
    <t>from a waste-to-energy facility located in Tarragona 8-16 mm</t>
  </si>
  <si>
    <t>Cp [kJ/kg*K]</t>
  </si>
  <si>
    <t>s. Dichte</t>
  </si>
  <si>
    <t>from a waste-to-energy plant (Attero) in the Netherlands</t>
  </si>
  <si>
    <t>from a waste-to-energy plant north from Italy</t>
  </si>
  <si>
    <t>from South-East London Combined Heat and Power (SELCHP) EfW plan</t>
  </si>
  <si>
    <t>from a waste-to-energy facility located in Tarragona 1-2 mm</t>
  </si>
  <si>
    <t>REF</t>
  </si>
  <si>
    <t>Inert</t>
  </si>
  <si>
    <t>from a major supplier of secondary IBA aggregate in SE England (Day Group, Brentford facility)</t>
  </si>
  <si>
    <t>Japan</t>
  </si>
  <si>
    <t>Singapore</t>
  </si>
  <si>
    <t>France</t>
  </si>
  <si>
    <t>k [W/m*K]</t>
  </si>
  <si>
    <t>T [K]</t>
  </si>
  <si>
    <t>Average sample vitreous CaO-SiO2-Al2O3</t>
  </si>
  <si>
    <t xml:space="preserve">Slag </t>
  </si>
  <si>
    <t>Slag</t>
  </si>
  <si>
    <t>B</t>
  </si>
  <si>
    <t>C</t>
  </si>
  <si>
    <t>D</t>
  </si>
  <si>
    <t>E</t>
  </si>
  <si>
    <t>F</t>
  </si>
  <si>
    <t>G</t>
  </si>
  <si>
    <t>Glassy slag</t>
  </si>
  <si>
    <t>at room temperature</t>
  </si>
  <si>
    <t>Coal Slag</t>
  </si>
  <si>
    <t>Thailand</t>
  </si>
  <si>
    <t>from an incinerator in Phuket province, Thailan</t>
  </si>
  <si>
    <t>Algeria</t>
  </si>
  <si>
    <t>from rotary kiln incinerator</t>
  </si>
  <si>
    <t>Variable \ Sample</t>
  </si>
  <si>
    <t>Ash</t>
    <phoneticPr fontId="1" type="noConversion"/>
  </si>
  <si>
    <t>Palm Oil Fuel Ash</t>
    <phoneticPr fontId="1" type="noConversion"/>
  </si>
  <si>
    <t>Sugar Cane Bagasse Ash</t>
    <phoneticPr fontId="1" type="noConversion"/>
  </si>
  <si>
    <t>Corn Cob Ash</t>
    <phoneticPr fontId="1" type="noConversion"/>
  </si>
  <si>
    <t>https://www.mdpi.com/2071-1050/13/14/8031</t>
  </si>
  <si>
    <t>https://www.sciencedirect.com/science/article/pii/S0263224118305402</t>
  </si>
  <si>
    <t>https://gnpgroup.com.my/wp-content/uploads/Publication/2003_05.pdf</t>
  </si>
  <si>
    <t>https://pubs.aip.org/aip/acp/article-abstract/1738/1/280010/885138/Mechanical-and-thermal-properties-of-the-Czech</t>
  </si>
  <si>
    <t>https://tsapps.nist.gov/publication/get_pdf.cfm?pub_id=900117</t>
  </si>
  <si>
    <t>https://www.researchgate.net/publication/312924380_Laser_Micromachining_for_Transparent_Materials</t>
  </si>
  <si>
    <t>Ceramic</t>
    <phoneticPr fontId="1" type="noConversion"/>
  </si>
  <si>
    <t>Ceramic Plates</t>
    <phoneticPr fontId="1" type="noConversion"/>
  </si>
  <si>
    <t>Porcelain</t>
    <phoneticPr fontId="1" type="noConversion"/>
  </si>
  <si>
    <t>Soft Porcelains</t>
    <phoneticPr fontId="1" type="noConversion"/>
  </si>
  <si>
    <t>Hard Porcelain</t>
    <phoneticPr fontId="1" type="noConversion"/>
  </si>
  <si>
    <t>Bone China Pitcher</t>
    <phoneticPr fontId="1" type="noConversion"/>
  </si>
  <si>
    <t>Bone China</t>
    <phoneticPr fontId="1" type="noConversion"/>
  </si>
  <si>
    <t>Magnesium porcelain</t>
    <phoneticPr fontId="1" type="noConversion"/>
  </si>
  <si>
    <t xml:space="preserve">Standard Ceramic Powder </t>
    <phoneticPr fontId="1" type="noConversion"/>
  </si>
  <si>
    <t>from United Kingdom</t>
    <phoneticPr fontId="1" type="noConversion"/>
  </si>
  <si>
    <t>from Japan</t>
    <phoneticPr fontId="1" type="noConversion"/>
  </si>
  <si>
    <t>Aluminum Oxide</t>
  </si>
  <si>
    <t>ZrO2</t>
    <phoneticPr fontId="1" type="noConversion"/>
  </si>
  <si>
    <t>Non-metal/Stone</t>
  </si>
  <si>
    <t>Cement</t>
  </si>
  <si>
    <t>Ordinary Portland Cement</t>
  </si>
  <si>
    <t>White Cement</t>
  </si>
  <si>
    <t>Burnt brick</t>
  </si>
  <si>
    <t>Mud brick</t>
  </si>
  <si>
    <t>Reinforced cement concrete</t>
  </si>
  <si>
    <t>Dense concrete</t>
  </si>
  <si>
    <t xml:space="preserve">Cement plaster </t>
  </si>
  <si>
    <t>waste brick</t>
  </si>
  <si>
    <t>Stone Slurry</t>
  </si>
  <si>
    <t>semi-liquid stone waste</t>
  </si>
  <si>
    <t>Gypsum</t>
  </si>
  <si>
    <t>Srandard</t>
  </si>
  <si>
    <t>Type C</t>
  </si>
  <si>
    <t>Type X</t>
  </si>
  <si>
    <t>Type F</t>
  </si>
  <si>
    <t>Type R</t>
  </si>
  <si>
    <t>Commercial Gypsum Plaster</t>
  </si>
  <si>
    <t>Recycled Gypsum Plaster</t>
  </si>
  <si>
    <t>Waste Stone</t>
  </si>
  <si>
    <t>Limestone</t>
  </si>
  <si>
    <t>High value</t>
  </si>
  <si>
    <t>Low value</t>
  </si>
  <si>
    <t>Salem</t>
  </si>
  <si>
    <t>Marble</t>
  </si>
  <si>
    <t>Halston</t>
  </si>
  <si>
    <t>M1</t>
  </si>
  <si>
    <t>M2</t>
  </si>
  <si>
    <t>M3</t>
  </si>
  <si>
    <t>M4</t>
  </si>
  <si>
    <t>Marble Dust</t>
  </si>
  <si>
    <t>Limestone Dust</t>
  </si>
  <si>
    <t>Granite Dust</t>
  </si>
  <si>
    <t>Granite fragments</t>
  </si>
  <si>
    <t>Sand</t>
  </si>
  <si>
    <t>Average value between the 8 samples</t>
  </si>
  <si>
    <t>Average value between the 5 samples</t>
  </si>
  <si>
    <t>Soil (dry)</t>
  </si>
  <si>
    <t>Soil 1</t>
  </si>
  <si>
    <t>Soil 2</t>
  </si>
  <si>
    <t>Soil 3</t>
  </si>
  <si>
    <t>Sandy Clay Soil</t>
  </si>
  <si>
    <t>KT</t>
  </si>
  <si>
    <t>Kaolinite</t>
  </si>
  <si>
    <t>SC</t>
  </si>
  <si>
    <t>Average value</t>
  </si>
  <si>
    <t>room temperature</t>
  </si>
  <si>
    <t>SrO</t>
  </si>
  <si>
    <t>Glass</t>
    <phoneticPr fontId="1" type="noConversion"/>
  </si>
  <si>
    <t>Glas Waste</t>
    <phoneticPr fontId="1" type="noConversion"/>
  </si>
  <si>
    <t>Soda-Lime Glass</t>
    <phoneticPr fontId="1" type="noConversion"/>
  </si>
  <si>
    <t xml:space="preserve">Glass </t>
  </si>
  <si>
    <t>Silicate glass</t>
  </si>
  <si>
    <t>Glass Container</t>
    <phoneticPr fontId="1" type="noConversion"/>
  </si>
  <si>
    <t>Window Glass</t>
    <phoneticPr fontId="1" type="noConversion"/>
  </si>
  <si>
    <t>Lamp Glass</t>
    <phoneticPr fontId="1" type="noConversion"/>
  </si>
  <si>
    <t>White Float Glass</t>
    <phoneticPr fontId="1" type="noConversion"/>
  </si>
  <si>
    <t>Soda-Lime Glass Base</t>
    <phoneticPr fontId="1" type="noConversion"/>
  </si>
  <si>
    <t>Green Glass</t>
    <phoneticPr fontId="1" type="noConversion"/>
  </si>
  <si>
    <t>Average values</t>
  </si>
  <si>
    <t>Colorless</t>
  </si>
  <si>
    <t>Green Glass Waste</t>
    <phoneticPr fontId="1" type="noConversion"/>
  </si>
  <si>
    <t>Soda lime silica glass</t>
  </si>
  <si>
    <t>Amber Glass</t>
    <phoneticPr fontId="1" type="noConversion"/>
  </si>
  <si>
    <t>(Lead) Crystal Glass</t>
    <phoneticPr fontId="1" type="noConversion"/>
  </si>
  <si>
    <t>Borosilicate Glass</t>
    <phoneticPr fontId="1" type="noConversion"/>
  </si>
  <si>
    <t>Glass</t>
  </si>
  <si>
    <t>PbO</t>
    <phoneticPr fontId="1" type="noConversion"/>
  </si>
  <si>
    <t>B2O3</t>
    <phoneticPr fontId="1" type="noConversion"/>
  </si>
  <si>
    <t>Metal</t>
  </si>
  <si>
    <t>Medium Alloy Steel</t>
  </si>
  <si>
    <t>Copper</t>
  </si>
  <si>
    <t>Brass</t>
  </si>
  <si>
    <t>Stainless Steel</t>
  </si>
  <si>
    <t>Aluminim</t>
  </si>
  <si>
    <t>Aluminium Alloy</t>
  </si>
  <si>
    <t>Al 6061</t>
  </si>
  <si>
    <t>Nickel Alloy</t>
  </si>
  <si>
    <t>Ni 601</t>
  </si>
  <si>
    <t>Zinc Alloy</t>
  </si>
  <si>
    <t>ZA27</t>
  </si>
  <si>
    <t>Titanium Alloy</t>
  </si>
  <si>
    <t>Ti-6Al-4V alloy</t>
  </si>
  <si>
    <t>Lead Alloy</t>
  </si>
  <si>
    <t>Copper Lead Alloy</t>
  </si>
  <si>
    <t>Copper Wire</t>
  </si>
  <si>
    <t>Aluminum</t>
  </si>
  <si>
    <t>Iron</t>
  </si>
  <si>
    <t>Gold</t>
  </si>
  <si>
    <t>Silver</t>
  </si>
  <si>
    <t>Steel</t>
  </si>
  <si>
    <t>https://www.dedietrich.com/en/borosilicate-glass</t>
  </si>
  <si>
    <t>https://www.us.schott.com/tubing/english/product_selector/#!/region--us/lang--english/product--DUROBAX_amber</t>
    <phoneticPr fontId="1" type="noConversion"/>
  </si>
  <si>
    <t>https://www.uqgoptics.com/wp-content/uploads/2019/06/Lead-Glass-Schott-RD50.pdf</t>
    <phoneticPr fontId="1" type="noConversion"/>
  </si>
  <si>
    <t>https://matweb.com/search/DataSheet.aspx?MatGUID=d3bd4617903543ada92f4c101c2a20e5</t>
  </si>
  <si>
    <t>https://www.naturalstoneinstitute.org/stoneprofessionals/technical-bulletins/rvalue/</t>
    <phoneticPr fontId="1" type="noConversion"/>
  </si>
  <si>
    <t>https://www.mindat.org/min-2156.html</t>
    <phoneticPr fontId="1" type="noConversion"/>
  </si>
  <si>
    <t>https://www.matweb.com/search/DataSheet.aspx?MatGUID=fdac5563c7f2472a825d6cc0f16e2785</t>
    <phoneticPr fontId="1" type="noConversion"/>
  </si>
  <si>
    <t>https://www.matweb.com/search/datasheet.aspx?matguid=8808b026f7c14d2f8d61f2d476aaeb26&amp;n=1</t>
    <phoneticPr fontId="1" type="noConversion"/>
  </si>
  <si>
    <t>https://www.matweb.com/search/DataSheet.aspx?MatGUID=796041d9aef04a91b58d4cd8db04edb8</t>
    <phoneticPr fontId="1" type="noConversion"/>
  </si>
  <si>
    <t>https://www.matweb.com/search/DataSheet.aspx?MatGUID=4dac23c848db4780a067fd556906cae6</t>
    <phoneticPr fontId="1" type="noConversion"/>
  </si>
  <si>
    <t>https://www.matweb.com/search/DataSheet.aspx?MatGUID=f7666326ceb3482f87a9f41ace1d1fb0&amp;ckck=1</t>
  </si>
  <si>
    <t>https://www.azom.com/properties.aspx?ArticleID=89</t>
    <phoneticPr fontId="1" type="noConversion"/>
  </si>
  <si>
    <t>https://patentimages.storage.googleapis.com/75/f2/8d/a399de36a28d56/US7094716.pdf</t>
    <phoneticPr fontId="1" type="noConversion"/>
  </si>
  <si>
    <t>https://www.simetric.co.uk/si_metals.htm</t>
  </si>
  <si>
    <t>https://chem.libretexts.org/Ancillary_Materials/Reference/Reference_Tables/Thermodynamics_Tables/T4%3A_Specific_Heats_and_Molar_Heat_Capacities</t>
    <phoneticPr fontId="1" type="noConversion"/>
  </si>
  <si>
    <t>http://www.dachauer-spezialglas.de/spezialglastechnik/technisches-glaeser/weisses-floatglas.html</t>
    <phoneticPr fontId="1" type="noConversion"/>
  </si>
  <si>
    <t>https://www.sciencedirect.com/science/article/pii/S0950061815306255</t>
    <phoneticPr fontId="1" type="noConversion"/>
  </si>
  <si>
    <t>https://link.springer.com/article/10.1007/s40891-015-0009-3</t>
    <phoneticPr fontId="1" type="noConversion"/>
  </si>
  <si>
    <t>https://link.springer.com/article/10.1007/s10163-015-0419-2</t>
    <phoneticPr fontId="1" type="noConversion"/>
  </si>
  <si>
    <t>10.15866/irece.v11i5.18779</t>
  </si>
  <si>
    <t>https://www.researchgate.net/publication/344650428</t>
    <phoneticPr fontId="1" type="noConversion"/>
  </si>
  <si>
    <t xml:space="preserve">Waste Bottom Ash </t>
  </si>
  <si>
    <t>Coal Fly Ash</t>
  </si>
  <si>
    <t>Coal Bottom Ash</t>
  </si>
  <si>
    <t>Ash</t>
  </si>
  <si>
    <t>k [W/mK]</t>
  </si>
  <si>
    <t>rho [g/cm^3]</t>
  </si>
  <si>
    <t>Typ 304L</t>
  </si>
  <si>
    <t>Typ 316L</t>
  </si>
  <si>
    <t>Typ S301</t>
  </si>
  <si>
    <t>Aluminium</t>
  </si>
  <si>
    <t>Organic waste</t>
  </si>
  <si>
    <t>SiO2_norm</t>
  </si>
  <si>
    <t>CaO_norm</t>
  </si>
  <si>
    <t>Fe2O3_norm</t>
  </si>
  <si>
    <t>Al2O3_norm</t>
  </si>
  <si>
    <t>Na2O_norm</t>
  </si>
  <si>
    <t>MgO_norm</t>
  </si>
  <si>
    <t>Share</t>
  </si>
  <si>
    <t>Kommentar</t>
  </si>
  <si>
    <t>Quelle</t>
  </si>
  <si>
    <t xml:space="preserve">Ref Inert </t>
  </si>
  <si>
    <t>Kommentare</t>
  </si>
  <si>
    <t xml:space="preserve">Fragen </t>
  </si>
  <si>
    <t>G. Vivek Venkatesh, S. Md. Iqbal, A. Gopal &amp; D. Ganesan, Estimation of Volume and Mass of Axi-Symmetric Fruits Using Image Processing Technique, International Journal of Food Properties (2015), 18, 3, 608-626</t>
  </si>
  <si>
    <t>Scientific Publication</t>
  </si>
  <si>
    <t>M. Patel, A. Nath &amp; J. Mayani, A study on physical properties of pomegranate (Punica granatum L., Punicaceae) fruits, International Journal of Chemical Studies (2018), 6, 5, 1460-1463</t>
  </si>
  <si>
    <t>10.13140/RG.2.2.32554.67527</t>
  </si>
  <si>
    <t>A.Shitzer, B.R. Becker &amp; B. A. Fricke, Thermal Properties of Foods, ASHRAE Handbook Refrigeration (2006), 9, 9.1-9.31</t>
  </si>
  <si>
    <t>Israel/USA</t>
  </si>
  <si>
    <t xml:space="preserve">Asia/America </t>
  </si>
  <si>
    <t>U. R. Charrondiere, D. Haytowitz &amp; B. Stadlmayr, FAO/INFOODS Density Database version 2.0, FAO/INFOODS Databases (2012)</t>
  </si>
  <si>
    <t xml:space="preserve">Italy </t>
  </si>
  <si>
    <t>Data Sheet/Report</t>
  </si>
  <si>
    <t xml:space="preserve">S. A. Lavrykov &amp; B. Ramarao, Thermal Properties of Copy Paper Sheets, Drying Technology (2012), 30, 297–311 </t>
  </si>
  <si>
    <t>I. Kartovaara, R. Rajala, M. Luukkala &amp; K. Sipi, Conduction of heat in paper,
Papermaking Raw Materials (1985), 381–412</t>
  </si>
  <si>
    <t>J. Malat'ak, J. Velebil &amp;  J. Bradna, Specialty types of waste paper as an energetic commodity, Agronomy Research (2018), 16, 2, 534-542</t>
  </si>
  <si>
    <t>L. Sørum, Characterisation of MSW for Combustion Systems, Sintef Energy Research (2001)</t>
  </si>
  <si>
    <t>F. P. Incropera, D.DeWitt, T. Bergman &amp; A. Lavine, Fundamentals of Heat and Mass Transfer, 6th Edition, John Wiley &amp; Sons, 2007.</t>
  </si>
  <si>
    <t>https://madar-ju.com/storage/images/files/file_1738891444fwZdR.pdf</t>
  </si>
  <si>
    <t>J.Zeng, Y. Jin, Y. Chi, J. Wen, X. Jiang &amp; M. Ni, Pyrolysis characteristics of organic components of municipal solid waste at high heating rates, Waste Management (2009), 29, 3, 1089-1094</t>
  </si>
  <si>
    <t>10.1016/j.wasman.2008.06.034</t>
  </si>
  <si>
    <t>V. Chhabra, S. Bhattacharya &amp; Y. Shastri, Pyrolysis of mixed municipal solid waste: Characterisation, interaction effect and kinetic modelling using the thermogravimetric approach, Waste Management (2019), 90, 152–167</t>
  </si>
  <si>
    <t>10.1016/j.wasman.2019.03.048</t>
  </si>
  <si>
    <t>V.Cozzani, L. Petarca &amp; L. Tognotti, Devolatilization and pyrolysis of refuse derived fuels: characterization and kinetic modelling by a thermogravimetric and calorimetric approach, Fuel (1995), 74, 6, 903-912</t>
  </si>
  <si>
    <t>10.1016/0016-2361(94)00018-M</t>
  </si>
  <si>
    <t>P. Xu, Y. Jin &amp; Y. Cheng, Thermodynamic Analysis of the Gasification of Municipal Solid Waste, Engineering (2017), 3, 3, 416-422</t>
  </si>
  <si>
    <t>10.1016/J.ENG.2017.03.004</t>
  </si>
  <si>
    <t>Y. Qiao, F. Xu, S. Xu, D. Yang, B. Wang, X. Ming, J. Hao &amp; Y. Tian, Pyrolysis Characteristics and Kinetics of Typical Municipal Solid Waste Components and Their Mixture: Analytical TG-FTIR Study, Energy &amp; Fuels (2018), 32, 10, 10801-10812</t>
  </si>
  <si>
    <t>10.1021/acs.energyfuels.8b02571</t>
  </si>
  <si>
    <t>S. Chen, A. Meng, Y. Long, H. Zhou, Q. Li &amp; Y. Zhang, TGA pyrolysis and gasification of combustible municipal solid waste, Journal of the Energy Institute (2015), 88, 3, 332-343</t>
  </si>
  <si>
    <t>10.1016/j.joei.2014.07.007</t>
  </si>
  <si>
    <t>H. Wang &amp; Y. Nie, Municipal Solid Waste Characteristics and Management in China, Journal of the Air \&amp; Waste Management Association (2001), 51, 2, 250-263</t>
  </si>
  <si>
    <t>G. Xiao, M. Ni, Y. Chi, B. Jin, R. Xiao, Z. Zhong &amp; Y. Huang, Gasification characteristics of MSW and an ANN prediction model, Waste Management (2009), 29, 1, 240-244</t>
  </si>
  <si>
    <t>10.1016/j.wasman.2008.02.022</t>
  </si>
  <si>
    <t>H. Zhou, A. Meng, Y. Long, Q. Li &amp; Y. Zhang, An overview of characteristics of municipal solid waste fuel in China: Physical, chemical composition and heating value, Renewable and Sustainable Energy Reviews (2014), 36, 107-122</t>
  </si>
  <si>
    <t>10.1016/j.rser.2014.04.024</t>
  </si>
  <si>
    <t>Z. T. Yaqub, B. O. Oboirien, M. Hedberg &amp; H. Leion, Experimental Evaluation Using Plastic Waste, Paper Waste, and Coal as Fuel in a Chemical Looping Combustion Batch Reactor, Chemical Engineering &amp; Technology (2021), 44, 6, 1075-1083</t>
  </si>
  <si>
    <t>V. Cozzani, C. Nicolella, L. Petarca, M. Rovatti &amp; L. Tognotti, A Fundamental Study on Conventional Pyrolysis of a Refuse-Derived Fuel, Industrial &amp; Engineering Chemistry Research (1995), 34, 6, 2006-2020</t>
  </si>
  <si>
    <t>10.1021/ie00045a010</t>
  </si>
  <si>
    <t>M.N. Islam, M.N. Islam &amp; M.R.A. Beg, The fuel properties of pyrolysis liquid derived from urban solid wastes in Bangladesh, Bioresource Technology (2004), 92, 2, 181-186</t>
  </si>
  <si>
    <t>10.1016/j.biortech.2003.08.009</t>
  </si>
  <si>
    <t>S. P. Chai &amp; R. Zakaria, INVESTIGATION ON COMBUSTION CHARACTERISTICS OF 
MUNICIPAL SOLID WASTE FROM PENANG STATE MALAYSIA, 4th i-CIPEC (2006), September 26-29, 2006, Kyoto, Japan</t>
  </si>
  <si>
    <t>https://www.researchgate.net/publication/242570278_INVESTIGATION_ON_COMBUSTION_CHARACTERISTICS_OF_MUNICIPAL_SOLID_WASTE_FROM_PENANG_STATE_MALAYSIA</t>
  </si>
  <si>
    <t>E. Ansah, L. Wang &amp; A. Shahbazi, Thermogravimetric and calorimetric characteristics during co-pyrolysis of municipal solid waste components, Waste Management (2016), 56, 196–206</t>
  </si>
  <si>
    <t>10.1016/j.wasman.2016.06.015</t>
  </si>
  <si>
    <t>A. Khuriati, W. S. Budi, M. Nur, I. Istadi &amp; G. Suwoto, MODELING OF HEATING VALUE OF MUNICIPAL SOLID WASTE BASED ON ULTIMATE ANALYSIS USING STEPWISE MULTIPLE LINEAR REGRESSION IN SEMARANG, ARPN Journal of Engineering and Applied Sciences (2017), 12, 9</t>
  </si>
  <si>
    <t>R. A. Ibikunle, A. F. Lukman, I. F. Titiladunayo, E. A. Akeju &amp; S. O. Dahunsi, Modeling and robust prediction of high heating values of municipal solid waste based on ultimate analysis, Energy Sources, Part A: Recovery, Utilization, and Environmental Effects (2025), 47, 1, 2239-2256</t>
  </si>
  <si>
    <t>https://doi.org/10.1080/15567036.2020.1841343</t>
  </si>
  <si>
    <t>M. Baawain, A. Al-Mamun, H. Omidvarborna &amp; W. Al-Amri, Ultimate composition analysis of municipal solid waste in Muscat, Journal of Cleaner Production (2017), 148, 355-362</t>
  </si>
  <si>
    <t>10.1016/j.jclepro.2017.02.013</t>
  </si>
  <si>
    <t>B. Biswal, S. Kumar &amp; R. K. Singh, Production of Hydrocarbon Liquid by Thermal Pyrolysis of Paper Cup Waste, Journal of Waste Management (2013), 2013</t>
  </si>
  <si>
    <t>10.1155/2013/731858</t>
  </si>
  <si>
    <t>B. Janković, The pyrolysis of coffee paper cup waste samples using non-isothermal thermo-analytical techniques. The use of combined kinetic and statistical analysis in the interpretation of mechanistic features of the process, Energy Conversion and Management (2014), 85, 33-49</t>
  </si>
  <si>
    <t>10.1016/j.enconman.2014.05.094</t>
  </si>
  <si>
    <t>I. Boumanchar, Y. Chhiti, F. E. M. Alaoui, A. Sahibed-Dine, F. Bentiss, C. Jama, M. Bensitel, Municipal solid waste higher heating value prediction from ultimate analysis using multiple regression and genetic programming techniques, Waste Management \&amp; Research (2018), 37, 6, 578 - 589</t>
  </si>
  <si>
    <t>R. M. Sebastian, D. Kumar &amp; B. J. Alappat, Easy Estimation of Mixed Municipal Solid Waste Characteristics from Component Analysis, Journal of Environmental Engineering (2019), 145, 11, 04019081</t>
  </si>
  <si>
    <t>10.1061/(ASCE)EE.1943-7870.0001588</t>
  </si>
  <si>
    <t>https://ascelibrary.org/doi/full/10.1061/(ASCE)EE.1943-7870.0001588</t>
  </si>
  <si>
    <t>H. Zhou, A. Meng, Y. Long, Q. Li &amp; Y. Zhang, Classification and comparison of municipal solid waste based on thermochemical characteristics, Journal of the Air &amp; Waste Management Association (2014), 64, 5, 597-616</t>
  </si>
  <si>
    <t>P. Grammelis, P. Basinas, A. Malliopoulou &amp; G. Sakellaropoulos, Pyrolysis kinetics and combustion characteristics of waste recovered fuels, Fuel (2009), 88, 1, 195-205</t>
  </si>
  <si>
    <t>10.1016/j.fuel.2008.02.002</t>
  </si>
  <si>
    <t>C.- H. Wu, C.- Y. Chang, C.- H. Tseng &amp; J.-P. Lin, Pyrolysis product distribution of waste newspaper in MSW, Journal of Analytical and Applied Pyrolysis (2003), 67, 1, 41-53</t>
  </si>
  <si>
    <t>10.1016/S0165-2370(02)00016-5</t>
  </si>
  <si>
    <t>Y. B. Yang, A. N. Phan, C. Ryu, V. Sharifi &amp; J. Swithenbank, Mathematical modelling of slow pyrolysis of segregated solid wastes in a packed bed pyrolyser, Fuel (2007), 86, 1, 169-180</t>
  </si>
  <si>
    <t>10.1016/j.fuel.2006.07.012</t>
  </si>
  <si>
    <t>J.K. Modh, S.A. Namjoshi &amp; S.A. Channiwala, Kinetics and Pyrolysis of Glossy Paper Waste, International Journal of Engineering Research and Applications (IJERA) (2012), 2, 2, 1067-1074</t>
  </si>
  <si>
    <t>https://www.ijera.com/papers/Vol2_issue2/FY2210671074.pdf</t>
  </si>
  <si>
    <t>L. Sørum, P. A. Campbell, N. E. L. Haugen &amp; R. E. Mitchell, An experimental study of the reactivity of cellulosic-based chars from wastes, Fuel (2014), 130, 306-314</t>
  </si>
  <si>
    <t>10.1016/j.fuel.2014.04.033</t>
  </si>
  <si>
    <t>A. Skreiberg, Ø. Skreiberg, J. Sandquist &amp; L. Sørum, TGA and macro-TGA characterisation of biomass fuels and fuel mixtures, Fuel (2011), 90, 6, 2182-2197</t>
  </si>
  <si>
    <t>10.1016/j.fuel.2011.02.012</t>
  </si>
  <si>
    <t>https://www.sciencedirect.com/science/article/pii/S0016236111000706</t>
  </si>
  <si>
    <t>A. D. Pasek, K. W. Gultom &amp; A. Suwono, Feasibility of Recovering Energy from Municipal Solid Waste to Generate Electricity, Journal of Engineering and Technological Sciences (2013), 45, 3, 241-256</t>
  </si>
  <si>
    <t>10.5614/j.eng.technol.sci.2013.45.3.3</t>
  </si>
  <si>
    <t>https://www.researchgate.net/publication/283466437_Feasibility_of_Recovering_Energy_from_Municipal_Solid_Waste_to_Generate_Electricity</t>
  </si>
  <si>
    <t>S. E. Etuk, U. W. Robert, O. E. Agbasi &amp; N. J. Inyang, Evaluation of Thermophysical and Strength Properties of Composite Panels Produced from Sugarcane Bagasse and Waste Newspapers, Advances in Materials Science (2023), 23, 1, 19-31</t>
  </si>
  <si>
    <t>10.2478/adms-2023-0002</t>
  </si>
  <si>
    <t>Integrated Environmental Solutions Limited: Table 6 Thermal Conductivity, Specific Heat Capacity and Density, in: IES VE Help, https://help.iesve.com/ve2021/table_6_thermal_conductivity__specific_heat_capacity_and_density.htm (accessed on: 05.11.2025).</t>
  </si>
  <si>
    <t>M. Kucharek, L. Yang &amp; K. Wang, Assessment of insulating package performance by mathematical modelling, Packaging Technology and Science (2020), 33</t>
  </si>
  <si>
    <t>10.1002/pts.2492</t>
  </si>
  <si>
    <t>H. Zhou, Y. Long, A. Meng, Q. Li &amp; Y. Zhang, Classification of municipal solid waste components for thermal conversion in waste-to-energy research, Fuel (2015), 145, 151-157</t>
  </si>
  <si>
    <t>https://www.sciencedirect.com/science/article/pii/S0016236114012241?via%3Dihub</t>
  </si>
  <si>
    <t>S. D. Gunasee, M. Carrier, J. F. Gorgens &amp; R. Mohee, Pyrolysis and combustion of municipal solid wastes: Evaluation of synergistic effects using TGA-MS, Journal of Analytical and Applied Pyrolysis (2016), 121, 50-61</t>
  </si>
  <si>
    <t>10.1016/j.jaap.2016.07.001</t>
  </si>
  <si>
    <t>M.N. Ramesh, Effect of cooking and drying on the thermal conductivity of rice, International Journal of Food Properties (2000), 3, 1, 77-92</t>
  </si>
  <si>
    <t>10.1080/10942910009524617</t>
  </si>
  <si>
    <t>R. L. Hays, The Thermal Conductivity of Leaves, Planta (1975), 125, 281-287</t>
  </si>
  <si>
    <t>10.1007/BF00385604</t>
  </si>
  <si>
    <t>A. Benestante, M. C. Chalapud, E. Baümler &amp; M. E. Carrín, Physical and mechanical properties of lemon (Citrus lemon) seeds, Journal of the Saudi Society of Agricultural Sciences (2023), 22, 4, 205-213</t>
  </si>
  <si>
    <t>10.1016/j.jssas.2022.11.002</t>
  </si>
  <si>
    <t>M. Sharifi, S. Rafiee*, A. Keyhani, A. Jafari, H. Mobli, A. Rajabipour &amp; A. Akram, Some physical properties of orange (var. Tompson), Int. Agrophysics (2007), 21, 391-397</t>
  </si>
  <si>
    <t>I. D. Akcali, A. Ince &amp; E. Guzel, Selected Physical Properties of Peanuts, International Journal of Food Properties (2006), 9, 1, 25-37</t>
  </si>
  <si>
    <t>10.1080/10942910500471636</t>
  </si>
  <si>
    <t>I. H. Tavman &amp; S. Tavman, Measurement of thermal conductivity of dairy products, Journal of Food Engineering (1999), 41, 2, 109-114</t>
  </si>
  <si>
    <t xml:space="preserve">10.1016/S0260-8774(99)00079-5 </t>
  </si>
  <si>
    <t>M. Kwapinska &amp; J. J. Leahy, Pyrolysis - a way of recovering energy from wastewater sludge from milk processing factories, 5th International Conference on Sustainable Solid Waste Management (2017)</t>
  </si>
  <si>
    <t>M. Kwapinska, A. Horvat, Y. Liu &amp; J. J. Leahy, Pilot Scale Pyrolysis of Activated Sludge Waste from Milk Processing Factory, Waste Biomass Valorization (2020), 11, 2887-2903</t>
  </si>
  <si>
    <t>10.1007/s12649-019-00596-y</t>
  </si>
  <si>
    <t>https://link.springer.com/article/10.1007/s12649-019-00596-y</t>
  </si>
  <si>
    <t>A. Zuorro, G. Maffei &amp; R. Lavecchia, Reuse potential of artichoke (Cynara scolimus L.) waste for the recovery of phenolic compounds and bioenergy, Journal of Cleaner Production (2016), 111, 279-284</t>
  </si>
  <si>
    <t>10.1016/j.jclepro.2015.06.011</t>
  </si>
  <si>
    <t>O. Baik &amp; G. S. Mittal, Determination and Modeling of Thermal Properties of Tofu, International Journal of Food Properties (2003), 6, 1, 9-24</t>
  </si>
  <si>
    <t>10.1081/JFP-120016621</t>
  </si>
  <si>
    <t>R. Verma &amp; S. Prasad, Mechanical and thermal properties of maize, Journal of Food Science and Technology -Mysore- (2000), 37, 5, 500-505</t>
  </si>
  <si>
    <t>B. Shirsat, S. Patel, P. Borkar &amp; P. Bakane, PHYSICAL PROPERTIES OF FRESH GINGER (Zingiber officinale) RHIZOMES, (2019)</t>
  </si>
  <si>
    <t>H. Saeed Salih, Physicochemical properties of Walnuts (Juglans regia L.) shells and kernels growing in different locations in Kurdistan region-Iraq, Journal of Zankoy Sulaimani - Part A (2020), 22, 2</t>
  </si>
  <si>
    <t>10.17656/jzs.10812</t>
  </si>
  <si>
    <t>https://www.researchgate.net/profile/Hayman-Salih/publication/348310970_Physicochemical_properties_of_Walnuts_Juglans_regia_L_shells_and_kernels_growing_in_different_locations_in_Kurdistan_region-Iraq/links/5ff78c8a45851553a02aedf8/Physicochemical-properties-of-Walnuts-Juglans-regia-L-shells-and-kernels-growing-in-different-locations-in-Kurdistan-region-Iraq.pdf</t>
  </si>
  <si>
    <t>V. Mortezaeikia, O. Tavakoli &amp; M. S. Khodaparasti, A review on kinetic study approach for pyrolysis of plastic wastes using thermogravimetric analysis, Journal of Analytical and Applied Pyrolysis (2021), 160, 105340</t>
  </si>
  <si>
    <t>10.1016/j.jaap.2021.105340</t>
  </si>
  <si>
    <t>H. Jia, H. Ben, Y. Luo &amp; R. Wang, Catalytic Fast Pyrolysis of Poly (Ethylene Terephthalate) (PET) with Zeolite and Nickel Chloride, Polymers (2020), 12, 3, 705</t>
  </si>
  <si>
    <t>10.3390/polym12030705</t>
  </si>
  <si>
    <t>S. O. Adoga, O. G. Igbum, G. Okopi, B. A. Ikyenge, O. I. Ochi &amp; P. Ode, Catalytic pyrolysis of low density polyethylene and polypropylene wastes to fuel oils by N-clay, Ovidius University Annals of Chemistry (2022), 33, 1, 50-55</t>
  </si>
  <si>
    <r>
      <t>I. Kremer, T. Tomi</t>
    </r>
    <r>
      <rPr>
        <sz val="11"/>
        <color theme="1"/>
        <rFont val="Segoe UI"/>
        <family val="2"/>
        <charset val="238"/>
      </rPr>
      <t>ć</t>
    </r>
    <r>
      <rPr>
        <sz val="11"/>
        <color theme="1"/>
        <rFont val="Calibri"/>
        <family val="2"/>
        <scheme val="minor"/>
      </rPr>
      <t>, Z. Katan</t>
    </r>
    <r>
      <rPr>
        <sz val="11"/>
        <color theme="1"/>
        <rFont val="Segoe UI"/>
        <family val="2"/>
        <charset val="238"/>
      </rPr>
      <t>č</t>
    </r>
    <r>
      <rPr>
        <sz val="11"/>
        <color theme="1"/>
        <rFont val="Calibri"/>
        <family val="2"/>
        <scheme val="minor"/>
      </rPr>
      <t>i</t>
    </r>
    <r>
      <rPr>
        <sz val="11"/>
        <color theme="1"/>
        <rFont val="Segoe UI"/>
        <family val="2"/>
        <charset val="238"/>
      </rPr>
      <t>ć</t>
    </r>
    <r>
      <rPr>
        <sz val="11"/>
        <color theme="1"/>
        <rFont val="Calibri"/>
        <family val="2"/>
        <scheme val="minor"/>
      </rPr>
      <t>, M. Erceg, S. Papuga, J. P. Vukovi</t>
    </r>
    <r>
      <rPr>
        <sz val="11"/>
        <color theme="1"/>
        <rFont val="Segoe UI"/>
        <family val="2"/>
        <charset val="238"/>
      </rPr>
      <t>ć &amp;</t>
    </r>
    <r>
      <rPr>
        <sz val="11"/>
        <color theme="1"/>
        <rFont val="Calibri"/>
        <family val="2"/>
        <scheme val="minor"/>
      </rPr>
      <t xml:space="preserve"> D. R. Schneider, Catalytic pyrolysis of mechanically non-recyclable waste plastics mixture: Kinetics and pyrolysis in laboratory-scale reactor, Journal of Environmental Management (2021), 296, 113145</t>
    </r>
  </si>
  <si>
    <t>10.1016/j.jenvman.2021.113145</t>
  </si>
  <si>
    <t>D. Oh, H. W. Lee, Y. M. Kim &amp; Y. K. Park, Catalytic pyrolysis of polystyrene and polyethylene terephthalate over Al-MSU-F, Energy Procedia (2018), 144, 111-117</t>
  </si>
  <si>
    <t>10.1016/j.egypro.2018.06.015</t>
  </si>
  <si>
    <t>Z. Wang, K. G. Burra, X. Li, M. Zhang, X. He, T. Lei &amp; A. K. Gupta, CO2-assisted gasification of polyethylene terephthalate with focus on syngas evolution and solid yield, Applied Energy (2020), 276, 115508</t>
  </si>
  <si>
    <t>10.1016/j.apenergy.2020.115508</t>
  </si>
  <si>
    <t>A. Kijo-Kleczkowska, M. Szumera, A. Gnatowski &amp; D. Sadkowski, Comparative thermal analysis of coal fuels, biomass, fly ash and polyamide, Energy (2022), 258, 124840</t>
  </si>
  <si>
    <t>10.1016/j.energy.2022.124840</t>
  </si>
  <si>
    <t>N. I. Unal, S. Mertdinc, H. Haykiri-Acma &amp; S. Yaman, Comparison of the fuel properties and the combustion behavior of PET bottle caps with lignite, Energy Procedia (2017), 136, 22-26</t>
  </si>
  <si>
    <t>10.1016/j.egypro.2017.10.256</t>
  </si>
  <si>
    <t>J. M. Saad, P. T. Williams, Y. Zhang, D. Yao, H. Yang &amp; H. Zhou, Comparison of waste plastics pyrolysis under nitrogen and carbon dioxide atmospheres: A thermogravimetric and kinetic study, Journal of Analytical and Applied Pyrolysis (2021), 156, 105135</t>
  </si>
  <si>
    <t>10.1016/j.jaap.2021.105135</t>
  </si>
  <si>
    <t>H. Wijayanti, C. Irawan &amp; N. Aulia, Copyrolysis of rice husk and plastic bags waste from low-density polyethylene (LDPE) for improving pyrolysis liquid product, IOP Conference Series: Earth and Environmental Science (2022), 963, 1, 012012</t>
  </si>
  <si>
    <t>N. I. Izzatie, M. H. Basha, Y. Uemura, M. S. M. Hashim, N. A. M. Amin &amp; M. F. Hamid, Co-pyrolysis of rice straw and Polyethylene Terephthalate (PET) using a fixed bed drop type pyrolyzer, Journal of Physics: Conference Series (2017), 908, 1, 012073</t>
  </si>
  <si>
    <t>G. Ganeshan, K. P. Shadangi &amp; K. Mohanty, Degradation kinetic study of pyrolysis and co-pyrolysis of biomass with polyethylene terephthalate (PET) using Coats–Redfern method, Journal of Thermal Analysis and Calorimetry (2017), 131, 1803-1816</t>
  </si>
  <si>
    <t>10.1007/s10973-017-6597-5</t>
  </si>
  <si>
    <t>NETZSCH:PA11: Polyamide 11, in: Analysing and Testing - Engineering Thermoplastics, https://analyzing-testing.netzsch.com/en/polymers-netzsch-com/engineering-thermoplastics/pa11-polyamide-11, (letzter Zugriff: 11.11.2025).</t>
  </si>
  <si>
    <t>Ensinger: TECAMID 12 natural, in: STOCK SHAPES, https://www.ensingerplastics.com/en/shapes/pa12-tecamid-12-natural, (letzter Zugriff: 11.11.2025).</t>
  </si>
  <si>
    <t>hinkel elektronik: TECHNICAL DATA SHEET: PA (Polyamide), https://www.hinkel-elektronik.de/pdf_node/954.pdf, (letzter Zugriff: 11.11.2025).</t>
  </si>
  <si>
    <t>MatWeb - MATERIAL PROPERTY DATA: Hippe PA 12 Nylon 12, https://www.matweb.com/search/datasheet.aspx?matguid=29b7c1d742df4caab61835d8eedada2c&amp;n=1&amp;ckck=1, (letzter Zugriff: 11.11.2025).</t>
  </si>
  <si>
    <t xml:space="preserve">Professional Plastics: Thermal Properties of Plastic Materials, (letzter Zugriff: 11.11.2025). </t>
  </si>
  <si>
    <t>G. Özsin &amp; A. E. Pütün, Insights into pyrolysis and co-pyrolysis of biomass and polystyrene: Thermochemical behaviors, kinetics and evolved gas analysis, Energy Conversion and Management (2017), 149, 675-685</t>
  </si>
  <si>
    <t>10.1016/j.enconman.2017.07.059</t>
  </si>
  <si>
    <t>E. B. Ettah, J. G. Egbe, S. A. Takim, U. Akpan &amp; E. Oyom, Investigation of the Thermal Conductivity of Polyvinyl Chloride (Pvc) Ceiling Material Produced In Epz Calabar, For Application Tropical Climate Zones, IOSR Journal of Polymer and textile Engineering (2016), 3, 2, 34-38</t>
  </si>
  <si>
    <t>S. L. Wong, N. Ngadi &amp; T. A. T. Abdullah, Kinetic modeling of LDPE Pyrolysis Using Coats-Redfern Method</t>
  </si>
  <si>
    <t>S. Zhong, B. Zhang, C. Liu &amp; A. Shujaa aldeen, Mechanism of synergistic effects and kinetics analysis in catalytic co-pyrolysis of water hyacinth and HDPE, Energy Conversion and Management (2021), 228, 113717</t>
  </si>
  <si>
    <t>10.1016/j.enconman.2020.113717</t>
  </si>
  <si>
    <t>M. de Sousa Felix, D. Hagare, A. Tahmasebi, A. Sathasivan &amp; M. Arora, Microwave pyrolysis of polypropylene, and high-density polyethylene, and catalytic gasification of waste coffee pods to hydrogen-rich gas, Waste management (New York, N.Y.) (2024), 187, 306-316</t>
  </si>
  <si>
    <t>10.1016/j.wasman.2024.07.021</t>
  </si>
  <si>
    <r>
      <t>E. Sygu</t>
    </r>
    <r>
      <rPr>
        <sz val="11"/>
        <color theme="1"/>
        <rFont val="Segoe UI"/>
        <family val="2"/>
        <charset val="238"/>
      </rPr>
      <t>ł</t>
    </r>
    <r>
      <rPr>
        <sz val="11"/>
        <color theme="1"/>
        <rFont val="Calibri"/>
        <family val="2"/>
        <scheme val="minor"/>
      </rPr>
      <t xml:space="preserve">a, K. </t>
    </r>
    <r>
      <rPr>
        <sz val="11"/>
        <color theme="1"/>
        <rFont val="Segoe UI"/>
        <family val="2"/>
        <charset val="238"/>
      </rPr>
      <t>Ś</t>
    </r>
    <r>
      <rPr>
        <sz val="11"/>
        <color theme="1"/>
        <rFont val="Calibri"/>
        <family val="2"/>
        <scheme val="minor"/>
      </rPr>
      <t>wiechowski, M. Hejna, I. Kunaszyk &amp; A. Bia</t>
    </r>
    <r>
      <rPr>
        <sz val="11"/>
        <color theme="1"/>
        <rFont val="Segoe UI"/>
        <family val="2"/>
        <charset val="238"/>
      </rPr>
      <t>ł</t>
    </r>
    <r>
      <rPr>
        <sz val="11"/>
        <color theme="1"/>
        <rFont val="Calibri"/>
        <family val="2"/>
        <scheme val="minor"/>
      </rPr>
      <t>owiec, Municipal Solid Waste Thermal Analysis—Pyrolysis Kinetics and Decomposition Reactions, Energies (2021), 14, 15, 1-30</t>
    </r>
  </si>
  <si>
    <t>10.3390/en14154510</t>
  </si>
  <si>
    <t>C.-H. Wu, C.-Y. Chang, J.-L. Hor, S.-M. Shih, L.-W. Chen &amp; F.-W. Chang, On the thermal treatment of plastic mixtures of MSW: Pyrolysis kinetics, Waste Management (1993), 13, 3, 221-235</t>
  </si>
  <si>
    <t>10.1016/0956-053X(93)90046-Y</t>
  </si>
  <si>
    <t>N. Roslan, S. Z. Abd Rahim, A. E.-j. Abdellah El-Hadj, M. M. A. B. Abdullah, K. Błoch, P. Pietrusiewicz, M. Nabiałek, J. Szmidla, D. Kwiatkowski, J. Vasco, M. N. Mat Saad &amp; M. Dathullah Ghazali, Optimisation of Shrinkage and Strength on Thick Plate Part Using Recycled LDPE Materials, Materials (2021), 14, 7, 1795</t>
  </si>
  <si>
    <t>10.3390/ma14071795</t>
  </si>
  <si>
    <t>N. Dutta, P. Mondal &amp; A. Gupta, Optimization of process parameters using response surface methodology for maximum liquid yield during thermal pyrolysis of blend of virgin and waste high-density polyethylene,  Journal of Material Cycles and Waste Management (2022), 24, 1182-1193</t>
  </si>
  <si>
    <t>10.1007/s10163-022-01392-y</t>
  </si>
  <si>
    <t>https://link.springer.com/article/10.1007/s10163-022-01392-y#article-info</t>
  </si>
  <si>
    <t>F. Nascimento da Silva, C. G. Sánchez &amp; E. M. S. Sanchez, PRELIMINARY ANALYSIS OF POLYAMIDE-12 FOR STUDY OF
PYROLYSIS IN FLUIDIZED BED, 12th Brazilian Congress of Thermal Engineering and Sciences (2008), November 10-14,2008, Belo Horizonte, Brasil.</t>
  </si>
  <si>
    <t>M. Li, Y. Wan, Z. Gao, G. Xiong, X. Wang, C. Wan &amp; H. Luo, Preparation and properties of polyamide 6 thermal conductive composites reinforced with fibers, Materials &amp; Design (2013), 51, 257-261</t>
  </si>
  <si>
    <t>10.1016/j.matdes.2013.03.076</t>
  </si>
  <si>
    <t>L. Saeed, A. Tohka, M. Haapala &amp; R. Zevenhoven, Pyrolysis and combustion of PVC, PVC-wood and PVC-coal mixtures in a two-stage fluidized bed process, Fuel Processing Technology (2004), 85, 14, 1565-1583</t>
  </si>
  <si>
    <t>10.1016/j.fuproc.2003.11.045</t>
  </si>
  <si>
    <t>L. Sørum, M. G. Grønli &amp; J. E. Hustad, Pyrolysis characteristics and kinetics of municipal solid wastes, Fuel (2001), 80, 9, 1217-1227</t>
  </si>
  <si>
    <t>10.1016/S0016-2361(00)00218-0</t>
  </si>
  <si>
    <t>S. Yousef, J. Eimontas, N. Striūgas, A. Mohamed &amp; M. Ali Abdelnaby, Pyrolysis Kinetic Behavior and Thermodynamic Analysis of PET Nonwoven Fabric, Materials (2023), 16 (18), 6079</t>
  </si>
  <si>
    <t>10.3390/ma16186079</t>
  </si>
  <si>
    <t>Lithuania</t>
  </si>
  <si>
    <t>B. B. Uzun &amp; E. Yaman, Pyrolysis kinetics of walnut shell and waste polyolefins using thermogravimetric analysis, Journal of the Energy Institute (2017), 90, 6, 825-837</t>
  </si>
  <si>
    <t>10.1016/j.joei.2016.09.001</t>
  </si>
  <si>
    <t>S. A. Salaudeen, S. M. Al-Salem, S. Sharma &amp; A. Duttam, Pyrolysis of High-Density Polyethylene in a Fluidized Bed Reactor: Pyro-Wax and Gas Analysis, Industrial &amp; Engineering Chemistry Research (2021), 60, 18283-18292</t>
  </si>
  <si>
    <t>10.1021/acs.iecr.1c03373</t>
  </si>
  <si>
    <t>I. J. Dubdub &amp; M. Al-Yaari, Pyrolysis of Mixed Plastic Waste: I. Kinetic Study, Materials (2020), 13, 21, 4912</t>
  </si>
  <si>
    <t>10.3390/ma13214912</t>
  </si>
  <si>
    <t>S. D. A. Sharuddin, F. Abnisa, W. Daud &amp; M. K. Auroua, Pyrolysis of plastic waste for liquid fuel production as prospective energy resource, IOP Conference Series: Materials Science and Engineering (2018), 334, 1, 012001</t>
  </si>
  <si>
    <t>J. M. Encinar &amp; J. F. González, Pyrolysis of synthetic polymers and plastic wastes. Kinetic study, Fuel Processing Technology (2008), 89, 7, 678-686</t>
  </si>
  <si>
    <t>10.1016/j.fuproc.2007.12.011</t>
  </si>
  <si>
    <t>J. A. Glaser, Biological Degradation of Polymers in the Environment, Plastics in the Environment (2019), 1-22</t>
  </si>
  <si>
    <t>A. Elhassnaoui, A. El Ballouti, S. Sahnoun, Reconstruction of a triangular geometry defects in inaccessible face by a model of active thermography, Journal of Optoelectronics and Advanced Materials (2013), 15, 5-6, 447-450</t>
  </si>
  <si>
    <t>S. Kumar &amp; R.K. Singh, Recovery of hydrocarbon liquid from waste high density polyethylene by thermal pyrolysis, Brazilian Journal of Chemical Engineering (2011), 28, 659-667</t>
  </si>
  <si>
    <t>10.1590/S0104-66322011000400011</t>
  </si>
  <si>
    <t>A. Kijo-Kleczkowska &amp; A. Gnatowski, Recycling of Plastic Waste, with Particular Emphasis on Thermal Methods—Review, Energies (2022), 15, 6, 2114</t>
  </si>
  <si>
    <t>10.3390/en15062114</t>
  </si>
  <si>
    <t>A. Chaudhary, J. Lakhani, P. Dalsaniya, P. Chaudhary, A. Trada, N. K. Shah &amp; D. S. Upadhyay, Slow pyrolysis of low-density Poly-Ethylene (LDPE): A batch experiment and thermodynamic analysis, Energy (2023), 263, 125810</t>
  </si>
  <si>
    <t>10.1016/j.energy.2022.125810</t>
  </si>
  <si>
    <t>S. Zallaya, J. H. El Achkar, A. Abou Chacra, S. Shatila, J. El Akhdar &amp; Y. Daher, Steam gasification modeling of polyethylene (PE) and polyethylene terephthalate (PET) wastes: A case study, Chemical Engineering Science (2023), 267, 118340</t>
  </si>
  <si>
    <t>10.1016/j.ces.2022.118340</t>
  </si>
  <si>
    <t>Lebanon</t>
  </si>
  <si>
    <t>S. M. Al-Salem, S. R. Chandrasekaran, A. Dutta &amp; B. K. Sharma, Study of the fuel properties of extracted oils obtained from low and linear low density polyethylene pyrolysis, Fuel (2021), 304, 121396</t>
  </si>
  <si>
    <t>10.1016/j.fuel.2021.121396</t>
  </si>
  <si>
    <t>Kuwait</t>
  </si>
  <si>
    <t>Y. Zheng, L. Tao, X. Yang, Y. Huang, C. Liu &amp; Z. Zheng, Study of the thermal behavior, kinetics, and product characterization of biomass and low-density polyethylene co-pyrolysis by thermogravimetric analysis and pyrolysis-GC/MS, Journal of Analytical and Applied Pyrolysis (2018), 133, 185-197</t>
  </si>
  <si>
    <t>10.1016/j.jaap.2018.04.001</t>
  </si>
  <si>
    <t>S. Xiong, J. Zhuo, H. Zhou, R. Pang &amp; Q. Yao, Study on the co-pyrolysis of high density polyethylene and potato blends using thermogravimetric analyzer and tubular furnace, Journal of Analytical and Applied Pyrolysis (2015), 112, 66-73</t>
  </si>
  <si>
    <t>10.1016/j.jaap.2015.02.020</t>
  </si>
  <si>
    <t>D. Li, S. Lei, P. Wang, L. Zhong, W. Ma &amp; G. Chen, Study on the pyrolysis behaviors of mixed waste plastics, Renewable Energy (2021), 173, 662-674</t>
  </si>
  <si>
    <t>10.1016/j.renene.2021.04.035</t>
  </si>
  <si>
    <t>Z. Yuan, J. Zhang, P. Zhao, Z. Wang, X. Cui, L. Gao, Q. Guo &amp; H. Tian, Synergistic Effect and Chlorine-Release Behaviors During Co-pyrolysis of LLDPE, PP, and PVC, ACS Omega (2020), 5, 20, 11291-11298</t>
  </si>
  <si>
    <t>10.1021/acsomega.9b04116</t>
  </si>
  <si>
    <t>C. L. Choy &amp; D. Greig, The low temperature thermal conductivity of isotropic and oriented polymers, Journal of Physics C: Solid State Physics (1977), 10, 2, 169</t>
  </si>
  <si>
    <t>M. F. Paucar-Sánchez, M. Calero, G. Blázquez, R. R. Solís, M. J. Muñoz-Batista &amp; M. Á. Martín-Lara, Thermal and catalytic pyrolysis of a real mixture of post-consumer plastic waste: An analysis of the gasoline-range product, Process Safety and Environmental Protection (2022), 168, 1201-1211</t>
  </si>
  <si>
    <t>10.1016/j.psep.2022.11.009</t>
  </si>
  <si>
    <t>A. Trigui, M. Karkri &amp; I. Krupa, Thermal conductivity and latent heat thermal energy storage properties of LDPE/wax as a shape-stabilized composite phase change material, Energy Conversion and Management (2014), 77, 586-596</t>
  </si>
  <si>
    <t>10.1016/j.enconman.2013.09.034</t>
  </si>
  <si>
    <t>G. de Carvalho, E. Frollini &amp; W. N. D. Santos, Thermal conductivity of polymers by hot-wire method, Journal of Applied Polymer Science (1996), 62, 13, 2281-2285</t>
  </si>
  <si>
    <t>10.1002/(SICI)1097-4628(19961226)62:13&lt;2281::AID-APP12&gt;3.0.CO;2-6</t>
  </si>
  <si>
    <t>N. Ahmad, N. Ahmad, I. M. Maafa, U. Ahmed, .P Akhter, N. Shehzad, U.-e-s. Amjad &amp; M. Hussain, Thermal conversion of polystyrene plastic waste to liquid fuel via ethanolysis, Fuel (2020), 279, 118498</t>
  </si>
  <si>
    <t>10.1016/j.fuel.2020.118498</t>
  </si>
  <si>
    <t>A. Aboulkas, K. El harfi &amp; A. El Bouadili, Thermal degradation behaviors of polyethylene and polypropylene. Part I: Pyrolysis kinetics and mechanisms, Energy Conversion and Management (2010), 51, 7, 1363-1369</t>
  </si>
  <si>
    <t>10.1016/j.enconman.2009.12.017</t>
  </si>
  <si>
    <t>N. Miskolczi, L. Bartha, G. Deák &amp; B. Jóver, Thermal degradation of municipal plastic waste for production of fuel-like hydrocarbons, Polymer Degradation and Stability (2004), 86, 2, 357-366</t>
  </si>
  <si>
    <t>10.1016/j.polymdegradstab.2004.04.025</t>
  </si>
  <si>
    <t>Y. C. Rotliwala &amp; P. A. Parikh, Thermal degradation of rice-bran with high density polyethylene: A kinetic study,  Korean Journal of Chemical Engineering (2011), 28, 788-792</t>
  </si>
  <si>
    <t>R. K. Singh, B. Ruj, A. K. Sadhukha &amp;, P. Gupta, Thermal degradation of waste plastics under non-sweeping atmosphere: Part 1: Effect of temperature, product optimization, and degradation mechanism, Journal of Environmental Management (2019), 239, 395-406</t>
  </si>
  <si>
    <t>10.1016/j.jenvman.2019.03.067</t>
  </si>
  <si>
    <t>B. Abbasgholi-Na, S. R. Nokhbeh, O. A Aldaghri, K. H. Ibnaouf, N. Madkhali &amp; H. Cabrera, Thermal Diffusivity and Conductivity of Polyolefins by Thermal Lens Technique, Polymers (2022), 14, 13, 2707</t>
  </si>
  <si>
    <t>10.3390/polym14132707</t>
  </si>
  <si>
    <t>M. H. Rahman, P. R. Bhoi, A. Saha, V. Patil &amp; S. Adhikari, Thermo-catalytic co-pyrolysis of biomass and high-density polyethylene for improving the yield and quality of pyrolysis liquid, Energy (2021), 225, 120231</t>
  </si>
  <si>
    <t>10.1016/j.energy.2021.120231</t>
  </si>
  <si>
    <t>J. Cai, Y. Wang, L. Zhou &amp; Q. Huang, Thermogravimetric analysis and kinetics of coal/plastic blends during co-pyrolysis in nitrogen atmosphere, Fuel Processing Technology (2008), 89, 1, 21-27</t>
  </si>
  <si>
    <t>10.1016/j.fuproc.2007.06.006</t>
  </si>
  <si>
    <t>E. Ansah, L. Wang &amp; A. Shahbazi, Thermogravimetric and calorimetric characteristics during co-pyrolysis of municipal solid waste components, Waste Management (2016), 56, 196-206</t>
  </si>
  <si>
    <t>J. M. Heikkinen, J. C. Hordijk, W. de Jong, H. Spliethoff, Thermogravimetry as a tool to classify waste components to be used for energy generation, Journal of Analytical and Applied Pyrolysis (2004), 71, 2, 883-900</t>
  </si>
  <si>
    <t>10.1016/j.jaap.2003.12.001</t>
  </si>
  <si>
    <t>S. Kumar, R. K. Singh, Thermolysis of High-Density Polyethylene to Petroleum Products, Journal of Petroleum Engineering (2013), 2013, 1, 987568</t>
  </si>
  <si>
    <t>10.1155/2013/987568</t>
  </si>
  <si>
    <t>M. Kok, K. Demirelli &amp; Y. Aydogdu, Thermophysical Properties Of Blend Of Poly ( Vinyl Chloride ) With Poly ( Isobornyl Acrylate ), International Journal of Science &amp; Technology (2008), 3, 1, 37-42</t>
  </si>
  <si>
    <t>D. Supramono, E. Kusrini &amp; H. Yuana, Yield and Composition of Bio-oil from Co-Pyrolysis of Corn Cobs and Plastic Waste of HDPE in a Fixed Bed Reactor, Journal of the Japan Institute of Energy (2016), 95, 8, 621-628</t>
  </si>
  <si>
    <t>10.3775/jie.95.621</t>
  </si>
  <si>
    <t>M. Prasad k &amp; M. Somasundaram, Co-pyrolysis of Juliflora biomass with low-density polyethylene for bio-oil synthesis, Energy Sources, Part A: Recovery, Utilization, and Environmental Effects (2021), 43, 9, 1134-1149</t>
  </si>
  <si>
    <t>https://www.tandfonline.com/doi/full/10.1080/15567036.2019.1635232</t>
  </si>
  <si>
    <t>K. P. Kumar &amp; S. Srinivas, Catalytic Co-pyrolysis of Biomass and Plastics (Polypropylene and
Polystyrene) Using Spent FCC Catalyst, Energy &amp; Fuels (2020), 34, 1, 460-473</t>
  </si>
  <si>
    <t>10.1021/acs.energyfuels.9b03135</t>
  </si>
  <si>
    <t>S.-H. Jung, M.-H. Cho, B.-S. Kang &amp; J.-S. Kim, Pyrolysis of a fraction of waste polypropylene and polyethylene for the recovery of BTX aromatics using a fluidized bed reactor, Fuel Processing Technology (2010), 91, 3, 277-284</t>
  </si>
  <si>
    <t>10.1016/j.fuproc.2009.10.009</t>
  </si>
  <si>
    <t>M. He, B. Xiao, Z. Hu, S. Liu, X. Guo &amp; S. Luo, Syngas production from catalytic gasification of
waste polyethylene: Influence of temperature on gas yield
and composition, International Journal of Hydrogen Energy (2009), 34, 3, 1342-1348</t>
  </si>
  <si>
    <t>10.1016/j.ijhydene.2008.12.023</t>
  </si>
  <si>
    <t>K.G. Burra &amp; A.K. Gupta, Synergistic effects in steam gasification of combined biomass and plastic
waste mixtures, Applied Energy (2018), 211, 230-236</t>
  </si>
  <si>
    <t>10.1016/j.apenergy.2017.10.130</t>
  </si>
  <si>
    <t>R. Xiao, B. Jin, H. Zhou, Z. Zhong &amp; M. Zhang, Air gasification of polypropylene plastic waste in fluidized bed gasifier, Energy Conversion and Management (2007), 48, 3, 778-786</t>
  </si>
  <si>
    <t>10.1016/j.enconman.2006.09.004</t>
  </si>
  <si>
    <t>F. Pinto, M. Miranda &amp; P. Costa, Co-pyrolysis of wastes mixtures obtained from rice production. Upgrading of produced liquids, Chemical Engineering Transactions (2015), 43, 2053-2058</t>
  </si>
  <si>
    <t>10.3303/CET1543343</t>
  </si>
  <si>
    <t xml:space="preserve">J. G. Speight: Lange’s handbook of chemistry. 16th ed., New York: McGraw-Hill, 2005. </t>
  </si>
  <si>
    <t>M. Hu, D. Yu &amp; J. Wie, Thermal conductivity determination of small polymer samples by differential scanning calorimetry, Polymer Testing (2007), 26:3, 333-337</t>
  </si>
  <si>
    <t>J.E.S.D. Ladbury, B.R. Currell, J.R. Horder, J.R. Parsonage &amp; E.A. Vidgeon, Application of DSC for the measurement of the thermal conductivity of elastomeric materials, Thermochimica Acta (1990), 169, 39-45</t>
  </si>
  <si>
    <t>10.1016/0040-6031(90)80131-H</t>
  </si>
  <si>
    <t>https://www.sciencedirect.com/science/article/pii/004060319080131H</t>
  </si>
  <si>
    <t>C. T’Joen, Y. Park, Q. Wang, A. Sommers, X. Han &amp; A. Jacobi,  A review on polymer heat exchangers for HVAC&amp;R applications, International Journal of Refrigeration (2009), 32, 5, 763-779</t>
  </si>
  <si>
    <t xml:space="preserve"> D. Tripathi and Knovel, Practical guide to polypropylene,  Shawbury, U.K: Rapra Technology Ltd, 2002. </t>
  </si>
  <si>
    <t xml:space="preserve">Goswami, D. Y. (2015). Principles of solar engineering.CRC Press Taylor &amp; Francis Group. </t>
  </si>
  <si>
    <t xml:space="preserve">Guo, B.; Song, S.; Chacko J.; Ghalambor, A. (2005). Offshore Pipelines. Elsevier. </t>
  </si>
  <si>
    <t>A. W. Birley, R. J. Heath &amp; M. J. Scott, Plastic Materials - Properties and Applications, Blackie Academic &amp; Professional (1988)</t>
  </si>
  <si>
    <t>10.1007/978-94-011-7614-9</t>
  </si>
  <si>
    <t>https://link.springer.com/book/10.1007/978-94-011-7614-9</t>
  </si>
  <si>
    <t>R. Zevenhoven, E. P. Axelsen &amp; M. Hupa, Pyrolysis of waste-derived fuel mixtures containing PVC, Fuel (2002), 81:4, 507-510</t>
  </si>
  <si>
    <t>10.1016/S0016-2361(01)00168-5</t>
  </si>
  <si>
    <t>P.Tang, M.V.A. Florena, P. Spiesz &amp; H.J.H. Brouwers, Characteristics and application potential of municipal solid waste incineration (MSWI) bottom ashes from two waste-to-energy plants, Construction and Building Materials (2015), 83,77-94</t>
  </si>
  <si>
    <t>10.1016/j.conbuildmat.2015.02.033</t>
  </si>
  <si>
    <t>https://www.sciencedirect.com/science/article/pii/S0950061815001804</t>
  </si>
  <si>
    <t xml:space="preserve">Netherlands </t>
  </si>
  <si>
    <t xml:space="preserve">B.Wu, D.Wang, X. Chai, F.Takahashi &amp; T. Shimaoka, Characterization of chlorine and heavy metals for the potential recycling of bottom ash from municipal solid waste incinerators as cement additives, Frontiers of Environmental Science &amp; Engineering (2016), 10, 8
</t>
  </si>
  <si>
    <t>10.1007/s11783-016-0847-9</t>
  </si>
  <si>
    <t>https://link.springer.com/article/10.1007/s11783-016-0847-9</t>
  </si>
  <si>
    <t>F. Jiao, L. Zhang, Z. Dong, T. Namioka, N. Yamada &amp; Y. Ninomiya, Study on the species of heavy metals in MSW incineration fly ash and their leaching behaviour, Fuel Processing Technology (2016), 152, 108-115</t>
  </si>
  <si>
    <t>10.1016/j.fuproc.2016.06.013</t>
  </si>
  <si>
    <t>https://www.sciencedirect.com/science/article/pii/S0378382016302727</t>
  </si>
  <si>
    <t xml:space="preserve">D.H. Vu, K.-S. Wang, J.-H. Chen, B.X. Nam &amp; B.H. Bac, Glass-ceramic from mixtures of bottom ash and fly ash, Waste Management (2012), 32,12,2306-2314 </t>
  </si>
  <si>
    <t>10.1016/j.wasman.2012.05.040</t>
  </si>
  <si>
    <t>https://www.researchgate.net/publication/228100608_Glass-ceramic_from_mixtures_of_bottom_ash_and_fly_ash</t>
  </si>
  <si>
    <t xml:space="preserve">Vietnam </t>
  </si>
  <si>
    <t>J. Zhang, X. Zhang, J. Yuan, B. Liu, H. Shen, J. Liu &amp; S. Zhang, Hierarchically porous glass–ceramics by alkaline activation and crystallization from municipal solid waste incineration ashes, Journal of Cleaner Production (2022), 364,132693</t>
  </si>
  <si>
    <t>10.1016/j.jclepro.2022.132693</t>
  </si>
  <si>
    <t>https://www.sciencedirect.com/science/article/pii/S0959652622022910</t>
  </si>
  <si>
    <t>Z. Chen, Y. Liu, W. Zhu &amp; E.-H. Yang, Incinerator bottom ash (IBA) aerated geopolymer, Construction and Building Materials (2016), 112, 1025-1031</t>
  </si>
  <si>
    <t>10.1016/j.conbuildmat.2016.02.164</t>
  </si>
  <si>
    <t>https://www.sciencedirect.com/science/article/pii/S0950061816302239</t>
  </si>
  <si>
    <t>X.G. Li, Z.L. Liu, Y. Lv, L.X. Cai, D.B. Jiang, W.G. Jiang &amp; S. Jian, Utilization of municipal solid waste incineration bottom ash in autoclaved aerated concrete, Construction and Building Materials (2018), 178, 175-182</t>
  </si>
  <si>
    <t>10.1016/j.conbuildmat.2018.05.147</t>
  </si>
  <si>
    <t>https://www.sciencedirect.com/science/article/pii/S0950061818312236</t>
  </si>
  <si>
    <t>T. Zhang &amp; Z. Zhao, Optimal Use of MSWI Bottom Ash in Concrete, International Journal of Concrete Structures and Materials (2014), 8, 173-182</t>
  </si>
  <si>
    <t>10.1007/s40069-014-0073-4</t>
  </si>
  <si>
    <t>https://link.springer.com/article/10.1007/s40069-014-0073-4</t>
  </si>
  <si>
    <t>P. Shen, H. Zheng, J. Lu &amp; C.S. Poon, Utilization of municipal solid waste incineration bottom ash (IBA) aggregates in high-strength pervious concrete, Resources, Conservation and Recycling (2021), 174, 105736</t>
  </si>
  <si>
    <t>10.1016/j.resconrec.2021.105736</t>
  </si>
  <si>
    <t>https://www.sciencedirect.com/science/article/pii/S0921344921003451</t>
  </si>
  <si>
    <t>W. Zhu, X.H. Rao, Y. Liu &amp; E.-H. Yang,Lightweight aerated metakaolin-based geopolymer incorporating municipal solid waste incineration bottom ash as gas-forming agent, Journal of Cleaner Production (2018), 177, 775-781</t>
  </si>
  <si>
    <t>10.1016/j.jclepro.2017.12.267</t>
  </si>
  <si>
    <t>https://www.sciencedirect.com/science/article/pii/S0959652617332614</t>
  </si>
  <si>
    <t>N. Saikia, G. Cornelis, G. Mertens, J. Elsen, K. Van Balen, T. Van Gerven &amp; C. Vandecasteele, Assessment of Pb-slag, MSWI bottom ash and boiler and fly ash for using as a fine aggregate in cement mortar, Journal of Hazardous Materials (2008), 154, 1, 766-777</t>
  </si>
  <si>
    <t>10.1016/j.jhazmat.2007.10.093</t>
  </si>
  <si>
    <t>https://www.sciencedirect.com/science/article/pii/S0304389407015749</t>
  </si>
  <si>
    <t>O. Ginés, J.M. Chimenos, A. Vizcarro, J. Formosa &amp; J.R. Rosell, Combined use of MSWI bottom ash and fly ash as aggregate in concrete formulation: Environmental and mechanical considerations, Journal of Hazardous Materials (2009), 169, 1, 643-650</t>
  </si>
  <si>
    <t>10.1016/j.jhazmat.2009.03.141</t>
  </si>
  <si>
    <t>https://www.sciencedirect.com/science/article/pii/S0304389409005457</t>
  </si>
  <si>
    <t>R.C.C. Monteiro, S.J.G. Alendouro, F.M.L. Figueiredo, M.C. Ferro &amp; M.H.V. Fernandes, Development and properties of a glass made from MSWI bottom ash, Journal of Non-Crystalline Solids (2006), 352, 2, 130-135</t>
  </si>
  <si>
    <t>10.1016/j.jnoncrysol.2005.11.008</t>
  </si>
  <si>
    <t>https://www.sciencedirect.com/science/article/pii/S0022309305007817</t>
  </si>
  <si>
    <t>N. Lopez Ferber, D. Pham Minh, Q. Falcoz, A. Meffre, N. Tessier-Doyen, A. Nzihou &amp; V. Goetz, Development of a Thermal Energy Storage Pressed Plate Ceramic Based on Municipal Waste Incinerator Bottom Ash and Waste Clay, Waste and Biomass Valorization (2020), 11, 689-699</t>
  </si>
  <si>
    <t>10.1007/s12649-019-00629-6</t>
  </si>
  <si>
    <t>https://link.springer.com/article/10.1007/s12649-019-00629-6</t>
  </si>
  <si>
    <t>L. Barbieri, A. Karamanov, A. Corradi, I. Lancellotti, M. Pelino &amp; J. Ma. Rincon, Structure, chemical durability and crystallization behavior of incinerator-based glassy systems, Journal of Non-Crystalline Solids (2008), 354, 2, 521-528</t>
  </si>
  <si>
    <t>10.1016/j.jnoncrysol.2007.07.080</t>
  </si>
  <si>
    <t>https://www.sciencedirect.com/science/article/pii/S0022309307011027</t>
  </si>
  <si>
    <t>L. Maccarini Schabbach, F. Andreola, E. Karamanova, I. Lancellotti, A. Karamanov &amp; L. Barbieri, Integrated approach to establish the sinter-crystallization ability of glasses from secondary raw material, Journal of Non-Crystalline Solids (2011), 357, 1, 10-17</t>
  </si>
  <si>
    <t>10.1016/j.jnoncrysol.2010.10.006</t>
  </si>
  <si>
    <t>https://www.sciencedirect.com/science/article/pii/S0022309310007490</t>
  </si>
  <si>
    <t>M. Aloisi, A. Karamanov, G. Taglieri, F. Ferrante &amp; M. Pelino, Sintered glass ceramic composites from vitrified municipal solid waste bottom ashes, Journal of Hazardous Materials (2006), 137, 1, 138-143</t>
  </si>
  <si>
    <t>10.1016/j.jhazmat.2005.12.056</t>
  </si>
  <si>
    <t>https://www.sciencedirect.com/science/article/pii/S0304389406002779</t>
  </si>
  <si>
    <t>P. Appendino, M. Ferraris, I. Matekovits &amp; M. Salvo, Production of glass–ceramic bodies from the bottom ashes of municipal solid waste incinerators, Journal of the European Ceramic Society (2004), 24, 5, 803-810</t>
  </si>
  <si>
    <t>10.1016/S0955-2219(03)00264-4</t>
  </si>
  <si>
    <t>https://www.sciencedirect.com/science/article/pii/S0955221903002644</t>
  </si>
  <si>
    <t>L. Barbieri, A. Corradi, &amp; I. Lancellotti, Bulk and sintered glass-ceramics by recycling municipal incinerator bottom ash, Journal of the European Ceramic Society (2000), 20, 10, 1637-1643</t>
  </si>
  <si>
    <t>10.1016/S0955-2219(00)00032-7</t>
  </si>
  <si>
    <t>https://www.sciencedirect.com/science/article/pii/S0955221900000327</t>
  </si>
  <si>
    <t>R. del Valle-Zermeño, C. Barreneche, L. F. Cabeza and J. Formosa, A. I. Fernández &amp; J. M. Chimenos, MSWI bottom ash for thermal energy storage: An innovative and sustainable approach for its reutilization, Renewable Energy (2016), 99, 431-436</t>
  </si>
  <si>
    <t>10.1016/j.renene.2016.07.027</t>
  </si>
  <si>
    <t>https://www.sciencedirect.com/science/article/pii/S0960148116306231</t>
  </si>
  <si>
    <t>P. Tang, M.V.A. Florea, P. Spiesz &amp; H.J.H. Brouwers, Application of thermally activated municipal solid waste incineration (MSWI) bottom ash fines as binder substitute, Cement and Concrete Composites (2016), 70, 194-205</t>
  </si>
  <si>
    <t>10.1016/j.cemconcomp.2016.03.015</t>
  </si>
  <si>
    <t>https://www.sciencedirect.com/science/article/pii/S0958946516300476</t>
  </si>
  <si>
    <t>E. Rambaldi, L. Esposito, F. Andreola, L. Barbieri, I. Lancellotti &amp; I. Vassura, The recycling of MSWI bottom ash in silicate based ceramic, Ceramics International (2010), 36, 8, 2469-2476</t>
  </si>
  <si>
    <t>10.1016/j.ceramint.2010.08.005</t>
  </si>
  <si>
    <t>https://www.sciencedirect.com/science/article/pii/S0272884210002932</t>
  </si>
  <si>
    <t>S. Bethanis, C.R. Cheeseman &amp; C.J. Sollars, Properties and microstructure of sintered incinerator bottom ash, Cermics International (2002), 28, 8, 881-886</t>
  </si>
  <si>
    <t>10.1016/S0272-8842(02)00068-8</t>
  </si>
  <si>
    <t>https://www.sciencedirect.com/science/article/pii/S0272884202000688</t>
  </si>
  <si>
    <t>A. Bourtsalas, L.J. Vandeperre, S.M. Grimes, N. Themelis &amp; C.R. Cheeseman, Production of pyroxene ceramics from the fine fraction of incinerator bottom ash, Waste Management (2015), 45, 217-225</t>
  </si>
  <si>
    <t>10.1016/j.wasman.2015.02.016</t>
  </si>
  <si>
    <t>https://www.sciencedirect.com/science/article/pii/S0956053X15000999</t>
  </si>
  <si>
    <t>S. Ozawa &amp; M. Susa, Effect of Na2O additions on thermal conductivities of CaO–SiO2 slags, Ironmaking &amp; Steelmaking (2005), 32, 6, 487-493</t>
  </si>
  <si>
    <t>10.1179/174328105X48179</t>
  </si>
  <si>
    <t>https://www.tandfonline.com/doi/abs/10.1179/174328105X48179</t>
  </si>
  <si>
    <t>K. Nishioka, T. Maeda &amp; M. Shimizu, Application of Square-wave Pulse Heat Method to Thermal Properties Measurement of CaO–SiO2–Al2O3 System Fluxes, ISIJ International (2006), 46, 3, 427-433</t>
  </si>
  <si>
    <t>10.2355/isijinternational.46.427</t>
  </si>
  <si>
    <t>https://www.jstage.jst.go.jp/article/isijinternational/46/3/46_3_427/_pdf</t>
  </si>
  <si>
    <t>M. Susa, M. Watanabe, S. Ozawa &amp; R. Endo, Thermal conductivity of CaO–SiO2–Al2O3 glassy slags: Its dependence on molar ratios of Al2O3/CaO and SiO2/Al2O3, Ironmaking &amp; Steelmaking (2007), 34, 2, 124-130</t>
  </si>
  <si>
    <t>10.1179/174328107X165672</t>
  </si>
  <si>
    <t>https://journals.sagepub.com/doi/abs/10.1179/174328107X165672</t>
  </si>
  <si>
    <t>Q. Wang, D. Wang, Q. Li &amp; J. Zhang, Relationship between Microstructure and Thermal Conductivity in Coal Slags with Variable Silica and Alumina, Energy &amp; Fuels (2019), 33, 6226-6233</t>
  </si>
  <si>
    <t>10.1021/acs.energyfuels.9b01090</t>
  </si>
  <si>
    <t>https://www.researchgate.net/publication/333980929_Relationship_between_Microstructure_and_Thermal_Conductivity_in_Coal_Slags_with_Variable_Silica_and_Alumina</t>
  </si>
  <si>
    <t>P. Krammart and S. Tangtermsirikul, Properties of cement made by partially replacing cement raw materials with municipal solid waste ashes and calcium carbide waste, Construction and Building Materials (2004), 18, 8, 579-583</t>
  </si>
  <si>
    <t>10.1016/j.conbuildmat.2004.04.014</t>
  </si>
  <si>
    <t>https://www.sciencedirect.com/science/article/pii/S0950061804000637</t>
  </si>
  <si>
    <t>Y. Rezkallah, N. Tahraoui Douma, S. Ham, S. Kouadri Moustefai &amp; M. Casellas, Characterization of Bottom Ashes from Incineration of Different Compositions of Municipal Solid Wastes: Implications for its Valorization as a Cementitious Material, Polish Journal of Environmental Studies (2026), 35, 1, 253-264</t>
  </si>
  <si>
    <t>10.15244/pjoes/195980</t>
  </si>
  <si>
    <t>https://www.pjoes.com/Characterization-of-Bottom-Ashes-nfrom-Incineration-of-Different-Compositions-nof,195980,0,2.html</t>
  </si>
  <si>
    <t>I. Asiwaju-Bello, O. Olalusi &amp; F. Olutoge, Effect of Salt Water on the Compressive Strength of Ceramic Powder Concrete, American Journal of Engineering Research (2017), 6, 158-163</t>
  </si>
  <si>
    <t>https://www.researchgate.net/profile/Oladimeji-Olalusi/publication/319007553_Effect_of_Salt_Water_on_the_Compressive_Strength_of_Ceramic_Powder_Concrete/links/598ae4efa6fdcc7cf92405a7/Effect-of-Salt-Water-on-the-Compressive-Strength-of-Ceramic-Powder-Concrete.pdf</t>
  </si>
  <si>
    <t xml:space="preserve">Nigeria </t>
  </si>
  <si>
    <t xml:space="preserve">Africa </t>
  </si>
  <si>
    <t>De Dietrich. Borosilicate Glass 3.3 . Retrieved March 3, 2026, from https://www.dedietrich.com/en/borosilicate-glass</t>
  </si>
  <si>
    <t xml:space="preserve">France </t>
  </si>
  <si>
    <t>Schott AG. (September, 2017). DUROBAX® amber. Retrieved March 3, 2026, from https://www.us.schott.com/tubing/english/product_selector/#!/region--us/lang--english/product--DUROBAX_amber</t>
  </si>
  <si>
    <t>UQG OPTICS. (n.d.). DATA SHEET SCHOTT® Lead Glass RD50 Specification. Retrieved March 2, 2026, from https://www.uqgoptics.com/wp-content/uploads/2019/06/Lead-Glass-Schott-RD50.pdf</t>
  </si>
  <si>
    <t>MatWeb Material Property Data. (n.d.). Overview of materials for Brass. Retrieved March 2, 2026, from https://matweb.com/search/DataSheet.aspx?MatGUID=d3bd4617903543ada92f4c101c2a20e5</t>
  </si>
  <si>
    <t xml:space="preserve">NSI Natural Stone Institute. (n.d.). R-Value for Natural Stone. Retrieved March 2, 2026, from https://www.naturalstoneinstitute.org/stoneprofessionals/technical-bulletins/rvalue/ </t>
  </si>
  <si>
    <t>Ralph, J., Von Bargen, D., Martynov, P., Zhang, J., Que, X., Prabhu, A., Morrison, S. M., Li, W., Chen, W., &amp; Ma, X. (2025). Mindat.org: The open access mineralogy database: Kaolinite. https://www.mindat.org/min-2156.html</t>
  </si>
  <si>
    <t xml:space="preserve">America </t>
  </si>
  <si>
    <r>
      <t>MatWeb Material Property Data. (n.d.). Gypsum (CaSO</t>
    </r>
    <r>
      <rPr>
        <vertAlign val="subscript"/>
        <sz val="11"/>
        <color theme="1"/>
        <rFont val="Calibri"/>
        <family val="2"/>
        <scheme val="minor"/>
      </rPr>
      <t>4</t>
    </r>
    <r>
      <rPr>
        <sz val="11"/>
        <color theme="1"/>
        <rFont val="Calibri"/>
        <family val="2"/>
        <scheme val="minor"/>
      </rPr>
      <t xml:space="preserve"> - 2H</t>
    </r>
    <r>
      <rPr>
        <vertAlign val="subscript"/>
        <sz val="11"/>
        <color theme="1"/>
        <rFont val="Calibri"/>
        <family val="2"/>
        <scheme val="minor"/>
      </rPr>
      <t>2</t>
    </r>
    <r>
      <rPr>
        <sz val="11"/>
        <color theme="1"/>
        <rFont val="Calibri"/>
        <family val="2"/>
        <scheme val="minor"/>
      </rPr>
      <t>O). Retrieved March 2, 2026, from https://www.matweb.com/search/DataSheet.aspx?MatGUID=fdac5563c7f2472a825d6cc0f16e2785&amp;ckck=1</t>
    </r>
  </si>
  <si>
    <t>MatWeb Material Property Data. Overview of materials for Nickel Alloy. Retrieved March 2, 2026, from https://www.matweb.com/search/datasheet.aspx?matguid=8808b026f7c14d2f8d61f2d476aaeb26&amp;n=1</t>
  </si>
  <si>
    <t>MatWeb Material Property Data. (n.d.). Overview of materials for Lead Alloy. Retrieved March 2, 2026, from https://www.matweb.com/search/DataSheet.aspx?MatGUID=796041d9aef04a91b58d4cd8db04edb8</t>
  </si>
  <si>
    <t>MatWeb Material Property Data. (n.d.). Overview of materials for Alpha/Beta Titanium Alloy. Retrieved March 2, 2026, from https://www.matweb.com/search/DataSheet.aspx?MatGUID=4dac23c848db4780a067fd556906cae6</t>
  </si>
  <si>
    <t>MatWeb Material Property Data. (n.d.). Overview of materials for Zinc Alloy. Retrieved March 2, 2026, from https://www.matweb.com/search/DataSheet.aspx?MatGUID=2cfae82b47424ee28263e89e66bbd526</t>
  </si>
  <si>
    <t>https://www.matweb.com/search/DataSheet.aspx?MatGUID=2cfae82b47424ee28263e89e66bbd526</t>
  </si>
  <si>
    <t>MatWeb Material Property Data. (n.d.). Aluminum Alloys, General. Retrieved March 2, 2026, from https://www.matweb.com/search/datasheet.aspx?bassnum=MA0001</t>
  </si>
  <si>
    <t>https://www.matweb.com/search/datasheet.aspx?bassnum=MA0001</t>
  </si>
  <si>
    <t>MatWeb Material Property Data. Overview of materials for Medium Alloy Steel. Retrieved March 2, 2026, from https://www.matweb.com/search/DataSheet.aspx?MatGUID=f7666326ceb3482f87a9f41ace1d1fb0&amp;ckck=1</t>
  </si>
  <si>
    <t>AZoNetwork.(June 26, 2019). AZO Materials: Float Glass - Properties and Applications. Retrieved March 2, 2026, from https://www.azom.com/properties.aspx?ArticleID=89</t>
  </si>
  <si>
    <t>Boulus, E. D. &amp; Jones, J. V. (2006). Green Glass Composition (US Patent No. 7,094,716 B2). https://patentimages.storage.googleapis.com/75/f2/8d/a399de36a28d56/US7094716.pdf</t>
  </si>
  <si>
    <t>GNPGraystar Speciality Materials. (n.d.). Thermal Properties of Ceramics. Retrieved March 2, 2026, from https://gnpgraystar.com/wp-content/uploads/2020/05/ThermalPropertiesofCeramicsGraphic.pdf</t>
  </si>
  <si>
    <t>https://gnpgraystar.com/wp-content/uploads/2020/05/ThermalPropertiesofCeramicsGraphic.pdf</t>
  </si>
  <si>
    <t>Walker, R. (April 4, 2011). Mass, weight, density or specific gravity of different metals. Simetric. https://www.simetric.co.uk/si_metals.htm</t>
  </si>
  <si>
    <t>NICE Cxone Expert. (n.d.). T4: Specific Heats and Molar Heat Capacities. LibreTexts™ Chemistry. Retrieved March 3, 2026, from https://chem.libretexts.org/Ancillary_Materials/Reference/Reference_Tables/Thermodynamics_Tables/T4%3A_Specific_Heats_and_Molar_Heat_Capacities</t>
  </si>
  <si>
    <t>DSG-Dachauer Spezialglas GbR. (n.d.). Weisses Floatglas. Retrieved March 3, 2026, from http://www.dachauer-spezialglas.de/spezialglastechnik/technisches-glaeser/weisses-floatglas.html</t>
  </si>
  <si>
    <t xml:space="preserve">Germany </t>
  </si>
  <si>
    <t>R. H. Geraldo, S. M. M. Pinheiro, J. S. Silva, H. M. C. Andrade, J. Dweck, J. P. Gonçalves &amp; G. Camarini, Gypsum plaster waste recycling: A potential environmental and industrial solution, Journal of Cleaner Production (2017), 164, 288-300</t>
  </si>
  <si>
    <t>10.1016/j.jclepro.2017.06.188</t>
  </si>
  <si>
    <t>https://www.sciencedirect.com/science/article/pii/S0959652617313586</t>
  </si>
  <si>
    <t>E. Kamseu , C. Leonelli , D.N. Boccaccini, P. Veronesi , P. Miselli , G. Pellacani &amp; U. Chinje Melo, Characterisation of porcelain compositions using two china clays from Cameroon, Ceramics International (2007), 33, 5, 851-857</t>
  </si>
  <si>
    <t>10.1016/j.ceramint.2006.01.025</t>
  </si>
  <si>
    <t>https://www.sciencedirect.com/science/article/pii/S0272884206000769</t>
  </si>
  <si>
    <t xml:space="preserve">Cameroon </t>
  </si>
  <si>
    <t>J. Ahmad, M. M. Arbili, H. Alabduljabbar &amp; A. F. Deifalla, Concrete made with partially substitution corn cob ash: A review, Case Studies in Construction Materials (2023), 18, e02100</t>
  </si>
  <si>
    <t>10.1016/j.cscm.2023.e02100</t>
  </si>
  <si>
    <t>https://www.sciencedirect.com/science/article/pii/S2214509523002802?via%3Dihub</t>
  </si>
  <si>
    <t xml:space="preserve">Pakistan </t>
  </si>
  <si>
    <t>K. C. Bala &amp; R. H. Khan, Characterization of Beach/River Sand for Foundry Application, Leonardo Journal of Sciences (2013), 12, 23, 77-83</t>
  </si>
  <si>
    <t>https://www.researchgate.net/profile/Katsina-Bala/publication/266740663_Characterization_of_BeachRiver_Sand_for_Foundry_Application/links/543aecbc0cf2d6698be2f351/Characterization-of-Beach-River-Sand-for-Foundry-Application.pdf</t>
  </si>
  <si>
    <t>Z. Zakaria &amp; H. Haron, Characterisation of Local Bone Ash for Bone China Production, Jurnal Teknologi (2014), 66, 1, 25-34</t>
  </si>
  <si>
    <t>10.11113/jt.v66.2157</t>
  </si>
  <si>
    <t>https://www.researchgate.net/publication/275068759_Characterisation_of_Local_Bone_Ash_for_Bone_China_Production</t>
  </si>
  <si>
    <t>A. Kara &amp; R. Stevens, Characterisation of biscuit fired bone china body microstructure. Part I: XRD and SEM of crystalline phases, Journal of the European Ceramic Society (2002), 22, 5, 731-736</t>
  </si>
  <si>
    <t>10.1016/S0955-2219(01)00371-5</t>
  </si>
  <si>
    <t>www.sciencedirect.com/science/article/pii/S0955221901003715</t>
  </si>
  <si>
    <t xml:space="preserve">Turkey </t>
  </si>
  <si>
    <t>M.-Y. Lee, C.-H. Ko, F.-C. Chang, S.-L. Lo, J.-D. Lin, M.-Y. Shan &amp; J.-C. Lee, Artificial stone slab production using waste glass, stone fragments and vacuum vibratory compaction, Cement and Concrete Composites (2008), 30, 7, 583-587</t>
  </si>
  <si>
    <t>10.1016/j.cemconcomp.2008.03.004</t>
  </si>
  <si>
    <t>https://www.sciencedirect.com/science/article/pii/S0958946508000425?via%3Dihub</t>
  </si>
  <si>
    <t>M. Galetakis &amp; A. Soultana, A review on the utilisation of quarry and ornamental stone industry fine by-products in the construction sector, Construction and Building Materials (2016), 102, 769-781</t>
  </si>
  <si>
    <t>10.1016/j.conbuildmat.2015.10.204</t>
  </si>
  <si>
    <t xml:space="preserve">Greece </t>
  </si>
  <si>
    <t>S. A. Mohammed, S. Koting, H. Y. B. Katman, A. M. Babalghaith, M. F. Abdul Patah, M. R. Ibrahim &amp; M. R. Karim, A Review of the Utilization of Coal Bottom Ash (CBA) in the Construction Industry, Sustainability (2021), 13, 14, 8031</t>
  </si>
  <si>
    <t>10.3390/su13148031</t>
  </si>
  <si>
    <t>E. Cuce, P. M. Cuce, T. Guclu, A. Besir, E. Gokce &amp; U. Serencam, A novel method based on thermal conductivity for material identification in scrap industry: An experimental validation, Measurement (2018), 127, 379-389</t>
  </si>
  <si>
    <t>10.1016/j.measurement.2018.06.014</t>
  </si>
  <si>
    <t xml:space="preserve">C. Cherian &amp; D. N. Arnepalli, A Critical Appraisal of the Role of Clay Mineralogy in Lime Stabilization, International Journal of Geosynthetics and Ground Engineering (2015), 1, 8, </t>
  </si>
  <si>
    <t>10.1007/s40891-015-0009-3</t>
  </si>
  <si>
    <t>P. Torkittikul, T. Nochaiya, W. Wongkeo &amp; A. Chaipanich, Utilization of coal bottom ash to improve thermal insulation of construction material, Journal of Material Cycles and Waste Managment (2017), 19, 305-317</t>
  </si>
  <si>
    <t>10.1007/s10163-015-0419-2</t>
  </si>
  <si>
    <t>A. Naceri &amp; M. C. Hamina, Use of waste brick as a partial replacement of cement in mortar, Waste Management (2009), 29, 8, 2378-2384</t>
  </si>
  <si>
    <t>10.1016/j.wasman.2009.03.026</t>
  </si>
  <si>
    <t>https://www.sciencedirect.com/science/article/abs/pii/S0956053X09000968?via%3Dihub</t>
  </si>
  <si>
    <t>L. Paunescu, S. M. Axinte, F. Cosmulescu, M. F. Dragoescu &amp; B. V. Paunescu, Ultra-light Colorless and Green Glass Foam Produced by Microwave Radiation, Journal La Multiapp (2021), 2, 1, 1-12</t>
  </si>
  <si>
    <t>10.37899/journallamultiapp.v2i1.286</t>
  </si>
  <si>
    <t>https://newinera.com/index.php/JournalLaMultiapp/article/view/286</t>
  </si>
  <si>
    <t>Romania</t>
  </si>
  <si>
    <t>T.K. Mukhopadhyay, S. Ghosh &amp; S. Ghatak, Phase analysis and microstructure evolution of a bone china body modified with scrap addition, Ceramics International (2011), 37, 5, 1615-1623</t>
  </si>
  <si>
    <t>10.1016/j.ceramint.2011.01.038</t>
  </si>
  <si>
    <t>https://www.sciencedirect.com/science/article/abs/pii/S0272884211000848?via%3Dihub</t>
  </si>
  <si>
    <t>N. H. Abu-Hamdeh, Thermal Properties of Soils as affected by Density and Water Content, Biosystems Engineering (2003), 86, 1, 97-102</t>
  </si>
  <si>
    <t>10.1016/S1537-5110(03)00112-0</t>
  </si>
  <si>
    <t>https://www.sciencedirect.com/science/article/abs/pii/S1537511003001120?via%3Dihub</t>
  </si>
  <si>
    <t>Saudi-Arabia</t>
  </si>
  <si>
    <t>B. Tansel, Thermal properties of municipal solid waste components and their relative significance for heat retention, conduction, and thermal diffusion in landfills, Journal of Environmental Management (2023), 325, 116651</t>
  </si>
  <si>
    <t>10.1016/j.jenvman.2022.116651</t>
  </si>
  <si>
    <t>https://www.sciencedirect.com/science/article/abs/pii/S0301479722022241?via%3Dihub</t>
  </si>
  <si>
    <t>D. P. Bentz, M. A. Peltz, A. Durán-Herrera, P. Valdez &amp; C. A. Juárez, Thermal properties of high-volume fly ash mortars and concretes, Journal of Building Physics (2011), 34, 3, 263-275</t>
  </si>
  <si>
    <t>10.1177/1744259110376613</t>
  </si>
  <si>
    <t>https://journals.sagepub.com/doi/10.1177/1744259110376613</t>
  </si>
  <si>
    <t>Z. Michael, M. S. Martius, M. Khairulmaini, M. H. Ismail, M. N. Halmy &amp; T. M. Jahi, Thermal Conductivity and Permeability Studies of Recycle Copper Wire Mesh, IOP Conference Series: Materials Science and Engineering (2020), 834, 1, 012047</t>
  </si>
  <si>
    <t>10.1088/1757-899X/834/1/012047</t>
  </si>
  <si>
    <t>https://iopscience.iop.org/article/10.1088/1757-899X/834/1/012047/meta</t>
  </si>
  <si>
    <t>G. KiranKumar, S. Saboor &amp; T.P. Ashok Babu, Thermal Analysis of Wall and Window Glass Materials for Cooling Load Reduction in Green Energy Building Design, Materials Today: Proceedings (2017), 4, 9, 9514-9518</t>
  </si>
  <si>
    <t>10.1016/j.matpr.2017.06.215</t>
  </si>
  <si>
    <t>https://www.sciencedirect.com/science/article/abs/pii/S2214785317310106?via%3Dihub</t>
  </si>
  <si>
    <t>O. M. Olofinnade, A. N. Ede, J. M. Ndambuki, B. U. Ngene, I. I. Akinwumi &amp; O. M. Ofuyatan, Strength and microstructure of eco-concrete produced using waste glass as partial and complete replacement for sand, Cogent Engineering (2018), 5, 1, 148360</t>
  </si>
  <si>
    <t>10.1080/23311916.2018.1483860</t>
  </si>
  <si>
    <t>https://www.tandfonline.com/doi/full/10.1080/23311916.2018.1483860</t>
  </si>
  <si>
    <t>A. N. Patel &amp; J. R. Pitroda, Stone Waste in India for Concrete with Value Creation Opportunities, International Journal of Latest Trends in Engineering and Technology (2013), 2, 2, 113-120</t>
  </si>
  <si>
    <t>https://www.researchgate.net/publication/281207628_STONE_WASTE_IN_INDIA_FOR_CONCRETE_WITH_VALUE_CREATION_OPPORTUNITIES</t>
  </si>
  <si>
    <t>F. H. Ali &amp; L. S. Tatt, Stabilization of Residual Soils Using Chemical Method</t>
  </si>
  <si>
    <t>M. M. Morsi, S. I. El-sherbiny &amp; K. M. Mohamed, Spectroscopic investigation of amber color silicate glasses and factors affecting the amber related absorption bands, Spectrochimica Acta Part A: Molecular and Biomolecular Spectroscopy (2015), 145, 376-383</t>
  </si>
  <si>
    <t>10.1016/j.saa.2015.03.001</t>
  </si>
  <si>
    <t>https://www.sciencedirect.com/science/article/abs/pii/S1386142515002978?via%3Dihub</t>
  </si>
  <si>
    <t>Egypt</t>
  </si>
  <si>
    <t>N. Almeida, F. Branco &amp; J. R. Santos, Recycling of stone slurry in industrial activities: Application to concrete mixtures, Building and Environment (2007), 42, 2, 810-819</t>
  </si>
  <si>
    <t>10.1016/j.buildenv.2005.09.018</t>
  </si>
  <si>
    <t>https://www.sciencedirect.com/science/article/abs/pii/S036013230500404X?via%3Dihub</t>
  </si>
  <si>
    <t xml:space="preserve">Portugal </t>
  </si>
  <si>
    <t>G. M. Anagni, T. Bristogianni, F. Oikonomopoulou, P. Rigone &amp; E. S. Mazzuchelli, Recycled Glass Mixtures as Cast Glass Components for Structural Applications, Towards Sustainability, Conference on Architectural and Structural Applications of Glass (2020), 7</t>
  </si>
  <si>
    <t>10.7480/cgc.7.4482</t>
  </si>
  <si>
    <t>https://www.researchgate.net/publication/342041836_Recycled_glass_mixtures_as_cast_glass_components_for_structural_applications_towards_sustainability</t>
  </si>
  <si>
    <t>S. Mangi, Z. Memon, S. Khahro, R. Shabir, R. Memon &amp; A. Hussain, Potentiality of Industrial Waste as Supplementary Cementitious Material in Concrete Production, International Review of Civil Engineering (I.RE.C.E.) (2020), 11, 5, 214-221</t>
  </si>
  <si>
    <t>T. Nikiforova, M. Savytskyi, K. Limam, W. Bosschaerts, &amp; R. Belarbi, Methods and Results of Experimental Researches of Thermal Conductivity of Soils, Energy Procedia (2013), 42, 775-783</t>
  </si>
  <si>
    <t>10.1016/j.egypro.2013.12.034</t>
  </si>
  <si>
    <t>https://www.sciencedirect.com/science/article/pii/S187661021301847X?via%3Dihub</t>
  </si>
  <si>
    <t>Ukraine</t>
  </si>
  <si>
    <t>M. Čáchová, D. Koňáková, E. Vejmelková, M. Keppert &amp; R. Černý, Mechanical and thermal properties of the Czech marbles, AIP Conference Proceedings, 1738, 1, 280010</t>
  </si>
  <si>
    <t>10.1063/1.4952070</t>
  </si>
  <si>
    <t xml:space="preserve">Czech Republic </t>
  </si>
  <si>
    <t>S. L. Manzello, S. H. Park, T. Mizukami &amp; D. P. Bentz, Measurement of thermal properties of gypsum board at elevated temperatures, Proceedings of the Fifth International Conference on Structures in Fire (SiF08) (2008), 656-665</t>
  </si>
  <si>
    <t>S. M. Karazi, I. U. Ahad &amp; K. Y. Benyounis, Laser Micromachining for Transparent Materials, Reference Module in Materials Science and Materials Engineering (2017)</t>
  </si>
  <si>
    <t>10.1016/B978-0-12-803581-8.04149-7</t>
  </si>
  <si>
    <t>K. O. Oriola and A. A. Raheem and A. B. Ogundele, Investigation of compressive strength and thermal properties of corn cob ash cement concrete, Materials Today: Proceedings (2023), 86, 128-133</t>
  </si>
  <si>
    <t>10.1016/j.matpr.2023.04.520</t>
  </si>
  <si>
    <t>https://www.sciencedirect.com/science/article/abs/pii/S221478532302446X?via%3Dihub</t>
  </si>
  <si>
    <t>Advanced Optics SCHOTT North America, Inc. (October 2018), TIE-31: Mechanical and thermal properties of optical glass. Technical Information Advanced Optics. https://media.schott.com/api/public/content/9829e2cacc7b489bb82f9950f1ef4504?v=240fb851</t>
  </si>
  <si>
    <t>https://media.schott.com/api/public/content/9829e2cacc7b489bb82f9950f1ef4504?v=240fb851</t>
  </si>
  <si>
    <t>10.1038/s41524-023-01033-4</t>
  </si>
  <si>
    <t>https://www.nature.com/articles/s41524-023-01033-4</t>
  </si>
  <si>
    <t>M. Potuzak, J. C. Mauro, T. J. Kiczenski, A. J. Ellison &amp; D. C. Allan, Communication: Resolving the vibrational and configurational contributions to thermal expansion in isobaric glass-forming systems, The Journal of chemical physics (2010), 133, 091102</t>
  </si>
  <si>
    <t>10.1063/1.3481441</t>
  </si>
  <si>
    <t>https://www.researchgate.net/publication/46217811_Communication_Resolving_the_vibrational_and_configurational_contributions_to_thermal_expansion_in_isobaric_glass-forming_systems</t>
  </si>
  <si>
    <t>The Engineering ToolBox. (2023). Iron - Density, Specific Heats and Thermal Conductivities vs. Temperatures. Retrieved March 3, 2026, from https://www.engineeringtoolbox.com/iron-specific-heat-density-thermal-conductivity-vs-temperature-d_2226.html</t>
  </si>
  <si>
    <t>https://www.engineeringtoolbox.com/iron-specific-heat-density-thermal-conductivity-vs-temperature-d_2226.html</t>
  </si>
  <si>
    <t>The Engineering ToolBox. (2023). Stainless Steel - Specific Heat and Thermal Conductivities vs. Temperatures, Retrieved March 3, 2026, from https://www.engineeringtoolbox.com/stainless-steel-specific-heat-thermal-conductivity-vs-temperature-d_2225.html</t>
  </si>
  <si>
    <t>https://www.engineeringtoolbox.com/stainless-steel-specific-heat-thermal-conductivity-vs-temperature-d_2225.html</t>
  </si>
  <si>
    <t>Kim, C. S. (1975). Thermophysical properties of stainlesse steels (Technical Report). U. S. Department of Energy, Office of Scientific and Technical Information. Retrieved march 3, 2026, from https://www.osti.gov/servlets/purl/4152287/</t>
  </si>
  <si>
    <t>https://www.osti.gov/servlets/purl/4152287/</t>
  </si>
  <si>
    <t>British Stainless Steel Association. (n.d.). Elevated temperature physical properties of stainless steels. Retrieved March 3, 2026, from https://bssa.org.uk/bssa_articles/elevated-temperature-physical-properties-of-stainless-steels/</t>
  </si>
  <si>
    <t>https://bssa.org.uk/bssa_articles/elevated-temperature-physical-properties-of-stainless-steels/</t>
  </si>
  <si>
    <t>The Engineering ToolBox. (2023). Copper - Density, Specific Heat and Thermal Conductivity vs. Temperature. Retrieved March 3, 2026, from https://www.engineeringtoolbox.com/copper-density-specific-heat-thermal-conductivity-vs-temperature-d_2223.html</t>
  </si>
  <si>
    <t>https://www.engineeringtoolbox.com/copper-density-specific-heat-thermal-conductivity-vs-temperature-d_2223.html</t>
  </si>
  <si>
    <t>A. N. Vasileiou, G.-C. Vosniakos &amp; D. I. Pantelis, Determination of local heat transfer coefficients in precision castings by genetic optimisation aided by numerical simulation, Proceedings of the Institution of Mechanical Engineers, Part C: Journal of Mechanical Engineering Science (2014), 229, 4, 735-750</t>
  </si>
  <si>
    <t>10.1177/0954406214539468</t>
  </si>
  <si>
    <t>https://www.researchgate.net/publication/263155220_Determination_of_local_heat_transfer_coefficients_in_precision_castings_by_genetic_optimisation_aided_by_numerical_simulation</t>
  </si>
  <si>
    <t>The Engineering ToolBox. (n.d.). Aluminum - Thermophysical Properties - Density, specific heat and thermal conductivity related to temperature. Retrieved March 3, 2026, from https://www.engineeringtoolbox.com/copper-density-specific-heat-thermal-conductivity-vs-temperature-d_2223.html</t>
  </si>
  <si>
    <t>https://www.engineeringtoolbox.com/aluminum-specific-heat-density-thermal-conductivity-temperature-d_2220.html</t>
  </si>
  <si>
    <t>Nylon 6</t>
  </si>
  <si>
    <t>Nylon 6,6</t>
  </si>
  <si>
    <t>Polyamide 11</t>
  </si>
  <si>
    <t>PA 12</t>
  </si>
  <si>
    <t>Hippe PA 12 Nylon 12</t>
  </si>
  <si>
    <t>https://www.scribd.com/document/341855254/TG1GenProp</t>
  </si>
  <si>
    <t>*shift of the reference for the thermophysical properties - WIP</t>
  </si>
  <si>
    <t>Citation</t>
  </si>
  <si>
    <t>M. Simoncelli, F. Mauri &amp; N. Marzari, Thermal conductivity of glasses: first-principles theory and applications. npj Comput Mater (2023), 9, 106</t>
  </si>
  <si>
    <t>https://matweb.com/search/DataSheet.aspx?MatGUID=b0dbbac859444ffe98307f24ffd4c6a2&amp;ckck=1</t>
  </si>
  <si>
    <t>MatWeb. Borosilicate Glass – Material Property Data Sheet. Available at: https://matweb.com/search/DataSheet.aspx?MatGUID=b0dbbac859444ffe98307f24ffd4c6a2  (accessed 18 March 2026).</t>
  </si>
  <si>
    <t>MatWeb. Schott Glass 8095 Lead Glass. Material Property Data Sheet. https://matweb.com/search/DataSheet.aspx?MatGUID=2873442d080b4979a169d45e7a2dee55 (accessed 18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</si>
</sst>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quot;Group&quot;\ 0"/>
    <numFmt numFmtId="166" formatCode="0.0"/>
    <numFmt numFmtId="167" formatCode="0.00_ "/>
    <numFmt numFmtId="168" formatCode="0.0000"/>
    <numFmt numFmtId="169" formatCode="0.000"/>
    <numFmt numFmtId="170" formatCode="_-* #,##0\ _€_-;\-* #,##0\ _€_-;_-* &quot;-&quot;??\ _€_-;_-@_-"/>
  </numFmts>
  <fonts count="30">
    <font>
      <sz val="11"/>
      <color theme="1"/>
      <name val="Calibri"/>
      <family val="2"/>
      <scheme val="minor"/>
    </font>
    <font>
      <u/>
      <sz val="11"/>
      <color theme="10"/>
      <name val="Calibri"/>
      <family val="2"/>
      <scheme val="minor"/>
    </font>
    <font>
      <sz val="11"/>
      <color theme="1"/>
      <name val="Calibri"/>
      <family val="2"/>
      <charset val="134"/>
      <scheme val="minor"/>
    </font>
    <font>
      <sz val="9"/>
      <name val="Calibri"/>
      <family val="3"/>
      <charset val="134"/>
      <scheme val="minor"/>
    </font>
    <font>
      <sz val="9"/>
      <name val="Calibri"/>
      <family val="2"/>
      <charset val="134"/>
      <scheme val="minor"/>
    </font>
    <font>
      <sz val="11"/>
      <name val="Calibri"/>
      <family val="2"/>
      <charset val="134"/>
      <scheme val="minor"/>
    </font>
    <font>
      <sz val="11"/>
      <name val="Calibri"/>
      <family val="3"/>
      <charset val="134"/>
      <scheme val="minor"/>
    </font>
    <font>
      <sz val="9"/>
      <color theme="1"/>
      <name val="Calibri"/>
      <family val="3"/>
      <charset val="134"/>
      <scheme val="minor"/>
    </font>
    <font>
      <sz val="11"/>
      <color theme="1"/>
      <name val="Calibri"/>
      <family val="2"/>
      <scheme val="minor"/>
    </font>
    <font>
      <sz val="12"/>
      <color rgb="FF222222"/>
      <name val="Arial"/>
      <family val="2"/>
    </font>
    <font>
      <sz val="11"/>
      <name val="Calibri"/>
      <family val="2"/>
      <scheme val="minor"/>
    </font>
    <font>
      <sz val="11"/>
      <color rgb="FFFF0000"/>
      <name val="Calibri"/>
      <family val="2"/>
      <scheme val="minor"/>
    </font>
    <font>
      <sz val="10"/>
      <color theme="1"/>
      <name val="Calibri"/>
      <family val="3"/>
      <charset val="134"/>
      <scheme val="minor"/>
    </font>
    <font>
      <sz val="11"/>
      <color theme="1"/>
      <name val="Calibri"/>
      <family val="3"/>
      <charset val="134"/>
      <scheme val="minor"/>
    </font>
    <font>
      <sz val="11"/>
      <color rgb="FF222222"/>
      <name val="Arial"/>
      <family val="2"/>
    </font>
    <font>
      <sz val="11"/>
      <color rgb="FF333333"/>
      <name val="Segoe UI"/>
      <family val="2"/>
    </font>
    <font>
      <sz val="10"/>
      <color rgb="FF222222"/>
      <name val="Arial"/>
      <family val="2"/>
    </font>
    <font>
      <sz val="11"/>
      <color theme="1"/>
      <name val="Segoe UI"/>
      <family val="2"/>
      <charset val="238"/>
    </font>
    <font>
      <sz val="10"/>
      <color theme="1"/>
      <name val="Calibri"/>
      <scheme val="minor"/>
    </font>
    <font>
      <sz val="11"/>
      <color rgb="FF1F1F1F"/>
      <name val="&quot;Google Sans&quot;"/>
    </font>
    <font>
      <sz val="10"/>
      <color theme="1"/>
      <name val="Calibri"/>
      <family val="2"/>
      <scheme val="minor"/>
    </font>
    <font>
      <b/>
      <sz val="10"/>
      <color theme="1"/>
      <name val="Calibri"/>
      <family val="2"/>
      <scheme val="minor"/>
    </font>
    <font>
      <sz val="11"/>
      <color theme="1"/>
      <name val="Calibri"/>
      <family val="2"/>
    </font>
    <font>
      <b/>
      <sz val="11"/>
      <color theme="1"/>
      <name val="Calibri"/>
      <family val="2"/>
      <scheme val="minor"/>
    </font>
    <font>
      <sz val="11"/>
      <name val="等线"/>
      <family val="3"/>
      <charset val="134"/>
    </font>
    <font>
      <sz val="11"/>
      <name val="Arial"/>
      <family val="2"/>
    </font>
    <font>
      <i/>
      <sz val="11"/>
      <color theme="1"/>
      <name val="Calibri"/>
      <family val="2"/>
      <scheme val="minor"/>
    </font>
    <font>
      <sz val="12"/>
      <color theme="1"/>
      <name val="Aptos"/>
      <family val="2"/>
    </font>
    <font>
      <sz val="14"/>
      <color theme="1"/>
      <name val="Calibri"/>
      <family val="2"/>
      <scheme val="minor"/>
    </font>
    <font>
      <vertAlign val="subscript"/>
      <sz val="11"/>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applyNumberFormat="0" applyFill="0" applyBorder="0" applyAlignment="0" applyProtection="0"/>
    <xf numFmtId="164" fontId="8" fillId="0" borderId="0" applyFont="0" applyFill="0" applyBorder="0" applyAlignment="0" applyProtection="0"/>
    <xf numFmtId="0" fontId="2" fillId="0" borderId="0">
      <alignment vertical="center"/>
    </xf>
  </cellStyleXfs>
  <cellXfs count="236">
    <xf numFmtId="0" fontId="0" fillId="0" borderId="0" xfId="0"/>
    <xf numFmtId="0" fontId="0" fillId="0" borderId="1" xfId="0" applyBorder="1"/>
    <xf numFmtId="0" fontId="0" fillId="0" borderId="0" xfId="0" applyAlignment="1">
      <alignment vertical="center"/>
    </xf>
    <xf numFmtId="0" fontId="0" fillId="0" borderId="12" xfId="0" applyBorder="1"/>
    <xf numFmtId="0" fontId="0" fillId="0" borderId="3"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13" xfId="0" applyBorder="1"/>
    <xf numFmtId="0" fontId="0" fillId="0" borderId="0" xfId="0" applyAlignment="1">
      <alignment vertical="center" wrapText="1"/>
    </xf>
    <xf numFmtId="2" fontId="0" fillId="0" borderId="0" xfId="0" applyNumberFormat="1"/>
    <xf numFmtId="0" fontId="0" fillId="0" borderId="5" xfId="0" applyBorder="1"/>
    <xf numFmtId="0" fontId="0" fillId="0" borderId="6" xfId="0" applyBorder="1"/>
    <xf numFmtId="0" fontId="0" fillId="0" borderId="0" xfId="0" applyAlignment="1">
      <alignment horizontal="center" vertical="center" wrapText="1"/>
    </xf>
    <xf numFmtId="0" fontId="0" fillId="0" borderId="4" xfId="0" applyBorder="1"/>
    <xf numFmtId="2" fontId="0" fillId="0" borderId="10" xfId="0" applyNumberFormat="1" applyBorder="1"/>
    <xf numFmtId="0" fontId="0" fillId="0" borderId="0" xfId="0" applyAlignment="1">
      <alignment horizontal="center"/>
    </xf>
    <xf numFmtId="0" fontId="10" fillId="0" borderId="3" xfId="0" applyFont="1" applyBorder="1"/>
    <xf numFmtId="0" fontId="10" fillId="0" borderId="12" xfId="0" applyFont="1" applyBorder="1" applyAlignment="1">
      <alignment vertical="center"/>
    </xf>
    <xf numFmtId="0" fontId="10" fillId="0" borderId="12" xfId="0" applyFont="1" applyBorder="1"/>
    <xf numFmtId="2" fontId="10" fillId="0" borderId="12" xfId="0" applyNumberFormat="1" applyFont="1" applyBorder="1"/>
    <xf numFmtId="2" fontId="10" fillId="0" borderId="12" xfId="0" applyNumberFormat="1" applyFont="1" applyBorder="1" applyAlignment="1">
      <alignment vertical="center"/>
    </xf>
    <xf numFmtId="0" fontId="10" fillId="0" borderId="14" xfId="0" applyFont="1" applyBorder="1"/>
    <xf numFmtId="0" fontId="10" fillId="0" borderId="3" xfId="0" applyFont="1" applyBorder="1" applyAlignment="1">
      <alignment vertical="center"/>
    </xf>
    <xf numFmtId="0" fontId="10" fillId="0" borderId="14" xfId="0" applyFont="1" applyBorder="1" applyAlignment="1">
      <alignment vertical="center"/>
    </xf>
    <xf numFmtId="167" fontId="10" fillId="0" borderId="12" xfId="0" applyNumberFormat="1" applyFont="1" applyBorder="1" applyAlignment="1">
      <alignment vertical="center"/>
    </xf>
    <xf numFmtId="0" fontId="10" fillId="0" borderId="0" xfId="0" applyFont="1"/>
    <xf numFmtId="0" fontId="10" fillId="0" borderId="0" xfId="0" applyFont="1" applyAlignment="1">
      <alignment horizontal="center" vertical="center" wrapText="1"/>
    </xf>
    <xf numFmtId="0" fontId="10" fillId="0" borderId="0" xfId="0" applyFont="1" applyAlignment="1">
      <alignment vertical="center"/>
    </xf>
    <xf numFmtId="2" fontId="10" fillId="0" borderId="0" xfId="0" applyNumberFormat="1" applyFont="1"/>
    <xf numFmtId="2" fontId="10" fillId="0" borderId="0" xfId="0" applyNumberFormat="1" applyFont="1" applyAlignment="1">
      <alignment vertical="center"/>
    </xf>
    <xf numFmtId="167" fontId="10" fillId="0" borderId="0" xfId="0" applyNumberFormat="1" applyFont="1" applyAlignment="1">
      <alignment vertical="center"/>
    </xf>
    <xf numFmtId="166" fontId="10" fillId="0" borderId="0" xfId="0" applyNumberFormat="1" applyFont="1" applyAlignment="1">
      <alignment vertical="center"/>
    </xf>
    <xf numFmtId="10" fontId="10" fillId="0" borderId="0" xfId="0" applyNumberFormat="1" applyFont="1"/>
    <xf numFmtId="9" fontId="10" fillId="0" borderId="0" xfId="0" applyNumberFormat="1" applyFont="1"/>
    <xf numFmtId="0" fontId="10" fillId="0" borderId="12" xfId="0" applyFont="1" applyBorder="1" applyAlignment="1">
      <alignment vertical="center" wrapText="1"/>
    </xf>
    <xf numFmtId="0" fontId="10" fillId="0" borderId="2" xfId="0" applyFont="1" applyBorder="1"/>
    <xf numFmtId="2" fontId="10" fillId="0" borderId="10" xfId="0" applyNumberFormat="1" applyFont="1" applyBorder="1"/>
    <xf numFmtId="0" fontId="18" fillId="0" borderId="0" xfId="0" applyFont="1"/>
    <xf numFmtId="0" fontId="20" fillId="0" borderId="0" xfId="0" applyFont="1" applyAlignment="1">
      <alignment horizontal="left"/>
    </xf>
    <xf numFmtId="0" fontId="10" fillId="0" borderId="0" xfId="0" applyFont="1" applyAlignment="1">
      <alignment horizontal="left" vertical="center" wrapText="1"/>
    </xf>
    <xf numFmtId="168" fontId="0" fillId="0" borderId="0" xfId="0" applyNumberFormat="1"/>
    <xf numFmtId="168" fontId="0" fillId="0" borderId="10" xfId="0" applyNumberFormat="1" applyBorder="1"/>
    <xf numFmtId="0" fontId="23" fillId="0" borderId="0" xfId="0" applyFont="1" applyAlignment="1">
      <alignment horizontal="left" vertical="center" wrapText="1"/>
    </xf>
    <xf numFmtId="3" fontId="0" fillId="0" borderId="0" xfId="0" applyNumberFormat="1"/>
    <xf numFmtId="0" fontId="12" fillId="0" borderId="3" xfId="0" applyFont="1" applyBorder="1" applyAlignment="1">
      <alignment horizontal="center" vertical="center" wrapText="1"/>
    </xf>
    <xf numFmtId="0" fontId="12" fillId="0" borderId="7" xfId="0" applyFont="1" applyBorder="1" applyAlignment="1">
      <alignment horizontal="center" vertical="center"/>
    </xf>
    <xf numFmtId="0" fontId="13" fillId="0" borderId="0" xfId="0" applyFont="1"/>
    <xf numFmtId="0" fontId="13" fillId="0" borderId="0" xfId="0" applyFont="1" applyAlignment="1">
      <alignment vertical="center"/>
    </xf>
    <xf numFmtId="0" fontId="13" fillId="0" borderId="10" xfId="0" applyFont="1" applyBorder="1"/>
    <xf numFmtId="0" fontId="13" fillId="0" borderId="10" xfId="0" applyFont="1" applyBorder="1" applyAlignment="1">
      <alignment vertical="center"/>
    </xf>
    <xf numFmtId="0" fontId="13" fillId="0" borderId="4" xfId="0" applyFont="1" applyBorder="1" applyAlignment="1">
      <alignment vertical="center"/>
    </xf>
    <xf numFmtId="0" fontId="13" fillId="0" borderId="10" xfId="0" applyFont="1" applyBorder="1" applyAlignment="1">
      <alignment vertical="center" wrapText="1"/>
    </xf>
    <xf numFmtId="0" fontId="13" fillId="0" borderId="11" xfId="0" applyFont="1" applyBorder="1" applyAlignment="1">
      <alignment vertical="center" wrapText="1"/>
    </xf>
    <xf numFmtId="0" fontId="0" fillId="0" borderId="0" xfId="0"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vertical="center"/>
    </xf>
    <xf numFmtId="1" fontId="0" fillId="0" borderId="6" xfId="0" applyNumberFormat="1" applyBorder="1" applyAlignment="1">
      <alignment horizontal="right"/>
    </xf>
    <xf numFmtId="1" fontId="0" fillId="0" borderId="5" xfId="0" applyNumberFormat="1" applyBorder="1" applyAlignment="1">
      <alignment horizontal="right"/>
    </xf>
    <xf numFmtId="0" fontId="0" fillId="0" borderId="3" xfId="0" applyBorder="1" applyAlignment="1">
      <alignment horizontal="center" vertical="center"/>
    </xf>
    <xf numFmtId="0" fontId="0" fillId="0" borderId="5" xfId="0" applyBorder="1" applyAlignment="1">
      <alignment horizontal="center" vertical="center"/>
    </xf>
    <xf numFmtId="169" fontId="13" fillId="0" borderId="0" xfId="0" applyNumberFormat="1" applyFont="1"/>
    <xf numFmtId="170" fontId="13" fillId="0" borderId="0" xfId="2" applyNumberFormat="1" applyFont="1"/>
    <xf numFmtId="1" fontId="10" fillId="0" borderId="0" xfId="0" applyNumberFormat="1" applyFont="1" applyAlignment="1">
      <alignment horizontal="center" vertical="center" wrapText="1"/>
    </xf>
    <xf numFmtId="0" fontId="18" fillId="0" borderId="2" xfId="0" applyFont="1" applyBorder="1"/>
    <xf numFmtId="0" fontId="0" fillId="0" borderId="2" xfId="0" applyBorder="1" applyAlignment="1">
      <alignment horizontal="right"/>
    </xf>
    <xf numFmtId="0" fontId="13" fillId="0" borderId="9" xfId="0" applyFont="1" applyBorder="1" applyAlignment="1">
      <alignment vertical="center" wrapText="1"/>
    </xf>
    <xf numFmtId="0" fontId="21" fillId="0" borderId="12" xfId="0" applyFont="1" applyBorder="1" applyAlignment="1">
      <alignment horizontal="center"/>
    </xf>
    <xf numFmtId="0" fontId="20" fillId="0" borderId="12" xfId="0" applyFont="1" applyBorder="1"/>
    <xf numFmtId="0" fontId="18" fillId="0" borderId="12" xfId="0" applyFont="1" applyBorder="1"/>
    <xf numFmtId="0" fontId="20" fillId="0" borderId="5" xfId="0" applyFont="1" applyBorder="1" applyAlignment="1">
      <alignment horizontal="left"/>
    </xf>
    <xf numFmtId="0" fontId="18" fillId="0" borderId="5" xfId="0" applyFont="1" applyBorder="1"/>
    <xf numFmtId="0" fontId="18" fillId="0" borderId="0" xfId="0" applyFont="1" applyAlignment="1">
      <alignment horizontal="center" vertical="center"/>
    </xf>
    <xf numFmtId="1" fontId="10" fillId="0" borderId="14" xfId="0" applyNumberFormat="1" applyFont="1" applyBorder="1" applyAlignment="1">
      <alignment horizontal="center" vertical="center" wrapText="1"/>
    </xf>
    <xf numFmtId="0" fontId="10" fillId="0" borderId="3" xfId="0" applyFont="1" applyBorder="1" applyAlignment="1">
      <alignment horizontal="center" vertical="center" wrapText="1"/>
    </xf>
    <xf numFmtId="165" fontId="10" fillId="0" borderId="3" xfId="0" applyNumberFormat="1" applyFont="1" applyBorder="1" applyAlignment="1">
      <alignment horizontal="center" vertical="center" wrapText="1"/>
    </xf>
    <xf numFmtId="0" fontId="10" fillId="0" borderId="3" xfId="0" applyFont="1" applyBorder="1" applyAlignment="1">
      <alignment horizontal="center" vertical="center"/>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6" xfId="0" applyFont="1" applyBorder="1" applyAlignment="1">
      <alignment horizontal="center" vertical="center" wrapText="1"/>
    </xf>
    <xf numFmtId="0" fontId="18" fillId="0" borderId="3" xfId="0" applyFont="1" applyBorder="1" applyAlignment="1">
      <alignment horizontal="center" vertical="center"/>
    </xf>
    <xf numFmtId="0" fontId="20" fillId="0" borderId="3" xfId="0" applyFont="1" applyBorder="1" applyAlignment="1">
      <alignment horizontal="center" vertical="center"/>
    </xf>
    <xf numFmtId="0" fontId="20" fillId="0" borderId="0" xfId="0" applyFont="1"/>
    <xf numFmtId="4" fontId="18" fillId="0" borderId="0" xfId="0" applyNumberFormat="1" applyFont="1"/>
    <xf numFmtId="0" fontId="18" fillId="0" borderId="10" xfId="0" applyFont="1" applyBorder="1"/>
    <xf numFmtId="0" fontId="12" fillId="0" borderId="0" xfId="0" applyFont="1" applyAlignment="1">
      <alignment vertical="center"/>
    </xf>
    <xf numFmtId="0" fontId="18" fillId="0" borderId="5" xfId="0" applyFont="1" applyBorder="1" applyAlignment="1">
      <alignment horizontal="center" vertical="center"/>
    </xf>
    <xf numFmtId="0" fontId="0" fillId="0" borderId="5" xfId="0" applyBorder="1" applyAlignment="1">
      <alignment vertical="center" wrapText="1"/>
    </xf>
    <xf numFmtId="0" fontId="0" fillId="0" borderId="0" xfId="0" applyAlignment="1">
      <alignment horizontal="right"/>
    </xf>
    <xf numFmtId="0" fontId="13" fillId="0" borderId="0" xfId="2" applyNumberFormat="1" applyFont="1" applyBorder="1"/>
    <xf numFmtId="168" fontId="0" fillId="0" borderId="3" xfId="0" applyNumberFormat="1" applyBorder="1"/>
    <xf numFmtId="2" fontId="0" fillId="0" borderId="0" xfId="0" applyNumberFormat="1" applyAlignment="1">
      <alignment vertical="center" wrapText="1"/>
    </xf>
    <xf numFmtId="2" fontId="8" fillId="0" borderId="0" xfId="2" applyNumberFormat="1" applyFont="1" applyAlignment="1"/>
    <xf numFmtId="2" fontId="0" fillId="0" borderId="0" xfId="0" applyNumberFormat="1" applyAlignment="1">
      <alignment wrapText="1"/>
    </xf>
    <xf numFmtId="2" fontId="0" fillId="0" borderId="3" xfId="0" applyNumberFormat="1" applyBorder="1"/>
    <xf numFmtId="0" fontId="13" fillId="0" borderId="2" xfId="0" applyFont="1" applyBorder="1" applyAlignment="1">
      <alignment vertical="center" wrapText="1"/>
    </xf>
    <xf numFmtId="169" fontId="0" fillId="0" borderId="0" xfId="0" applyNumberFormat="1"/>
    <xf numFmtId="2" fontId="8" fillId="0" borderId="0" xfId="2" applyNumberFormat="1" applyFont="1" applyFill="1" applyBorder="1" applyAlignment="1"/>
    <xf numFmtId="0" fontId="0" fillId="0" borderId="3" xfId="0" applyBorder="1" applyAlignment="1">
      <alignment vertical="center" wrapText="1"/>
    </xf>
    <xf numFmtId="2" fontId="0" fillId="0" borderId="3" xfId="0" applyNumberFormat="1" applyBorder="1" applyAlignment="1">
      <alignment vertical="center" wrapText="1"/>
    </xf>
    <xf numFmtId="1" fontId="10" fillId="0" borderId="2" xfId="0" applyNumberFormat="1" applyFont="1" applyBorder="1" applyAlignment="1">
      <alignment horizontal="center" vertical="center" wrapText="1"/>
    </xf>
    <xf numFmtId="0" fontId="10" fillId="0" borderId="11" xfId="0" applyFont="1" applyBorder="1" applyAlignment="1">
      <alignment vertical="center"/>
    </xf>
    <xf numFmtId="0" fontId="10" fillId="0" borderId="10" xfId="0" applyFont="1" applyBorder="1" applyAlignment="1">
      <alignment vertical="center"/>
    </xf>
    <xf numFmtId="0" fontId="10" fillId="0" borderId="11" xfId="0" applyFont="1" applyBorder="1"/>
    <xf numFmtId="0" fontId="10" fillId="0" borderId="10" xfId="0" applyFont="1" applyBorder="1"/>
    <xf numFmtId="2" fontId="10" fillId="0" borderId="10" xfId="0" applyNumberFormat="1" applyFont="1" applyBorder="1" applyAlignment="1">
      <alignment vertical="center"/>
    </xf>
    <xf numFmtId="2" fontId="10" fillId="0" borderId="11" xfId="0" applyNumberFormat="1" applyFont="1" applyBorder="1"/>
    <xf numFmtId="2" fontId="10" fillId="0" borderId="11" xfId="0" applyNumberFormat="1" applyFont="1" applyBorder="1" applyAlignment="1">
      <alignment vertical="center"/>
    </xf>
    <xf numFmtId="0" fontId="0" fillId="0" borderId="0" xfId="0" applyAlignment="1">
      <alignment horizontal="left"/>
    </xf>
    <xf numFmtId="1" fontId="0" fillId="0" borderId="8" xfId="0" applyNumberFormat="1" applyBorder="1" applyAlignment="1">
      <alignment horizontal="center" vertical="center" wrapText="1"/>
    </xf>
    <xf numFmtId="0" fontId="0" fillId="0" borderId="3" xfId="0" applyBorder="1" applyAlignment="1">
      <alignment horizontal="center" vertical="center" wrapText="1"/>
    </xf>
    <xf numFmtId="165" fontId="0" fillId="0" borderId="0" xfId="0" applyNumberFormat="1" applyAlignment="1">
      <alignment horizontal="center" vertical="center" wrapText="1"/>
    </xf>
    <xf numFmtId="0" fontId="0" fillId="0" borderId="14" xfId="0" applyBorder="1" applyAlignment="1">
      <alignment horizontal="center" vertical="center" wrapText="1"/>
    </xf>
    <xf numFmtId="2" fontId="0" fillId="0" borderId="12" xfId="0" applyNumberFormat="1" applyBorder="1" applyAlignment="1">
      <alignment horizontal="center" vertical="center" wrapText="1"/>
    </xf>
    <xf numFmtId="2" fontId="0" fillId="0" borderId="3" xfId="0" applyNumberFormat="1" applyBorder="1" applyAlignment="1">
      <alignment horizontal="center" vertical="center" wrapText="1"/>
    </xf>
    <xf numFmtId="2" fontId="0" fillId="0" borderId="14" xfId="0" applyNumberFormat="1" applyBorder="1" applyAlignment="1">
      <alignment horizontal="center" vertical="center" wrapText="1"/>
    </xf>
    <xf numFmtId="1" fontId="0" fillId="0" borderId="12" xfId="0" applyNumberFormat="1" applyBorder="1"/>
    <xf numFmtId="166" fontId="0" fillId="0" borderId="0" xfId="0" applyNumberFormat="1"/>
    <xf numFmtId="2" fontId="0" fillId="0" borderId="11" xfId="0" applyNumberFormat="1" applyBorder="1"/>
    <xf numFmtId="165" fontId="0" fillId="0" borderId="0" xfId="0" applyNumberFormat="1" applyAlignment="1">
      <alignment horizontal="left"/>
    </xf>
    <xf numFmtId="0" fontId="0" fillId="0" borderId="12" xfId="0" applyBorder="1" applyAlignment="1">
      <alignment vertical="center"/>
    </xf>
    <xf numFmtId="166" fontId="0" fillId="0" borderId="12" xfId="0" applyNumberFormat="1" applyBorder="1" applyAlignment="1">
      <alignment vertical="center"/>
    </xf>
    <xf numFmtId="166" fontId="0" fillId="0" borderId="0" xfId="0" applyNumberFormat="1" applyAlignment="1">
      <alignment vertical="center"/>
    </xf>
    <xf numFmtId="2" fontId="0" fillId="0" borderId="12" xfId="0" applyNumberFormat="1" applyBorder="1" applyAlignment="1">
      <alignment vertical="center"/>
    </xf>
    <xf numFmtId="164" fontId="0" fillId="0" borderId="12" xfId="2" applyFont="1" applyFill="1" applyBorder="1" applyAlignment="1">
      <alignment vertical="center"/>
    </xf>
    <xf numFmtId="0" fontId="11" fillId="0" borderId="12" xfId="0" applyFont="1" applyBorder="1" applyAlignment="1">
      <alignment vertical="center"/>
    </xf>
    <xf numFmtId="164" fontId="0" fillId="0" borderId="0" xfId="0" applyNumberFormat="1"/>
    <xf numFmtId="164" fontId="0" fillId="0" borderId="0" xfId="0" applyNumberFormat="1" applyAlignment="1">
      <alignment vertical="center"/>
    </xf>
    <xf numFmtId="1" fontId="0" fillId="0" borderId="11" xfId="0" applyNumberFormat="1" applyBorder="1"/>
    <xf numFmtId="0" fontId="0" fillId="0" borderId="10" xfId="0" applyBorder="1" applyAlignment="1">
      <alignment horizontal="left"/>
    </xf>
    <xf numFmtId="0" fontId="0" fillId="0" borderId="11" xfId="0" applyBorder="1" applyAlignment="1">
      <alignment vertical="center"/>
    </xf>
    <xf numFmtId="166" fontId="0" fillId="0" borderId="10" xfId="0" applyNumberFormat="1" applyBorder="1" applyAlignment="1">
      <alignment vertical="center"/>
    </xf>
    <xf numFmtId="166" fontId="0" fillId="0" borderId="11" xfId="0" applyNumberFormat="1" applyBorder="1" applyAlignment="1">
      <alignment vertical="center"/>
    </xf>
    <xf numFmtId="2" fontId="0" fillId="0" borderId="11" xfId="0" applyNumberFormat="1" applyBorder="1" applyAlignment="1">
      <alignment vertical="center"/>
    </xf>
    <xf numFmtId="164" fontId="0" fillId="0" borderId="10" xfId="0" applyNumberFormat="1" applyBorder="1" applyAlignment="1">
      <alignment vertical="center"/>
    </xf>
    <xf numFmtId="0" fontId="0" fillId="0" borderId="10" xfId="0" applyBorder="1" applyAlignment="1">
      <alignment vertical="center"/>
    </xf>
    <xf numFmtId="2" fontId="0" fillId="0" borderId="12" xfId="0" applyNumberFormat="1" applyBorder="1"/>
    <xf numFmtId="0" fontId="0" fillId="0" borderId="0" xfId="0" applyAlignment="1">
      <alignment horizontal="left" vertical="center"/>
    </xf>
    <xf numFmtId="0" fontId="0" fillId="0" borderId="3" xfId="0" applyBorder="1" applyAlignment="1">
      <alignment horizontal="left"/>
    </xf>
    <xf numFmtId="2" fontId="10" fillId="0" borderId="14" xfId="0" applyNumberFormat="1" applyFont="1" applyBorder="1" applyAlignment="1">
      <alignment vertical="center"/>
    </xf>
    <xf numFmtId="0" fontId="0" fillId="0" borderId="3" xfId="0" applyBorder="1" applyAlignment="1">
      <alignment vertical="center"/>
    </xf>
    <xf numFmtId="0" fontId="0" fillId="0" borderId="14" xfId="0" applyBorder="1" applyAlignment="1">
      <alignment vertical="center"/>
    </xf>
    <xf numFmtId="166" fontId="0" fillId="0" borderId="3" xfId="0" applyNumberFormat="1" applyBorder="1" applyAlignment="1">
      <alignment vertical="center"/>
    </xf>
    <xf numFmtId="166" fontId="0" fillId="0" borderId="14" xfId="0" applyNumberFormat="1" applyBorder="1" applyAlignment="1">
      <alignment vertical="center"/>
    </xf>
    <xf numFmtId="166" fontId="0" fillId="0" borderId="2" xfId="0" applyNumberFormat="1" applyBorder="1" applyAlignment="1">
      <alignment vertical="center"/>
    </xf>
    <xf numFmtId="0" fontId="6" fillId="0" borderId="5" xfId="1" applyFont="1" applyFill="1" applyBorder="1"/>
    <xf numFmtId="1" fontId="8" fillId="0" borderId="3" xfId="3" applyNumberFormat="1" applyFont="1" applyBorder="1" applyAlignment="1">
      <alignment horizontal="center" vertical="center" wrapText="1"/>
    </xf>
    <xf numFmtId="0" fontId="8" fillId="0" borderId="13" xfId="3" applyFont="1" applyBorder="1" applyAlignment="1">
      <alignment horizontal="center" vertical="center" wrapText="1"/>
    </xf>
    <xf numFmtId="0" fontId="8" fillId="0" borderId="3" xfId="3" applyFont="1" applyBorder="1" applyAlignment="1">
      <alignment horizontal="center" vertical="center" wrapText="1"/>
    </xf>
    <xf numFmtId="0" fontId="8" fillId="0" borderId="6" xfId="3" applyFont="1" applyBorder="1" applyAlignment="1">
      <alignment horizontal="center" vertical="center" wrapText="1"/>
    </xf>
    <xf numFmtId="0" fontId="10" fillId="0" borderId="14" xfId="3" applyFont="1" applyBorder="1" applyAlignment="1">
      <alignment horizontal="center" vertical="center" wrapText="1"/>
    </xf>
    <xf numFmtId="0" fontId="8" fillId="0" borderId="0" xfId="3" applyFont="1">
      <alignment vertical="center"/>
    </xf>
    <xf numFmtId="0" fontId="8" fillId="0" borderId="2" xfId="3" applyFont="1" applyBorder="1">
      <alignment vertical="center"/>
    </xf>
    <xf numFmtId="0" fontId="8" fillId="0" borderId="5" xfId="3" applyFont="1" applyBorder="1">
      <alignment vertical="center"/>
    </xf>
    <xf numFmtId="0" fontId="8" fillId="0" borderId="12" xfId="3" applyFont="1" applyBorder="1">
      <alignment vertical="center"/>
    </xf>
    <xf numFmtId="1" fontId="10" fillId="0" borderId="12" xfId="3" applyNumberFormat="1" applyFont="1" applyBorder="1" applyAlignment="1">
      <alignment horizontal="center" vertical="center"/>
    </xf>
    <xf numFmtId="0" fontId="10" fillId="0" borderId="12" xfId="3" applyFont="1" applyBorder="1" applyAlignment="1">
      <alignment horizontal="center" vertical="center"/>
    </xf>
    <xf numFmtId="1" fontId="10" fillId="0" borderId="12" xfId="3" applyNumberFormat="1" applyFont="1" applyBorder="1" applyAlignment="1">
      <alignment horizontal="center" vertical="center" wrapText="1"/>
    </xf>
    <xf numFmtId="2" fontId="8" fillId="0" borderId="0" xfId="3" applyNumberFormat="1" applyFont="1">
      <alignment vertical="center"/>
    </xf>
    <xf numFmtId="2" fontId="8" fillId="0" borderId="5" xfId="3" applyNumberFormat="1" applyFont="1" applyBorder="1">
      <alignment vertical="center"/>
    </xf>
    <xf numFmtId="0" fontId="8" fillId="0" borderId="10" xfId="3" applyFont="1" applyBorder="1">
      <alignment vertical="center"/>
    </xf>
    <xf numFmtId="0" fontId="8" fillId="0" borderId="9" xfId="3" applyFont="1" applyBorder="1">
      <alignment vertical="center"/>
    </xf>
    <xf numFmtId="0" fontId="8" fillId="0" borderId="4" xfId="3" applyFont="1" applyBorder="1">
      <alignment vertical="center"/>
    </xf>
    <xf numFmtId="0" fontId="8" fillId="0" borderId="11" xfId="3" applyFont="1" applyBorder="1">
      <alignment vertical="center"/>
    </xf>
    <xf numFmtId="0" fontId="10" fillId="0" borderId="11" xfId="3" applyFont="1" applyBorder="1" applyAlignment="1">
      <alignment horizontal="center" vertical="center" wrapText="1"/>
    </xf>
    <xf numFmtId="0" fontId="10" fillId="0" borderId="12" xfId="3" applyFont="1" applyBorder="1" applyAlignment="1">
      <alignment horizontal="center" vertical="center" wrapText="1"/>
    </xf>
    <xf numFmtId="2" fontId="10" fillId="0" borderId="0" xfId="3" applyNumberFormat="1" applyFont="1">
      <alignment vertical="center"/>
    </xf>
    <xf numFmtId="0" fontId="10" fillId="0" borderId="0" xfId="3" applyFont="1">
      <alignment vertical="center"/>
    </xf>
    <xf numFmtId="0" fontId="8" fillId="0" borderId="3" xfId="3" applyFont="1" applyBorder="1">
      <alignment vertical="center"/>
    </xf>
    <xf numFmtId="0" fontId="8" fillId="0" borderId="13" xfId="3" applyFont="1" applyBorder="1">
      <alignment vertical="center"/>
    </xf>
    <xf numFmtId="0" fontId="8" fillId="0" borderId="6" xfId="3" applyFont="1" applyBorder="1">
      <alignment vertical="center"/>
    </xf>
    <xf numFmtId="0" fontId="8" fillId="0" borderId="14" xfId="3" applyFont="1" applyBorder="1">
      <alignment vertical="center"/>
    </xf>
    <xf numFmtId="1" fontId="10" fillId="0" borderId="14" xfId="3" applyNumberFormat="1" applyFont="1" applyBorder="1" applyAlignment="1">
      <alignment horizontal="center" vertical="center"/>
    </xf>
    <xf numFmtId="1" fontId="10" fillId="0" borderId="12" xfId="1" applyNumberFormat="1" applyFont="1" applyFill="1" applyBorder="1" applyAlignment="1">
      <alignment horizontal="center" vertical="center"/>
    </xf>
    <xf numFmtId="0" fontId="10" fillId="0" borderId="11" xfId="3" applyFont="1" applyBorder="1" applyAlignment="1">
      <alignment horizontal="center" vertical="center"/>
    </xf>
    <xf numFmtId="166" fontId="8" fillId="0" borderId="0" xfId="3" applyNumberFormat="1" applyFont="1">
      <alignment vertical="center"/>
    </xf>
    <xf numFmtId="1" fontId="10" fillId="0" borderId="11" xfId="3" applyNumberFormat="1" applyFont="1" applyBorder="1" applyAlignment="1">
      <alignment horizontal="center" vertical="center" wrapText="1"/>
    </xf>
    <xf numFmtId="0" fontId="10" fillId="0" borderId="12" xfId="3" applyFont="1" applyBorder="1">
      <alignment vertical="center"/>
    </xf>
    <xf numFmtId="1" fontId="10" fillId="0" borderId="11" xfId="3" applyNumberFormat="1" applyFont="1" applyBorder="1" applyAlignment="1">
      <alignment horizontal="center" vertical="center"/>
    </xf>
    <xf numFmtId="0" fontId="11" fillId="0" borderId="0" xfId="3" applyFont="1">
      <alignment vertical="center"/>
    </xf>
    <xf numFmtId="0" fontId="0" fillId="0" borderId="12" xfId="0" applyBorder="1" applyAlignment="1">
      <alignment horizontal="center"/>
    </xf>
    <xf numFmtId="0" fontId="0" fillId="0" borderId="14" xfId="0" applyBorder="1"/>
    <xf numFmtId="1" fontId="0" fillId="0" borderId="12" xfId="0" applyNumberFormat="1" applyBorder="1" applyAlignment="1">
      <alignment horizont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1" fillId="0" borderId="0" xfId="1" applyFill="1" applyAlignment="1">
      <alignment vertical="top"/>
    </xf>
    <xf numFmtId="0" fontId="26" fillId="0" borderId="0" xfId="0" applyFont="1" applyAlignment="1">
      <alignment vertical="top"/>
    </xf>
    <xf numFmtId="0" fontId="0" fillId="0" borderId="0" xfId="0" applyAlignment="1">
      <alignment horizontal="left" vertical="top" wrapText="1"/>
    </xf>
    <xf numFmtId="0" fontId="10" fillId="0" borderId="0" xfId="0" applyFont="1" applyAlignment="1">
      <alignment vertical="top"/>
    </xf>
    <xf numFmtId="0" fontId="7"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27" fillId="0" borderId="0" xfId="0" applyFont="1" applyAlignment="1">
      <alignment vertical="top"/>
    </xf>
    <xf numFmtId="0" fontId="9" fillId="0" borderId="0" xfId="0" applyFont="1" applyAlignment="1">
      <alignment vertical="top"/>
    </xf>
    <xf numFmtId="0" fontId="28" fillId="0" borderId="0" xfId="0" applyFont="1" applyAlignment="1">
      <alignment vertical="top"/>
    </xf>
    <xf numFmtId="0" fontId="11" fillId="0" borderId="0" xfId="0" applyFont="1" applyAlignment="1">
      <alignment vertical="top"/>
    </xf>
    <xf numFmtId="0" fontId="14" fillId="0" borderId="0" xfId="0" applyFont="1" applyAlignment="1">
      <alignment vertical="top"/>
    </xf>
    <xf numFmtId="0" fontId="0" fillId="2" borderId="0" xfId="0" applyFill="1" applyAlignment="1">
      <alignment vertical="top"/>
    </xf>
    <xf numFmtId="0" fontId="16" fillId="0" borderId="0" xfId="0" applyFont="1" applyAlignment="1">
      <alignment vertical="top"/>
    </xf>
    <xf numFmtId="0" fontId="15" fillId="0" borderId="0" xfId="0" applyFont="1" applyAlignment="1">
      <alignment vertical="top"/>
    </xf>
    <xf numFmtId="0" fontId="19" fillId="0" borderId="0" xfId="0" applyFont="1" applyAlignment="1">
      <alignment vertical="top"/>
    </xf>
    <xf numFmtId="0" fontId="20" fillId="0" borderId="0" xfId="0" applyFont="1" applyAlignment="1">
      <alignment vertical="top"/>
    </xf>
    <xf numFmtId="0" fontId="22" fillId="0" borderId="0" xfId="0" applyFont="1" applyAlignment="1">
      <alignment vertical="top"/>
    </xf>
    <xf numFmtId="0" fontId="1" fillId="0" borderId="0" xfId="1" applyAlignment="1">
      <alignment vertical="top"/>
    </xf>
    <xf numFmtId="0" fontId="6" fillId="0" borderId="0" xfId="1" applyFont="1" applyFill="1" applyBorder="1" applyAlignment="1">
      <alignment vertical="top"/>
    </xf>
    <xf numFmtId="0" fontId="1" fillId="0" borderId="0" xfId="1" applyFill="1" applyBorder="1" applyAlignment="1">
      <alignment vertical="top"/>
    </xf>
    <xf numFmtId="0" fontId="13"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center" vertical="top"/>
    </xf>
    <xf numFmtId="0" fontId="0" fillId="0" borderId="0" xfId="0" applyAlignment="1">
      <alignment horizontal="left" vertical="top"/>
    </xf>
    <xf numFmtId="0" fontId="13" fillId="0" borderId="0" xfId="0" applyFont="1" applyAlignment="1">
      <alignment vertical="top" wrapText="1"/>
    </xf>
    <xf numFmtId="0" fontId="24" fillId="0" borderId="0" xfId="0" applyFont="1" applyAlignment="1">
      <alignment vertical="top"/>
    </xf>
    <xf numFmtId="0" fontId="10" fillId="0" borderId="0" xfId="1" applyFont="1" applyFill="1" applyBorder="1" applyAlignment="1">
      <alignment vertical="top"/>
    </xf>
    <xf numFmtId="0" fontId="6" fillId="0" borderId="0" xfId="1" applyFont="1" applyFill="1" applyBorder="1" applyAlignment="1">
      <alignment vertical="top" wrapText="1"/>
    </xf>
    <xf numFmtId="0" fontId="25" fillId="0" borderId="0" xfId="0" applyFont="1" applyAlignment="1">
      <alignment vertical="top" wrapText="1"/>
    </xf>
    <xf numFmtId="0" fontId="1" fillId="0" borderId="0" xfId="1" applyFill="1" applyBorder="1" applyAlignment="1">
      <alignment vertical="top" wrapText="1"/>
    </xf>
    <xf numFmtId="0" fontId="1" fillId="0" borderId="0" xfId="1" applyFill="1" applyAlignment="1">
      <alignment vertical="top" wrapText="1"/>
    </xf>
    <xf numFmtId="0" fontId="1" fillId="0" borderId="0" xfId="1" applyFill="1" applyAlignment="1">
      <alignment horizontal="left" vertical="top"/>
    </xf>
    <xf numFmtId="1" fontId="0" fillId="0" borderId="5" xfId="0" applyNumberFormat="1" applyBorder="1"/>
    <xf numFmtId="0" fontId="20" fillId="0" borderId="6" xfId="0" applyFont="1" applyBorder="1" applyAlignment="1">
      <alignment horizontal="center" vertical="center"/>
    </xf>
    <xf numFmtId="0" fontId="20" fillId="0" borderId="5" xfId="0" applyFont="1" applyBorder="1"/>
    <xf numFmtId="0" fontId="6" fillId="0" borderId="5" xfId="0" applyFont="1" applyBorder="1"/>
    <xf numFmtId="0" fontId="6" fillId="0" borderId="6" xfId="1" applyFont="1" applyFill="1" applyBorder="1"/>
    <xf numFmtId="0" fontId="6" fillId="0" borderId="5" xfId="1" applyFont="1" applyFill="1" applyBorder="1" applyAlignment="1"/>
    <xf numFmtId="0" fontId="6" fillId="0" borderId="5" xfId="1" applyFont="1" applyFill="1" applyBorder="1" applyAlignment="1">
      <alignment wrapText="1"/>
    </xf>
    <xf numFmtId="0" fontId="6" fillId="0" borderId="5" xfId="1" applyFont="1" applyFill="1" applyBorder="1" applyAlignment="1">
      <alignment vertical="center"/>
    </xf>
    <xf numFmtId="0" fontId="0" fillId="0" borderId="0" xfId="0" applyAlignment="1">
      <alignment wrapText="1"/>
    </xf>
    <xf numFmtId="0" fontId="12" fillId="0" borderId="14" xfId="0" applyFont="1" applyBorder="1" applyAlignment="1">
      <alignment horizontal="center" vertical="center" wrapText="1"/>
    </xf>
    <xf numFmtId="0" fontId="13" fillId="0" borderId="12" xfId="0" applyFont="1" applyBorder="1"/>
    <xf numFmtId="0" fontId="13" fillId="0" borderId="11" xfId="0" applyFont="1" applyBorder="1" applyAlignment="1">
      <alignment vertical="center"/>
    </xf>
    <xf numFmtId="0" fontId="13" fillId="0" borderId="11" xfId="0" applyFont="1" applyBorder="1"/>
    <xf numFmtId="0" fontId="12" fillId="0" borderId="12" xfId="0" applyFont="1" applyBorder="1" applyAlignment="1">
      <alignment vertical="center"/>
    </xf>
    <xf numFmtId="0" fontId="13" fillId="0" borderId="12" xfId="0" applyFont="1" applyBorder="1" applyAlignment="1">
      <alignment vertical="center"/>
    </xf>
  </cellXfs>
  <cellStyles count="4">
    <cellStyle name="Komma" xfId="2" builtinId="3"/>
    <cellStyle name="Link" xfId="1" builtinId="8"/>
    <cellStyle name="Standard" xfId="0" builtinId="0"/>
    <cellStyle name="常规 2" xfId="3" xr:uid="{A96F6189-1734-4A5D-B2A9-045CF0EF8F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javascript:"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52</xdr:row>
      <xdr:rowOff>0</xdr:rowOff>
    </xdr:from>
    <xdr:to>
      <xdr:col>2</xdr:col>
      <xdr:colOff>304800</xdr:colOff>
      <xdr:row>52</xdr:row>
      <xdr:rowOff>187505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8BE28126-134B-4A91-981C-7A2C737D2692}"/>
            </a:ext>
          </a:extLst>
        </xdr:cNvPr>
        <xdr:cNvSpPr>
          <a:spLocks noChangeAspect="1" noChangeArrowheads="1"/>
        </xdr:cNvSpPr>
      </xdr:nvSpPr>
      <xdr:spPr bwMode="auto">
        <a:xfrm>
          <a:off x="17783175" y="11534775"/>
          <a:ext cx="304800" cy="1875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427</xdr:row>
      <xdr:rowOff>0</xdr:rowOff>
    </xdr:from>
    <xdr:to>
      <xdr:col>2</xdr:col>
      <xdr:colOff>304800</xdr:colOff>
      <xdr:row>428</xdr:row>
      <xdr:rowOff>125732</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F47F5BB9-FB10-4DE3-9B27-D06352920B23}"/>
            </a:ext>
          </a:extLst>
        </xdr:cNvPr>
        <xdr:cNvSpPr>
          <a:spLocks noChangeAspect="1" noChangeArrowheads="1"/>
        </xdr:cNvSpPr>
      </xdr:nvSpPr>
      <xdr:spPr bwMode="auto">
        <a:xfrm>
          <a:off x="17783175" y="86534625"/>
          <a:ext cx="304800" cy="3162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428</xdr:row>
      <xdr:rowOff>0</xdr:rowOff>
    </xdr:from>
    <xdr:ext cx="304800" cy="305666"/>
    <xdr:sp macro="" textlink="">
      <xdr:nvSpPr>
        <xdr:cNvPr id="4" name="AutoShape 1">
          <a:hlinkClick xmlns:r="http://schemas.openxmlformats.org/officeDocument/2006/relationships" r:id="rId1"/>
          <a:extLst>
            <a:ext uri="{FF2B5EF4-FFF2-40B4-BE49-F238E27FC236}">
              <a16:creationId xmlns:a16="http://schemas.microsoft.com/office/drawing/2014/main" id="{CAC8261E-364D-4E71-A1BF-84A4C8FC86B7}"/>
            </a:ext>
          </a:extLst>
        </xdr:cNvPr>
        <xdr:cNvSpPr>
          <a:spLocks noChangeAspect="1" noChangeArrowheads="1"/>
        </xdr:cNvSpPr>
      </xdr:nvSpPr>
      <xdr:spPr bwMode="auto">
        <a:xfrm>
          <a:off x="17783175" y="86725125"/>
          <a:ext cx="304800" cy="30566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matmatch.com/learn/material/lead-gla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hinkel-elektronik.de/pdf_node/954.pdf" TargetMode="External"/><Relationship Id="rId2" Type="http://schemas.openxmlformats.org/officeDocument/2006/relationships/hyperlink" Target="https://www.qenos.com/internet/home.nsf/(LUImages)/Tech%20Guide:%20Thermal%20and%20electrical%20properties%20of%20PE/$File/144%20QEN%20eX%20TN%20Thermal%20&amp;%20Electrical%20properties%20of%20PE.pdf" TargetMode="External"/><Relationship Id="rId1" Type="http://schemas.openxmlformats.org/officeDocument/2006/relationships/hyperlink" Target="https://www.ensingerplastics.com/en/shapes/pa12-tecamid-12-natural" TargetMode="External"/><Relationship Id="rId6" Type="http://schemas.openxmlformats.org/officeDocument/2006/relationships/printerSettings" Target="../printerSettings/printerSettings3.bin"/><Relationship Id="rId5" Type="http://schemas.openxmlformats.org/officeDocument/2006/relationships/hyperlink" Target="https://analyzing-testing.netzsch.com/en/polymers-netzsch-com/engineering-thermoplastics/pa11-polyamide-11" TargetMode="External"/><Relationship Id="rId4" Type="http://schemas.openxmlformats.org/officeDocument/2006/relationships/hyperlink" Target="https://rolec.de/fileadmin/Media/44/a2/Polyamid_PA6_en-.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atentimages.storage.googleapis.com/75/f2/8d/a399de36a28d56/US7094716.pdf" TargetMode="External"/><Relationship Id="rId13" Type="http://schemas.openxmlformats.org/officeDocument/2006/relationships/hyperlink" Target="https://www.matweb.com/search/datasheet.aspx?bassnum=MA0001" TargetMode="External"/><Relationship Id="rId3" Type="http://schemas.openxmlformats.org/officeDocument/2006/relationships/hyperlink" Target="https://www.matweb.com/search/DataSheet.aspx?MatGUID=fdac5563c7f2472a825d6cc0f16e2785" TargetMode="External"/><Relationship Id="rId7" Type="http://schemas.openxmlformats.org/officeDocument/2006/relationships/hyperlink" Target="http://www.dachauer-spezialglas.de/spezialglastechnik/technisches-glaeser/weisses-floatglas.html" TargetMode="External"/><Relationship Id="rId12" Type="http://schemas.openxmlformats.org/officeDocument/2006/relationships/hyperlink" Target="https://chem.libretexts.org/Ancillary_Materials/Reference/Reference_Tables/Thermodynamics_Tables/T4%3A_Specific_Heats_and_Molar_Heat_Capacities" TargetMode="External"/><Relationship Id="rId17" Type="http://schemas.openxmlformats.org/officeDocument/2006/relationships/hyperlink" Target="https://www.matweb.com/search/DataSheet.aspx?MatGUID=796041d9aef04a91b58d4cd8db04edb8" TargetMode="External"/><Relationship Id="rId2" Type="http://schemas.openxmlformats.org/officeDocument/2006/relationships/hyperlink" Target="https://gnpgraystar.com/wp-content/uploads/2020/05/ThermalPropertiesofCeramicsGraphic.pdf" TargetMode="External"/><Relationship Id="rId16" Type="http://schemas.openxmlformats.org/officeDocument/2006/relationships/hyperlink" Target="https://www.matweb.com/search/DataSheet.aspx?MatGUID=4dac23c848db4780a067fd556906cae6" TargetMode="External"/><Relationship Id="rId1" Type="http://schemas.openxmlformats.org/officeDocument/2006/relationships/hyperlink" Target="https://gnpgraystar.com/wp-content/uploads/2020/05/ThermalPropertiesofCeramicsGraphic.pdf" TargetMode="External"/><Relationship Id="rId6" Type="http://schemas.openxmlformats.org/officeDocument/2006/relationships/hyperlink" Target="https://matmatch.com/materials/mama00000416-general-borosilicate-glass" TargetMode="External"/><Relationship Id="rId11" Type="http://schemas.openxmlformats.org/officeDocument/2006/relationships/hyperlink" Target="https://chem.libretexts.org/Ancillary_Materials/Reference/Reference_Tables/Thermodynamics_Tables/T4%3A_Specific_Heats_and_Molar_Heat_Capacities" TargetMode="External"/><Relationship Id="rId5" Type="http://schemas.openxmlformats.org/officeDocument/2006/relationships/hyperlink" Target="https://matmatch.com/learn/material/lead-glass" TargetMode="External"/><Relationship Id="rId15" Type="http://schemas.openxmlformats.org/officeDocument/2006/relationships/hyperlink" Target="https://www.matweb.com/search/DataSheet.aspx?MatGUID=2cfae82b47424ee28263e89e66bbd526" TargetMode="External"/><Relationship Id="rId10" Type="http://schemas.openxmlformats.org/officeDocument/2006/relationships/hyperlink" Target="https://www.azom.com/properties.aspx?ArticleID=89" TargetMode="External"/><Relationship Id="rId4" Type="http://schemas.openxmlformats.org/officeDocument/2006/relationships/hyperlink" Target="https://www.mindat.org/min-2156.html" TargetMode="External"/><Relationship Id="rId9" Type="http://schemas.openxmlformats.org/officeDocument/2006/relationships/hyperlink" Target="https://www.us.schott.com/tubing/english/product_selector/" TargetMode="External"/><Relationship Id="rId14" Type="http://schemas.openxmlformats.org/officeDocument/2006/relationships/hyperlink" Target="https://www.matweb.com/search/datasheet.aspx?matguid=8808b026f7c14d2f8d61f2d476aaeb26&amp;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D45B-64ED-41D0-BCF1-2CBE57F55A38}">
  <dimension ref="A1:P495"/>
  <sheetViews>
    <sheetView topLeftCell="A37" zoomScale="80" zoomScaleNormal="80" workbookViewId="0">
      <selection activeCell="B78" sqref="B78"/>
    </sheetView>
  </sheetViews>
  <sheetFormatPr baseColWidth="10" defaultColWidth="11" defaultRowHeight="15.05"/>
  <cols>
    <col min="1" max="1" width="11" style="185"/>
    <col min="2" max="2" width="255.6640625" style="185" bestFit="1" customWidth="1"/>
    <col min="3" max="3" width="38.109375" style="185" customWidth="1"/>
    <col min="4" max="4" width="54.6640625" style="185" customWidth="1"/>
    <col min="5" max="5" width="10.6640625" style="186" customWidth="1"/>
    <col min="6" max="6" width="22" style="185" bestFit="1" customWidth="1"/>
    <col min="7" max="7" width="15.5546875" style="185" bestFit="1" customWidth="1"/>
    <col min="8" max="8" width="22.5546875" style="185" bestFit="1" customWidth="1"/>
    <col min="9" max="9" width="19.33203125" style="185" customWidth="1"/>
    <col min="10" max="10" width="17.109375" style="185" customWidth="1"/>
    <col min="11" max="11" width="11" style="185"/>
    <col min="12" max="12" width="9.109375" style="185" bestFit="1" customWidth="1"/>
    <col min="13" max="13" width="87.109375" style="185" bestFit="1" customWidth="1"/>
    <col min="14" max="14" width="76.5546875" style="185" bestFit="1" customWidth="1"/>
    <col min="15" max="15" width="48" style="185" bestFit="1" customWidth="1"/>
    <col min="16" max="16384" width="11" style="185"/>
  </cols>
  <sheetData>
    <row r="1" spans="1:16" ht="15.05" customHeight="1">
      <c r="A1" s="185" t="s">
        <v>28</v>
      </c>
      <c r="B1" s="185" t="s">
        <v>1951</v>
      </c>
      <c r="C1" s="185" t="s">
        <v>36</v>
      </c>
      <c r="D1" s="185" t="s">
        <v>35</v>
      </c>
      <c r="E1" s="186" t="s">
        <v>1209</v>
      </c>
      <c r="F1" s="185" t="s">
        <v>1210</v>
      </c>
      <c r="G1" s="185" t="s">
        <v>1211</v>
      </c>
      <c r="H1" s="185" t="s">
        <v>1459</v>
      </c>
      <c r="I1" s="185" t="s">
        <v>1212</v>
      </c>
      <c r="J1" s="185" t="s">
        <v>1213</v>
      </c>
      <c r="K1" s="185" t="s">
        <v>1214</v>
      </c>
      <c r="L1" s="185" t="s">
        <v>1460</v>
      </c>
      <c r="M1" s="185" t="s">
        <v>1461</v>
      </c>
      <c r="P1" s="185" t="s">
        <v>1462</v>
      </c>
    </row>
    <row r="2" spans="1:16" ht="15.05" customHeight="1">
      <c r="A2" s="185">
        <v>1</v>
      </c>
      <c r="B2" s="184" t="s">
        <v>1463</v>
      </c>
      <c r="C2" s="184" t="s">
        <v>37</v>
      </c>
      <c r="D2" s="185" t="s">
        <v>2</v>
      </c>
      <c r="E2" s="186">
        <v>2015</v>
      </c>
      <c r="F2" s="184" t="s">
        <v>182</v>
      </c>
      <c r="G2" s="184" t="s">
        <v>181</v>
      </c>
      <c r="H2" s="184" t="s">
        <v>1464</v>
      </c>
      <c r="I2" s="184"/>
      <c r="J2" s="184" t="s">
        <v>452</v>
      </c>
    </row>
    <row r="3" spans="1:16" ht="15.05" customHeight="1">
      <c r="A3" s="185">
        <v>2</v>
      </c>
      <c r="B3" s="184" t="s">
        <v>1465</v>
      </c>
      <c r="C3" s="185" t="s">
        <v>1466</v>
      </c>
      <c r="D3" s="184" t="s">
        <v>38</v>
      </c>
      <c r="E3" s="186">
        <v>2018</v>
      </c>
      <c r="F3" s="185" t="s">
        <v>182</v>
      </c>
      <c r="G3" s="185" t="s">
        <v>183</v>
      </c>
      <c r="H3" s="184" t="s">
        <v>1464</v>
      </c>
    </row>
    <row r="4" spans="1:16" ht="15.05" customHeight="1">
      <c r="A4" s="185">
        <v>3</v>
      </c>
      <c r="B4" s="185" t="s">
        <v>1467</v>
      </c>
      <c r="D4" s="185" t="s">
        <v>39</v>
      </c>
      <c r="E4" s="186">
        <v>2006</v>
      </c>
      <c r="F4" s="185" t="s">
        <v>1468</v>
      </c>
      <c r="G4" s="185" t="s">
        <v>1469</v>
      </c>
      <c r="H4" s="184" t="s">
        <v>1464</v>
      </c>
      <c r="J4" s="185" t="s">
        <v>452</v>
      </c>
      <c r="N4" s="187"/>
    </row>
    <row r="5" spans="1:16" ht="15.05" customHeight="1">
      <c r="A5" s="185">
        <v>4</v>
      </c>
      <c r="B5" s="184" t="s">
        <v>1470</v>
      </c>
      <c r="C5" s="184"/>
      <c r="D5" s="184" t="s">
        <v>40</v>
      </c>
      <c r="E5" s="186">
        <v>2012</v>
      </c>
      <c r="F5" s="185" t="s">
        <v>1471</v>
      </c>
      <c r="G5" s="185" t="s">
        <v>179</v>
      </c>
      <c r="H5" s="184" t="s">
        <v>1472</v>
      </c>
      <c r="J5" s="185" t="s">
        <v>452</v>
      </c>
    </row>
    <row r="6" spans="1:16" ht="15.05" customHeight="1">
      <c r="A6" s="185">
        <v>5</v>
      </c>
      <c r="B6" s="185" t="s">
        <v>1473</v>
      </c>
      <c r="C6" s="185" t="s">
        <v>42</v>
      </c>
      <c r="D6" s="185" t="s">
        <v>43</v>
      </c>
      <c r="E6" s="186">
        <v>2012</v>
      </c>
      <c r="F6" s="185" t="s">
        <v>178</v>
      </c>
      <c r="G6" s="185" t="s">
        <v>180</v>
      </c>
      <c r="H6" s="184" t="s">
        <v>1464</v>
      </c>
      <c r="I6" s="185" t="s">
        <v>452</v>
      </c>
    </row>
    <row r="7" spans="1:16" ht="15.05" customHeight="1">
      <c r="A7" s="185">
        <v>6</v>
      </c>
      <c r="B7" s="184" t="s">
        <v>1474</v>
      </c>
      <c r="C7" s="185" t="s">
        <v>48</v>
      </c>
      <c r="D7" s="185" t="s">
        <v>49</v>
      </c>
      <c r="E7" s="186">
        <v>1985</v>
      </c>
      <c r="F7" s="185" t="s">
        <v>195</v>
      </c>
      <c r="G7" s="185" t="s">
        <v>179</v>
      </c>
      <c r="H7" s="184" t="s">
        <v>1464</v>
      </c>
      <c r="I7" s="185" t="s">
        <v>452</v>
      </c>
    </row>
    <row r="8" spans="1:16" ht="15.05" customHeight="1">
      <c r="A8" s="185">
        <v>7</v>
      </c>
      <c r="B8" s="185" t="s">
        <v>1475</v>
      </c>
      <c r="C8" s="185" t="s">
        <v>52</v>
      </c>
      <c r="D8" s="185" t="s">
        <v>53</v>
      </c>
      <c r="E8" s="186">
        <v>2018</v>
      </c>
      <c r="F8" s="185" t="s">
        <v>176</v>
      </c>
      <c r="G8" s="185" t="s">
        <v>179</v>
      </c>
      <c r="H8" s="184" t="s">
        <v>1464</v>
      </c>
      <c r="I8" s="185" t="s">
        <v>452</v>
      </c>
    </row>
    <row r="9" spans="1:16" ht="15.05" customHeight="1">
      <c r="A9" s="185">
        <v>8</v>
      </c>
      <c r="B9" s="185" t="s">
        <v>1476</v>
      </c>
      <c r="D9" s="185" t="s">
        <v>62</v>
      </c>
      <c r="E9" s="186">
        <v>2001</v>
      </c>
      <c r="F9" s="185" t="s">
        <v>162</v>
      </c>
      <c r="G9" s="185" t="s">
        <v>179</v>
      </c>
      <c r="H9" s="184" t="s">
        <v>1472</v>
      </c>
      <c r="I9" s="185" t="s">
        <v>452</v>
      </c>
      <c r="J9" s="185" t="s">
        <v>452</v>
      </c>
    </row>
    <row r="10" spans="1:16" ht="15.05" customHeight="1">
      <c r="A10" s="185">
        <v>9</v>
      </c>
      <c r="B10" s="185" t="s">
        <v>1477</v>
      </c>
      <c r="D10" s="185" t="s">
        <v>1478</v>
      </c>
      <c r="E10" s="186">
        <v>2007</v>
      </c>
      <c r="F10" s="185" t="s">
        <v>178</v>
      </c>
      <c r="G10" s="185" t="s">
        <v>180</v>
      </c>
      <c r="H10" s="184" t="s">
        <v>1464</v>
      </c>
      <c r="I10" s="185" t="s">
        <v>452</v>
      </c>
    </row>
    <row r="11" spans="1:16" ht="15.05" customHeight="1">
      <c r="A11" s="185">
        <v>10</v>
      </c>
      <c r="B11" s="185" t="s">
        <v>1479</v>
      </c>
      <c r="C11" s="185" t="s">
        <v>1480</v>
      </c>
      <c r="D11" s="185" t="s">
        <v>91</v>
      </c>
      <c r="E11" s="186">
        <v>2009</v>
      </c>
      <c r="F11" s="185" t="s">
        <v>177</v>
      </c>
      <c r="G11" s="185" t="s">
        <v>181</v>
      </c>
      <c r="H11" s="184" t="s">
        <v>1464</v>
      </c>
      <c r="I11" s="185" t="s">
        <v>452</v>
      </c>
      <c r="J11" s="185" t="s">
        <v>452</v>
      </c>
      <c r="K11" s="185" t="s">
        <v>452</v>
      </c>
    </row>
    <row r="12" spans="1:16" ht="15.05" customHeight="1">
      <c r="A12" s="185">
        <v>11</v>
      </c>
      <c r="B12" s="185" t="s">
        <v>1481</v>
      </c>
      <c r="C12" s="185" t="s">
        <v>1482</v>
      </c>
      <c r="D12" s="185" t="s">
        <v>92</v>
      </c>
      <c r="E12" s="186">
        <v>2019</v>
      </c>
      <c r="F12" s="185" t="s">
        <v>182</v>
      </c>
      <c r="G12" s="185" t="s">
        <v>183</v>
      </c>
      <c r="H12" s="184" t="s">
        <v>1464</v>
      </c>
      <c r="I12" s="185" t="s">
        <v>452</v>
      </c>
      <c r="J12" s="185" t="s">
        <v>452</v>
      </c>
      <c r="K12" s="185" t="s">
        <v>452</v>
      </c>
    </row>
    <row r="13" spans="1:16" ht="15.05" customHeight="1">
      <c r="A13" s="185">
        <v>12</v>
      </c>
      <c r="B13" s="185" t="s">
        <v>1483</v>
      </c>
      <c r="C13" s="185" t="s">
        <v>1484</v>
      </c>
      <c r="D13" s="185" t="s">
        <v>90</v>
      </c>
      <c r="E13" s="186">
        <v>1995</v>
      </c>
      <c r="F13" s="185" t="s">
        <v>184</v>
      </c>
      <c r="G13" s="185" t="s">
        <v>179</v>
      </c>
      <c r="H13" s="184" t="s">
        <v>1464</v>
      </c>
      <c r="I13" s="185" t="s">
        <v>452</v>
      </c>
      <c r="K13" s="185" t="s">
        <v>452</v>
      </c>
    </row>
    <row r="14" spans="1:16" ht="15.05" customHeight="1">
      <c r="A14" s="185">
        <v>13</v>
      </c>
      <c r="B14" s="185" t="s">
        <v>1485</v>
      </c>
      <c r="C14" s="185" t="s">
        <v>1486</v>
      </c>
      <c r="D14" s="185" t="s">
        <v>93</v>
      </c>
      <c r="E14" s="186">
        <v>2017</v>
      </c>
      <c r="F14" s="185" t="s">
        <v>177</v>
      </c>
      <c r="G14" s="185" t="s">
        <v>181</v>
      </c>
      <c r="H14" s="184" t="s">
        <v>1464</v>
      </c>
      <c r="I14" s="185" t="s">
        <v>452</v>
      </c>
      <c r="J14" s="185" t="s">
        <v>452</v>
      </c>
      <c r="K14" s="185" t="s">
        <v>452</v>
      </c>
    </row>
    <row r="15" spans="1:16" ht="15.05" customHeight="1">
      <c r="A15" s="185">
        <v>14</v>
      </c>
      <c r="B15" s="185" t="s">
        <v>1487</v>
      </c>
      <c r="C15" s="185" t="s">
        <v>1488</v>
      </c>
      <c r="D15" s="185" t="s">
        <v>94</v>
      </c>
      <c r="E15" s="186">
        <v>2018</v>
      </c>
      <c r="F15" s="185" t="s">
        <v>177</v>
      </c>
      <c r="G15" s="185" t="s">
        <v>181</v>
      </c>
      <c r="H15" s="184" t="s">
        <v>1464</v>
      </c>
      <c r="I15" s="185" t="s">
        <v>452</v>
      </c>
      <c r="J15" s="185" t="s">
        <v>452</v>
      </c>
      <c r="K15" s="185" t="s">
        <v>452</v>
      </c>
    </row>
    <row r="16" spans="1:16" ht="15.05" customHeight="1">
      <c r="A16" s="185">
        <v>15</v>
      </c>
      <c r="B16" s="185" t="s">
        <v>1489</v>
      </c>
      <c r="C16" s="185" t="s">
        <v>1490</v>
      </c>
      <c r="D16" s="185" t="s">
        <v>95</v>
      </c>
      <c r="E16" s="186">
        <v>2015</v>
      </c>
      <c r="F16" s="185" t="s">
        <v>177</v>
      </c>
      <c r="G16" s="185" t="s">
        <v>181</v>
      </c>
      <c r="H16" s="184" t="s">
        <v>1464</v>
      </c>
      <c r="I16" s="185" t="s">
        <v>452</v>
      </c>
      <c r="J16" s="185" t="s">
        <v>452</v>
      </c>
    </row>
    <row r="17" spans="1:13" ht="15.05" customHeight="1">
      <c r="A17" s="185">
        <v>16</v>
      </c>
      <c r="B17" s="185" t="s">
        <v>1491</v>
      </c>
      <c r="C17" s="185" t="s">
        <v>88</v>
      </c>
      <c r="D17" s="185" t="s">
        <v>87</v>
      </c>
      <c r="E17" s="186">
        <v>2001</v>
      </c>
      <c r="F17" s="185" t="s">
        <v>177</v>
      </c>
      <c r="G17" s="185" t="s">
        <v>181</v>
      </c>
      <c r="H17" s="184" t="s">
        <v>1464</v>
      </c>
      <c r="I17" s="185" t="s">
        <v>452</v>
      </c>
      <c r="J17" s="185" t="s">
        <v>452</v>
      </c>
    </row>
    <row r="18" spans="1:13" ht="15.05" customHeight="1">
      <c r="A18" s="185">
        <v>17</v>
      </c>
      <c r="B18" s="185" t="s">
        <v>1492</v>
      </c>
      <c r="C18" s="185" t="s">
        <v>1493</v>
      </c>
      <c r="D18" s="185" t="s">
        <v>96</v>
      </c>
      <c r="E18" s="186">
        <v>2009</v>
      </c>
      <c r="F18" s="185" t="s">
        <v>177</v>
      </c>
      <c r="G18" s="185" t="s">
        <v>181</v>
      </c>
      <c r="H18" s="184" t="s">
        <v>1464</v>
      </c>
      <c r="I18" s="185" t="s">
        <v>452</v>
      </c>
      <c r="J18" s="185" t="s">
        <v>452</v>
      </c>
    </row>
    <row r="19" spans="1:13" ht="15.05" customHeight="1">
      <c r="A19" s="185">
        <v>18</v>
      </c>
      <c r="B19" s="184" t="s">
        <v>1494</v>
      </c>
      <c r="C19" s="185" t="s">
        <v>1495</v>
      </c>
      <c r="D19" s="185" t="s">
        <v>97</v>
      </c>
      <c r="E19" s="186">
        <v>2014</v>
      </c>
      <c r="F19" s="185" t="s">
        <v>177</v>
      </c>
      <c r="G19" s="185" t="s">
        <v>181</v>
      </c>
      <c r="H19" s="184" t="s">
        <v>1464</v>
      </c>
      <c r="I19" s="188" t="s">
        <v>452</v>
      </c>
      <c r="J19" s="185" t="s">
        <v>452</v>
      </c>
      <c r="K19" s="185" t="s">
        <v>452</v>
      </c>
    </row>
    <row r="20" spans="1:13" ht="15.05" customHeight="1">
      <c r="A20" s="185">
        <v>19</v>
      </c>
      <c r="B20" s="189" t="s">
        <v>1496</v>
      </c>
      <c r="C20" s="185" t="s">
        <v>82</v>
      </c>
      <c r="D20" s="185" t="s">
        <v>98</v>
      </c>
      <c r="E20" s="186">
        <v>2021</v>
      </c>
      <c r="F20" s="185" t="s">
        <v>185</v>
      </c>
      <c r="G20" s="185" t="s">
        <v>186</v>
      </c>
      <c r="H20" s="184" t="s">
        <v>1464</v>
      </c>
      <c r="I20" s="185" t="s">
        <v>452</v>
      </c>
    </row>
    <row r="21" spans="1:13" ht="15.05" customHeight="1">
      <c r="A21" s="185">
        <v>20</v>
      </c>
      <c r="B21" s="189" t="s">
        <v>1497</v>
      </c>
      <c r="C21" s="185" t="s">
        <v>1498</v>
      </c>
      <c r="D21" s="185" t="s">
        <v>99</v>
      </c>
      <c r="E21" s="186">
        <v>1995</v>
      </c>
      <c r="F21" s="185" t="s">
        <v>184</v>
      </c>
      <c r="G21" s="185" t="s">
        <v>179</v>
      </c>
      <c r="H21" s="184" t="s">
        <v>1464</v>
      </c>
      <c r="I21" s="185" t="s">
        <v>452</v>
      </c>
    </row>
    <row r="22" spans="1:13" ht="15.05" customHeight="1">
      <c r="A22" s="185">
        <v>21</v>
      </c>
      <c r="B22" s="189" t="s">
        <v>1499</v>
      </c>
      <c r="C22" s="185" t="s">
        <v>1500</v>
      </c>
      <c r="D22" s="185" t="s">
        <v>100</v>
      </c>
      <c r="E22" s="186">
        <v>2004</v>
      </c>
      <c r="F22" s="185" t="s">
        <v>187</v>
      </c>
      <c r="G22" s="185" t="s">
        <v>181</v>
      </c>
      <c r="H22" s="184" t="s">
        <v>1464</v>
      </c>
      <c r="I22" s="185" t="s">
        <v>452</v>
      </c>
      <c r="M22" s="190"/>
    </row>
    <row r="23" spans="1:13" ht="15.05" customHeight="1">
      <c r="A23" s="185">
        <v>22</v>
      </c>
      <c r="B23" s="189" t="s">
        <v>1501</v>
      </c>
      <c r="D23" s="185" t="s">
        <v>1502</v>
      </c>
      <c r="E23" s="186">
        <v>2006</v>
      </c>
      <c r="F23" s="185" t="s">
        <v>188</v>
      </c>
      <c r="G23" s="185" t="s">
        <v>181</v>
      </c>
      <c r="H23" s="184" t="s">
        <v>1464</v>
      </c>
      <c r="I23" s="185" t="s">
        <v>452</v>
      </c>
      <c r="J23" s="185" t="s">
        <v>452</v>
      </c>
    </row>
    <row r="24" spans="1:13" ht="15.05" customHeight="1">
      <c r="A24" s="185">
        <v>23</v>
      </c>
      <c r="B24" s="189" t="s">
        <v>1503</v>
      </c>
      <c r="C24" s="185" t="s">
        <v>1504</v>
      </c>
      <c r="D24" s="185" t="s">
        <v>101</v>
      </c>
      <c r="E24" s="186">
        <v>2016</v>
      </c>
      <c r="F24" s="185" t="s">
        <v>178</v>
      </c>
      <c r="G24" s="185" t="s">
        <v>180</v>
      </c>
      <c r="H24" s="184" t="s">
        <v>1464</v>
      </c>
      <c r="I24" s="185" t="s">
        <v>452</v>
      </c>
      <c r="J24" s="185" t="s">
        <v>452</v>
      </c>
    </row>
    <row r="25" spans="1:13" ht="15.05" customHeight="1">
      <c r="A25" s="185">
        <v>24</v>
      </c>
      <c r="B25" s="191" t="s">
        <v>1505</v>
      </c>
      <c r="D25" s="185" t="s">
        <v>85</v>
      </c>
      <c r="E25" s="186">
        <v>2017</v>
      </c>
      <c r="F25" s="185" t="s">
        <v>163</v>
      </c>
      <c r="G25" s="185" t="s">
        <v>181</v>
      </c>
      <c r="H25" s="184" t="s">
        <v>1464</v>
      </c>
      <c r="I25" s="185" t="s">
        <v>452</v>
      </c>
      <c r="J25" s="185" t="s">
        <v>452</v>
      </c>
    </row>
    <row r="26" spans="1:13" ht="15.05" customHeight="1">
      <c r="A26" s="185">
        <v>25</v>
      </c>
      <c r="B26" s="189" t="s">
        <v>1506</v>
      </c>
      <c r="C26" s="185" t="s">
        <v>86</v>
      </c>
      <c r="D26" s="185" t="s">
        <v>1507</v>
      </c>
      <c r="E26" s="186">
        <v>2025</v>
      </c>
      <c r="F26" s="185" t="s">
        <v>171</v>
      </c>
      <c r="G26" s="185" t="s">
        <v>186</v>
      </c>
      <c r="H26" s="184" t="s">
        <v>1464</v>
      </c>
      <c r="I26" s="185" t="s">
        <v>452</v>
      </c>
      <c r="J26" s="185" t="s">
        <v>452</v>
      </c>
    </row>
    <row r="27" spans="1:13" ht="15.05" customHeight="1">
      <c r="A27" s="185">
        <v>26</v>
      </c>
      <c r="B27" s="189" t="s">
        <v>1508</v>
      </c>
      <c r="C27" s="185" t="s">
        <v>1509</v>
      </c>
      <c r="D27" s="185" t="s">
        <v>102</v>
      </c>
      <c r="E27" s="186">
        <v>2017</v>
      </c>
      <c r="F27" s="185" t="s">
        <v>189</v>
      </c>
      <c r="G27" s="185" t="s">
        <v>181</v>
      </c>
      <c r="H27" s="184" t="s">
        <v>1464</v>
      </c>
      <c r="I27" s="185" t="s">
        <v>452</v>
      </c>
      <c r="J27" s="185" t="s">
        <v>452</v>
      </c>
    </row>
    <row r="28" spans="1:13" ht="15.05" customHeight="1">
      <c r="A28" s="185">
        <v>27</v>
      </c>
      <c r="B28" s="189" t="s">
        <v>1510</v>
      </c>
      <c r="C28" s="185" t="s">
        <v>1511</v>
      </c>
      <c r="D28" s="185" t="s">
        <v>80</v>
      </c>
      <c r="E28" s="186">
        <v>2013</v>
      </c>
      <c r="F28" s="185" t="s">
        <v>182</v>
      </c>
      <c r="G28" s="185" t="s">
        <v>181</v>
      </c>
      <c r="H28" s="184" t="s">
        <v>1464</v>
      </c>
      <c r="I28" s="185" t="s">
        <v>452</v>
      </c>
    </row>
    <row r="29" spans="1:13" ht="15.05" customHeight="1">
      <c r="A29" s="185">
        <v>28</v>
      </c>
      <c r="B29" s="189" t="s">
        <v>1512</v>
      </c>
      <c r="C29" s="185" t="s">
        <v>1513</v>
      </c>
      <c r="D29" s="185" t="s">
        <v>103</v>
      </c>
      <c r="E29" s="186">
        <v>2014</v>
      </c>
      <c r="F29" s="185" t="s">
        <v>190</v>
      </c>
      <c r="G29" s="185" t="s">
        <v>191</v>
      </c>
      <c r="H29" s="184" t="s">
        <v>1464</v>
      </c>
      <c r="I29" s="185" t="s">
        <v>452</v>
      </c>
    </row>
    <row r="30" spans="1:13" ht="15.05" customHeight="1">
      <c r="A30" s="185">
        <v>29</v>
      </c>
      <c r="B30" s="189" t="s">
        <v>1514</v>
      </c>
      <c r="C30" s="185" t="s">
        <v>81</v>
      </c>
      <c r="D30" s="185" t="s">
        <v>121</v>
      </c>
      <c r="E30" s="186">
        <v>2019</v>
      </c>
      <c r="F30" s="185" t="s">
        <v>192</v>
      </c>
      <c r="G30" s="185" t="s">
        <v>186</v>
      </c>
      <c r="H30" s="184" t="s">
        <v>1464</v>
      </c>
      <c r="I30" s="185" t="s">
        <v>452</v>
      </c>
      <c r="J30" s="185" t="s">
        <v>452</v>
      </c>
    </row>
    <row r="31" spans="1:13" ht="15.05" customHeight="1">
      <c r="A31" s="185">
        <v>30</v>
      </c>
      <c r="B31" s="189" t="s">
        <v>1515</v>
      </c>
      <c r="C31" s="185" t="s">
        <v>1516</v>
      </c>
      <c r="D31" s="185" t="s">
        <v>1517</v>
      </c>
      <c r="E31" s="186">
        <v>2019</v>
      </c>
      <c r="F31" s="185" t="s">
        <v>175</v>
      </c>
      <c r="G31" s="185" t="s">
        <v>180</v>
      </c>
      <c r="H31" s="184" t="s">
        <v>1464</v>
      </c>
      <c r="I31" s="185" t="s">
        <v>452</v>
      </c>
      <c r="J31" s="185" t="s">
        <v>452</v>
      </c>
    </row>
    <row r="32" spans="1:13" ht="15.05" customHeight="1">
      <c r="A32" s="185">
        <v>31</v>
      </c>
      <c r="B32" s="192" t="s">
        <v>1518</v>
      </c>
      <c r="C32" s="185" t="s">
        <v>84</v>
      </c>
      <c r="D32" s="185" t="s">
        <v>83</v>
      </c>
      <c r="E32" s="186">
        <v>2014</v>
      </c>
      <c r="F32" s="185" t="s">
        <v>177</v>
      </c>
      <c r="G32" s="185" t="s">
        <v>181</v>
      </c>
      <c r="H32" s="184" t="s">
        <v>1464</v>
      </c>
      <c r="I32" s="185" t="s">
        <v>452</v>
      </c>
      <c r="J32" s="185" t="s">
        <v>452</v>
      </c>
      <c r="K32" s="185" t="s">
        <v>452</v>
      </c>
    </row>
    <row r="33" spans="1:11" ht="15.05" customHeight="1">
      <c r="A33" s="185">
        <v>32</v>
      </c>
      <c r="B33" s="193" t="s">
        <v>1519</v>
      </c>
      <c r="C33" s="185" t="s">
        <v>1520</v>
      </c>
      <c r="D33" s="185" t="s">
        <v>159</v>
      </c>
      <c r="E33" s="186">
        <v>2009</v>
      </c>
      <c r="F33" s="185" t="s">
        <v>193</v>
      </c>
      <c r="G33" s="185" t="s">
        <v>179</v>
      </c>
      <c r="H33" s="184" t="s">
        <v>1464</v>
      </c>
      <c r="I33" s="185" t="s">
        <v>452</v>
      </c>
      <c r="K33" s="185" t="s">
        <v>452</v>
      </c>
    </row>
    <row r="34" spans="1:11" ht="15.05" customHeight="1">
      <c r="A34" s="185">
        <v>33</v>
      </c>
      <c r="B34" s="193" t="s">
        <v>1521</v>
      </c>
      <c r="C34" s="185" t="s">
        <v>1522</v>
      </c>
      <c r="D34" s="185" t="s">
        <v>104</v>
      </c>
      <c r="E34" s="186">
        <v>2003</v>
      </c>
      <c r="F34" s="185" t="s">
        <v>194</v>
      </c>
      <c r="G34" s="185" t="s">
        <v>181</v>
      </c>
      <c r="H34" s="184" t="s">
        <v>1464</v>
      </c>
      <c r="I34" s="185" t="s">
        <v>452</v>
      </c>
    </row>
    <row r="35" spans="1:11" ht="15.05" customHeight="1">
      <c r="A35" s="185">
        <v>34</v>
      </c>
      <c r="B35" s="193" t="s">
        <v>1523</v>
      </c>
      <c r="C35" s="185" t="s">
        <v>1524</v>
      </c>
      <c r="D35" s="185" t="s">
        <v>105</v>
      </c>
      <c r="E35" s="186">
        <v>2007</v>
      </c>
      <c r="F35" s="185" t="s">
        <v>172</v>
      </c>
      <c r="G35" s="185" t="s">
        <v>179</v>
      </c>
      <c r="H35" s="184" t="s">
        <v>1464</v>
      </c>
      <c r="I35" s="185" t="s">
        <v>452</v>
      </c>
    </row>
    <row r="36" spans="1:11" ht="15.05" customHeight="1">
      <c r="A36" s="185">
        <v>35</v>
      </c>
      <c r="B36" s="193" t="s">
        <v>1525</v>
      </c>
      <c r="D36" s="185" t="s">
        <v>1526</v>
      </c>
      <c r="E36" s="186">
        <v>2012</v>
      </c>
      <c r="F36" s="185" t="s">
        <v>182</v>
      </c>
      <c r="G36" s="185" t="s">
        <v>181</v>
      </c>
      <c r="H36" s="184" t="s">
        <v>1464</v>
      </c>
      <c r="I36" s="185" t="s">
        <v>452</v>
      </c>
    </row>
    <row r="37" spans="1:11" ht="15.05" customHeight="1">
      <c r="A37" s="185">
        <v>36</v>
      </c>
      <c r="B37" s="194" t="s">
        <v>1527</v>
      </c>
      <c r="C37" s="185" t="s">
        <v>1528</v>
      </c>
      <c r="D37" s="185" t="s">
        <v>106</v>
      </c>
      <c r="E37" s="186">
        <v>2014</v>
      </c>
      <c r="F37" s="185" t="s">
        <v>162</v>
      </c>
      <c r="G37" s="185" t="s">
        <v>179</v>
      </c>
      <c r="H37" s="184" t="s">
        <v>1464</v>
      </c>
      <c r="I37" s="185" t="s">
        <v>452</v>
      </c>
      <c r="J37" s="185" t="s">
        <v>452</v>
      </c>
    </row>
    <row r="38" spans="1:11" ht="15.05" customHeight="1">
      <c r="A38" s="185">
        <v>37</v>
      </c>
      <c r="B38" s="193" t="s">
        <v>1529</v>
      </c>
      <c r="C38" s="185" t="s">
        <v>1530</v>
      </c>
      <c r="D38" s="185" t="s">
        <v>1531</v>
      </c>
      <c r="E38" s="186">
        <v>2011</v>
      </c>
      <c r="F38" s="185" t="s">
        <v>162</v>
      </c>
      <c r="G38" s="185" t="s">
        <v>179</v>
      </c>
      <c r="H38" s="184" t="s">
        <v>1464</v>
      </c>
      <c r="I38" s="185" t="s">
        <v>452</v>
      </c>
    </row>
    <row r="39" spans="1:11" ht="15.05" customHeight="1">
      <c r="A39" s="185">
        <v>38</v>
      </c>
      <c r="B39" s="193" t="s">
        <v>1532</v>
      </c>
      <c r="C39" s="185" t="s">
        <v>1533</v>
      </c>
      <c r="D39" s="195" t="s">
        <v>1534</v>
      </c>
      <c r="E39" s="186">
        <v>2013</v>
      </c>
      <c r="F39" s="185" t="s">
        <v>163</v>
      </c>
      <c r="G39" s="185" t="s">
        <v>181</v>
      </c>
      <c r="H39" s="184" t="s">
        <v>1464</v>
      </c>
      <c r="I39" s="185" t="s">
        <v>452</v>
      </c>
      <c r="J39" s="185" t="s">
        <v>452</v>
      </c>
    </row>
    <row r="40" spans="1:11" ht="15.05" customHeight="1">
      <c r="A40" s="185">
        <v>39</v>
      </c>
      <c r="B40" s="193" t="s">
        <v>1535</v>
      </c>
      <c r="C40" s="185" t="s">
        <v>1536</v>
      </c>
      <c r="D40" s="185" t="s">
        <v>110</v>
      </c>
      <c r="E40" s="186">
        <v>2023</v>
      </c>
      <c r="F40" s="185" t="s">
        <v>171</v>
      </c>
      <c r="G40" s="185" t="s">
        <v>186</v>
      </c>
      <c r="H40" s="184" t="s">
        <v>1464</v>
      </c>
      <c r="I40" s="185" t="s">
        <v>452</v>
      </c>
    </row>
    <row r="41" spans="1:11" ht="15.05" customHeight="1">
      <c r="A41" s="185">
        <v>40</v>
      </c>
      <c r="B41" s="193" t="s">
        <v>1537</v>
      </c>
      <c r="D41" s="185" t="s">
        <v>112</v>
      </c>
      <c r="E41" s="186">
        <v>2021</v>
      </c>
      <c r="F41" s="185" t="s">
        <v>172</v>
      </c>
      <c r="G41" s="185" t="s">
        <v>179</v>
      </c>
      <c r="H41" s="184" t="s">
        <v>1472</v>
      </c>
      <c r="I41" s="185" t="s">
        <v>452</v>
      </c>
    </row>
    <row r="42" spans="1:11" ht="15.05" customHeight="1">
      <c r="A42" s="185">
        <v>41</v>
      </c>
      <c r="B42" s="193" t="s">
        <v>1538</v>
      </c>
      <c r="C42" s="185" t="s">
        <v>1539</v>
      </c>
      <c r="D42" s="185" t="s">
        <v>113</v>
      </c>
      <c r="E42" s="186">
        <v>2020</v>
      </c>
      <c r="F42" s="185" t="s">
        <v>172</v>
      </c>
      <c r="G42" s="185" t="s">
        <v>179</v>
      </c>
      <c r="H42" s="184" t="s">
        <v>1464</v>
      </c>
      <c r="I42" s="185" t="s">
        <v>452</v>
      </c>
    </row>
    <row r="43" spans="1:11" ht="15.05" customHeight="1">
      <c r="A43" s="185">
        <v>42</v>
      </c>
      <c r="B43" s="193" t="s">
        <v>1540</v>
      </c>
      <c r="C43" s="185" t="s">
        <v>196</v>
      </c>
      <c r="D43" s="185" t="s">
        <v>1541</v>
      </c>
      <c r="E43" s="186">
        <v>2015</v>
      </c>
      <c r="F43" s="185" t="s">
        <v>177</v>
      </c>
      <c r="G43" s="185" t="s">
        <v>181</v>
      </c>
      <c r="H43" s="184" t="s">
        <v>1464</v>
      </c>
      <c r="J43" s="185" t="s">
        <v>452</v>
      </c>
      <c r="K43" s="185" t="s">
        <v>452</v>
      </c>
    </row>
    <row r="44" spans="1:11" ht="15.05" customHeight="1">
      <c r="A44" s="185">
        <v>43</v>
      </c>
      <c r="B44" s="185" t="s">
        <v>1542</v>
      </c>
      <c r="C44" s="185" t="s">
        <v>1543</v>
      </c>
      <c r="D44" s="185" t="s">
        <v>439</v>
      </c>
      <c r="E44" s="186">
        <v>2016</v>
      </c>
      <c r="F44" s="185" t="s">
        <v>446</v>
      </c>
      <c r="G44" s="185" t="s">
        <v>186</v>
      </c>
      <c r="H44" s="184" t="s">
        <v>1464</v>
      </c>
      <c r="I44" s="185" t="s">
        <v>452</v>
      </c>
      <c r="J44" s="185" t="s">
        <v>452</v>
      </c>
      <c r="K44" s="185" t="s">
        <v>452</v>
      </c>
    </row>
    <row r="45" spans="1:11" ht="15.05" customHeight="1">
      <c r="A45" s="185">
        <v>44</v>
      </c>
      <c r="B45" s="185" t="s">
        <v>1544</v>
      </c>
      <c r="C45" s="185" t="s">
        <v>1545</v>
      </c>
      <c r="D45" s="185" t="s">
        <v>445</v>
      </c>
      <c r="E45" s="186">
        <v>2000</v>
      </c>
      <c r="F45" s="185" t="s">
        <v>182</v>
      </c>
      <c r="G45" s="185" t="s">
        <v>181</v>
      </c>
      <c r="H45" s="184" t="s">
        <v>1464</v>
      </c>
      <c r="J45" s="185" t="s">
        <v>452</v>
      </c>
    </row>
    <row r="46" spans="1:11" ht="15.05" customHeight="1">
      <c r="A46" s="185">
        <v>45</v>
      </c>
      <c r="B46" s="185" t="s">
        <v>1546</v>
      </c>
      <c r="C46" s="196" t="s">
        <v>1547</v>
      </c>
      <c r="D46" s="185" t="s">
        <v>444</v>
      </c>
      <c r="E46" s="186">
        <v>1975</v>
      </c>
      <c r="F46" s="185" t="s">
        <v>178</v>
      </c>
      <c r="G46" s="185" t="s">
        <v>180</v>
      </c>
      <c r="H46" s="184" t="s">
        <v>1464</v>
      </c>
      <c r="J46" s="185" t="s">
        <v>452</v>
      </c>
    </row>
    <row r="47" spans="1:11" ht="15.05" customHeight="1">
      <c r="A47" s="185">
        <v>46</v>
      </c>
      <c r="B47" s="185" t="s">
        <v>1548</v>
      </c>
      <c r="C47" s="185" t="s">
        <v>1549</v>
      </c>
      <c r="D47" s="185" t="s">
        <v>443</v>
      </c>
      <c r="E47" s="186">
        <v>2023</v>
      </c>
      <c r="F47" s="185" t="s">
        <v>488</v>
      </c>
      <c r="G47" s="185" t="s">
        <v>180</v>
      </c>
      <c r="H47" s="184" t="s">
        <v>1464</v>
      </c>
      <c r="J47" s="185" t="s">
        <v>452</v>
      </c>
    </row>
    <row r="48" spans="1:11" ht="15.05" customHeight="1">
      <c r="A48" s="185">
        <v>47</v>
      </c>
      <c r="B48" s="185" t="s">
        <v>1550</v>
      </c>
      <c r="D48" s="185" t="s">
        <v>442</v>
      </c>
      <c r="E48" s="186">
        <v>2007</v>
      </c>
      <c r="F48" s="185" t="s">
        <v>489</v>
      </c>
      <c r="G48" s="185" t="s">
        <v>181</v>
      </c>
      <c r="H48" s="184" t="s">
        <v>1464</v>
      </c>
      <c r="J48" s="185" t="s">
        <v>452</v>
      </c>
    </row>
    <row r="49" spans="1:16" ht="15.05" customHeight="1">
      <c r="A49" s="185">
        <v>48</v>
      </c>
      <c r="B49" s="185" t="s">
        <v>1551</v>
      </c>
      <c r="C49" s="185" t="s">
        <v>1552</v>
      </c>
      <c r="D49" s="185" t="s">
        <v>441</v>
      </c>
      <c r="E49" s="186">
        <v>2006</v>
      </c>
      <c r="F49" s="185" t="s">
        <v>370</v>
      </c>
      <c r="G49" s="185" t="s">
        <v>181</v>
      </c>
      <c r="H49" s="184" t="s">
        <v>1464</v>
      </c>
      <c r="J49" s="185" t="s">
        <v>452</v>
      </c>
    </row>
    <row r="50" spans="1:16" ht="15.05" customHeight="1">
      <c r="A50" s="185">
        <v>49</v>
      </c>
      <c r="B50" s="185" t="s">
        <v>1553</v>
      </c>
      <c r="C50" s="185" t="s">
        <v>1554</v>
      </c>
      <c r="D50" s="185" t="s">
        <v>435</v>
      </c>
      <c r="E50" s="186">
        <v>1999</v>
      </c>
      <c r="F50" s="185" t="s">
        <v>370</v>
      </c>
      <c r="G50" s="185" t="s">
        <v>181</v>
      </c>
      <c r="H50" s="184" t="s">
        <v>1464</v>
      </c>
      <c r="J50" s="185" t="s">
        <v>452</v>
      </c>
    </row>
    <row r="51" spans="1:16" ht="15.05" customHeight="1">
      <c r="A51" s="185">
        <v>50</v>
      </c>
      <c r="B51" s="185" t="s">
        <v>1555</v>
      </c>
      <c r="C51" s="187"/>
      <c r="D51" s="185" t="s">
        <v>438</v>
      </c>
      <c r="E51" s="186">
        <v>2017</v>
      </c>
      <c r="F51" s="185" t="s">
        <v>490</v>
      </c>
      <c r="G51" s="185" t="s">
        <v>179</v>
      </c>
      <c r="H51" s="185" t="s">
        <v>1464</v>
      </c>
      <c r="J51" s="185" t="s">
        <v>452</v>
      </c>
      <c r="P51" s="197"/>
    </row>
    <row r="52" spans="1:16" ht="15.05" customHeight="1">
      <c r="A52" s="185">
        <v>51</v>
      </c>
      <c r="B52" s="185" t="s">
        <v>1556</v>
      </c>
      <c r="C52" s="185" t="s">
        <v>1557</v>
      </c>
      <c r="D52" s="185" t="s">
        <v>1558</v>
      </c>
      <c r="E52" s="186">
        <v>2020</v>
      </c>
      <c r="F52" s="185" t="s">
        <v>491</v>
      </c>
      <c r="G52" s="185" t="s">
        <v>179</v>
      </c>
      <c r="H52" s="184" t="s">
        <v>1464</v>
      </c>
      <c r="J52" s="185" t="s">
        <v>452</v>
      </c>
    </row>
    <row r="53" spans="1:16" ht="15.05" customHeight="1">
      <c r="A53" s="185">
        <v>52</v>
      </c>
      <c r="B53" s="185" t="s">
        <v>1559</v>
      </c>
      <c r="C53" s="185" t="s">
        <v>1560</v>
      </c>
      <c r="D53" s="185" t="s">
        <v>440</v>
      </c>
      <c r="E53" s="186">
        <v>2016</v>
      </c>
      <c r="F53" s="185" t="s">
        <v>184</v>
      </c>
      <c r="G53" s="185" t="s">
        <v>179</v>
      </c>
      <c r="H53" s="184" t="s">
        <v>1464</v>
      </c>
      <c r="J53" s="185" t="s">
        <v>452</v>
      </c>
    </row>
    <row r="54" spans="1:16" ht="15.05" customHeight="1">
      <c r="A54" s="185">
        <v>53</v>
      </c>
      <c r="B54" s="185" t="s">
        <v>1561</v>
      </c>
      <c r="C54" s="185" t="s">
        <v>1562</v>
      </c>
      <c r="D54" s="185" t="s">
        <v>434</v>
      </c>
      <c r="E54" s="186">
        <v>2003</v>
      </c>
      <c r="F54" s="185" t="s">
        <v>175</v>
      </c>
      <c r="G54" s="185" t="s">
        <v>180</v>
      </c>
      <c r="H54" s="184" t="s">
        <v>1464</v>
      </c>
      <c r="J54" s="185" t="s">
        <v>452</v>
      </c>
    </row>
    <row r="55" spans="1:16" ht="15.05" customHeight="1">
      <c r="A55" s="185">
        <v>54</v>
      </c>
      <c r="B55" s="185" t="s">
        <v>1563</v>
      </c>
      <c r="D55" s="185" t="s">
        <v>436</v>
      </c>
      <c r="E55" s="186">
        <v>2000</v>
      </c>
      <c r="F55" s="185" t="s">
        <v>182</v>
      </c>
      <c r="G55" s="185" t="s">
        <v>181</v>
      </c>
      <c r="H55" s="185" t="s">
        <v>1464</v>
      </c>
      <c r="J55" s="185" t="s">
        <v>452</v>
      </c>
    </row>
    <row r="56" spans="1:16" ht="15.05" customHeight="1">
      <c r="A56" s="185">
        <v>55</v>
      </c>
      <c r="B56" s="185" t="s">
        <v>1564</v>
      </c>
      <c r="D56" s="185" t="s">
        <v>437</v>
      </c>
      <c r="E56" s="186">
        <v>2019</v>
      </c>
      <c r="F56" s="185" t="s">
        <v>182</v>
      </c>
      <c r="G56" s="185" t="s">
        <v>181</v>
      </c>
      <c r="H56" s="184" t="s">
        <v>1464</v>
      </c>
      <c r="J56" s="185" t="s">
        <v>452</v>
      </c>
    </row>
    <row r="57" spans="1:16" ht="15.05" customHeight="1">
      <c r="A57" s="185">
        <v>56</v>
      </c>
      <c r="B57" s="185" t="s">
        <v>1565</v>
      </c>
      <c r="C57" s="185" t="s">
        <v>1566</v>
      </c>
      <c r="D57" s="185" t="s">
        <v>1567</v>
      </c>
      <c r="E57" s="186">
        <v>2020</v>
      </c>
      <c r="F57" s="185" t="s">
        <v>449</v>
      </c>
      <c r="G57" s="185" t="s">
        <v>181</v>
      </c>
      <c r="H57" s="184" t="s">
        <v>1464</v>
      </c>
      <c r="J57" s="185" t="s">
        <v>452</v>
      </c>
    </row>
    <row r="58" spans="1:16" ht="15.05" customHeight="1">
      <c r="A58" s="185">
        <v>57</v>
      </c>
      <c r="B58" s="185" t="s">
        <v>1568</v>
      </c>
      <c r="C58" s="185" t="s">
        <v>1569</v>
      </c>
      <c r="D58" s="185" t="s">
        <v>1160</v>
      </c>
      <c r="E58" s="186">
        <v>2021</v>
      </c>
      <c r="F58" s="185" t="s">
        <v>1159</v>
      </c>
      <c r="G58" s="185" t="s">
        <v>1158</v>
      </c>
      <c r="H58" s="184" t="s">
        <v>1464</v>
      </c>
      <c r="K58" s="185" t="s">
        <v>452</v>
      </c>
    </row>
    <row r="59" spans="1:16" ht="15.05" customHeight="1">
      <c r="A59" s="185">
        <v>58</v>
      </c>
      <c r="B59" s="185" t="s">
        <v>1570</v>
      </c>
      <c r="C59" s="185" t="s">
        <v>1571</v>
      </c>
      <c r="D59" s="185" t="s">
        <v>1157</v>
      </c>
      <c r="E59" s="186">
        <v>2020</v>
      </c>
      <c r="F59" s="185" t="s">
        <v>1077</v>
      </c>
      <c r="G59" s="185" t="s">
        <v>1065</v>
      </c>
      <c r="H59" s="184" t="s">
        <v>1464</v>
      </c>
      <c r="K59" s="185" t="s">
        <v>452</v>
      </c>
    </row>
    <row r="60" spans="1:16" ht="15.05" customHeight="1">
      <c r="A60" s="185">
        <v>59</v>
      </c>
      <c r="B60" s="185" t="s">
        <v>1572</v>
      </c>
      <c r="C60" s="185" t="s">
        <v>1156</v>
      </c>
      <c r="D60" s="185" t="s">
        <v>1155</v>
      </c>
      <c r="E60" s="186">
        <v>2022</v>
      </c>
      <c r="F60" s="185" t="s">
        <v>1131</v>
      </c>
      <c r="G60" s="185" t="s">
        <v>1086</v>
      </c>
      <c r="H60" s="184" t="s">
        <v>1464</v>
      </c>
      <c r="K60" s="185" t="s">
        <v>452</v>
      </c>
    </row>
    <row r="61" spans="1:16" ht="15.05" customHeight="1">
      <c r="A61" s="185">
        <v>60</v>
      </c>
      <c r="B61" s="185" t="s">
        <v>1573</v>
      </c>
      <c r="C61" s="185" t="s">
        <v>1574</v>
      </c>
      <c r="D61" s="185" t="s">
        <v>1154</v>
      </c>
      <c r="E61" s="186">
        <v>2021</v>
      </c>
      <c r="F61" s="185" t="s">
        <v>1169</v>
      </c>
      <c r="G61" s="185" t="s">
        <v>1068</v>
      </c>
      <c r="H61" s="184" t="s">
        <v>1464</v>
      </c>
      <c r="K61" s="185" t="s">
        <v>452</v>
      </c>
    </row>
    <row r="62" spans="1:16" ht="15.05" customHeight="1">
      <c r="A62" s="185">
        <v>61</v>
      </c>
      <c r="B62" s="185" t="s">
        <v>1575</v>
      </c>
      <c r="C62" s="185" t="s">
        <v>1576</v>
      </c>
      <c r="D62" s="185" t="s">
        <v>1153</v>
      </c>
      <c r="E62" s="186">
        <v>2018</v>
      </c>
      <c r="F62" s="185" t="s">
        <v>1164</v>
      </c>
      <c r="G62" s="185" t="s">
        <v>1065</v>
      </c>
      <c r="H62" s="184" t="s">
        <v>1464</v>
      </c>
      <c r="K62" s="185" t="s">
        <v>452</v>
      </c>
    </row>
    <row r="63" spans="1:16" ht="15.05" customHeight="1">
      <c r="A63" s="185">
        <v>62</v>
      </c>
      <c r="B63" s="185" t="s">
        <v>1577</v>
      </c>
      <c r="C63" s="185" t="s">
        <v>1578</v>
      </c>
      <c r="D63" s="185" t="s">
        <v>1152</v>
      </c>
      <c r="E63" s="186">
        <v>2020</v>
      </c>
      <c r="F63" s="185" t="s">
        <v>177</v>
      </c>
      <c r="G63" s="185" t="s">
        <v>181</v>
      </c>
      <c r="H63" s="184" t="s">
        <v>1464</v>
      </c>
      <c r="K63" s="185" t="s">
        <v>452</v>
      </c>
    </row>
    <row r="64" spans="1:16" ht="15.05" customHeight="1">
      <c r="A64" s="185">
        <v>63</v>
      </c>
      <c r="B64" s="185" t="s">
        <v>1579</v>
      </c>
      <c r="C64" s="185" t="s">
        <v>1580</v>
      </c>
      <c r="D64" s="185" t="s">
        <v>1151</v>
      </c>
      <c r="E64" s="186">
        <v>2022</v>
      </c>
      <c r="F64" s="185" t="s">
        <v>1104</v>
      </c>
      <c r="G64" s="185" t="s">
        <v>1068</v>
      </c>
      <c r="H64" s="184" t="s">
        <v>1464</v>
      </c>
      <c r="K64" s="185" t="s">
        <v>452</v>
      </c>
    </row>
    <row r="65" spans="1:11" ht="15.05" customHeight="1">
      <c r="A65" s="185">
        <v>64</v>
      </c>
      <c r="B65" s="185" t="s">
        <v>1581</v>
      </c>
      <c r="C65" s="185" t="s">
        <v>1582</v>
      </c>
      <c r="D65" s="185" t="s">
        <v>1150</v>
      </c>
      <c r="E65" s="186">
        <v>2017</v>
      </c>
      <c r="F65" s="185" t="s">
        <v>370</v>
      </c>
      <c r="G65" s="185" t="s">
        <v>1068</v>
      </c>
      <c r="H65" s="184" t="s">
        <v>1464</v>
      </c>
      <c r="K65" s="185" t="s">
        <v>452</v>
      </c>
    </row>
    <row r="66" spans="1:11" ht="15.05" customHeight="1">
      <c r="A66" s="185">
        <v>65</v>
      </c>
      <c r="B66" s="185" t="s">
        <v>1583</v>
      </c>
      <c r="C66" s="185" t="s">
        <v>1584</v>
      </c>
      <c r="D66" s="185" t="s">
        <v>1149</v>
      </c>
      <c r="E66" s="186">
        <v>2021</v>
      </c>
      <c r="F66" s="185" t="s">
        <v>188</v>
      </c>
      <c r="G66" s="185" t="s">
        <v>181</v>
      </c>
      <c r="H66" s="184" t="s">
        <v>1464</v>
      </c>
      <c r="K66" s="185" t="s">
        <v>452</v>
      </c>
    </row>
    <row r="67" spans="1:11" ht="15.05" customHeight="1">
      <c r="A67" s="185">
        <v>66</v>
      </c>
      <c r="B67" s="185" t="s">
        <v>1585</v>
      </c>
      <c r="C67" s="185" t="s">
        <v>1148</v>
      </c>
      <c r="D67" s="185" t="s">
        <v>1147</v>
      </c>
      <c r="E67" s="186">
        <v>2022</v>
      </c>
      <c r="F67" s="185" t="s">
        <v>1146</v>
      </c>
      <c r="G67" s="185" t="s">
        <v>1065</v>
      </c>
      <c r="H67" s="184" t="s">
        <v>1464</v>
      </c>
      <c r="K67" s="185" t="s">
        <v>452</v>
      </c>
    </row>
    <row r="68" spans="1:11" ht="15.05" customHeight="1">
      <c r="A68" s="185">
        <v>67</v>
      </c>
      <c r="B68" s="185" t="s">
        <v>1586</v>
      </c>
      <c r="C68" s="185" t="s">
        <v>1145</v>
      </c>
      <c r="D68" s="185" t="s">
        <v>1173</v>
      </c>
      <c r="E68" s="186">
        <v>2017</v>
      </c>
      <c r="F68" s="185" t="s">
        <v>1144</v>
      </c>
      <c r="G68" s="185" t="s">
        <v>1065</v>
      </c>
      <c r="H68" s="184" t="s">
        <v>1464</v>
      </c>
      <c r="K68" s="185" t="s">
        <v>452</v>
      </c>
    </row>
    <row r="69" spans="1:11" ht="15.05" customHeight="1">
      <c r="A69" s="185">
        <v>68</v>
      </c>
      <c r="B69" s="185" t="s">
        <v>1587</v>
      </c>
      <c r="C69" s="185" t="s">
        <v>1588</v>
      </c>
      <c r="D69" s="185" t="s">
        <v>1143</v>
      </c>
      <c r="E69" s="186">
        <v>2017</v>
      </c>
      <c r="F69" s="185" t="s">
        <v>1071</v>
      </c>
      <c r="G69" s="185" t="s">
        <v>1065</v>
      </c>
      <c r="H69" s="184" t="s">
        <v>1464</v>
      </c>
      <c r="K69" s="185" t="s">
        <v>452</v>
      </c>
    </row>
    <row r="70" spans="1:11" ht="15.05" customHeight="1">
      <c r="A70" s="185">
        <v>69</v>
      </c>
      <c r="B70" s="185" t="s">
        <v>1589</v>
      </c>
      <c r="D70" s="185" t="s">
        <v>1142</v>
      </c>
      <c r="E70" s="186" t="s">
        <v>1032</v>
      </c>
      <c r="F70" s="185" t="s">
        <v>1032</v>
      </c>
      <c r="G70" s="185" t="s">
        <v>1032</v>
      </c>
      <c r="H70" s="184" t="s">
        <v>1472</v>
      </c>
      <c r="K70" s="185" t="s">
        <v>452</v>
      </c>
    </row>
    <row r="71" spans="1:11" ht="15.05" customHeight="1">
      <c r="A71" s="185">
        <v>70</v>
      </c>
      <c r="B71" s="185" t="s">
        <v>1141</v>
      </c>
      <c r="D71" s="185" t="s">
        <v>1140</v>
      </c>
      <c r="E71" s="186" t="s">
        <v>1032</v>
      </c>
      <c r="F71" s="185" t="s">
        <v>1032</v>
      </c>
      <c r="G71" s="185" t="s">
        <v>1032</v>
      </c>
      <c r="H71" s="184" t="s">
        <v>1472</v>
      </c>
      <c r="K71" s="185" t="s">
        <v>452</v>
      </c>
    </row>
    <row r="72" spans="1:11" ht="15.05" customHeight="1">
      <c r="A72" s="185">
        <v>71</v>
      </c>
      <c r="B72" s="185" t="s">
        <v>1590</v>
      </c>
      <c r="D72" s="185" t="s">
        <v>1139</v>
      </c>
      <c r="E72" s="186" t="s">
        <v>1032</v>
      </c>
      <c r="F72" s="185" t="s">
        <v>1032</v>
      </c>
      <c r="G72" s="185" t="s">
        <v>1032</v>
      </c>
      <c r="H72" s="184" t="s">
        <v>1472</v>
      </c>
      <c r="K72" s="185" t="s">
        <v>452</v>
      </c>
    </row>
    <row r="73" spans="1:11" ht="15.05" customHeight="1">
      <c r="A73" s="185">
        <v>72</v>
      </c>
      <c r="B73" s="185" t="s">
        <v>1591</v>
      </c>
      <c r="D73" s="185" t="s">
        <v>1138</v>
      </c>
      <c r="E73" s="186" t="s">
        <v>1032</v>
      </c>
      <c r="F73" s="185" t="s">
        <v>1109</v>
      </c>
      <c r="G73" s="185" t="s">
        <v>1068</v>
      </c>
      <c r="H73" s="184" t="s">
        <v>1472</v>
      </c>
      <c r="K73" s="185" t="s">
        <v>452</v>
      </c>
    </row>
    <row r="74" spans="1:11" ht="15.05" customHeight="1">
      <c r="A74" s="185">
        <v>73</v>
      </c>
      <c r="B74" s="185" t="s">
        <v>1592</v>
      </c>
      <c r="D74" s="185" t="s">
        <v>1137</v>
      </c>
      <c r="E74" s="186" t="s">
        <v>1032</v>
      </c>
      <c r="F74" s="185" t="s">
        <v>1032</v>
      </c>
      <c r="G74" s="185" t="s">
        <v>1032</v>
      </c>
      <c r="H74" s="184" t="s">
        <v>1472</v>
      </c>
      <c r="K74" s="185" t="s">
        <v>452</v>
      </c>
    </row>
    <row r="75" spans="1:11" ht="15.05" customHeight="1">
      <c r="A75" s="185">
        <v>74</v>
      </c>
      <c r="B75" s="185" t="s">
        <v>1593</v>
      </c>
      <c r="D75" s="185" t="s">
        <v>1136</v>
      </c>
      <c r="E75" s="186" t="s">
        <v>1032</v>
      </c>
      <c r="F75" s="185" t="s">
        <v>1032</v>
      </c>
      <c r="G75" s="185" t="s">
        <v>1032</v>
      </c>
      <c r="H75" s="184" t="s">
        <v>1472</v>
      </c>
      <c r="K75" s="185" t="s">
        <v>452</v>
      </c>
    </row>
    <row r="76" spans="1:11" ht="15.05" customHeight="1">
      <c r="A76" s="185">
        <v>75</v>
      </c>
      <c r="B76" s="185" t="s">
        <v>1135</v>
      </c>
      <c r="D76" s="187" t="s">
        <v>1949</v>
      </c>
      <c r="E76" s="186" t="s">
        <v>1032</v>
      </c>
      <c r="F76" s="185" t="s">
        <v>1128</v>
      </c>
      <c r="G76" s="185" t="s">
        <v>1128</v>
      </c>
      <c r="H76" s="184" t="s">
        <v>1472</v>
      </c>
      <c r="K76" s="185" t="s">
        <v>452</v>
      </c>
    </row>
    <row r="77" spans="1:11" ht="15.05" customHeight="1">
      <c r="A77" s="185">
        <v>76</v>
      </c>
      <c r="B77" s="185" t="s">
        <v>1594</v>
      </c>
      <c r="C77" s="185" t="s">
        <v>1595</v>
      </c>
      <c r="D77" s="185" t="s">
        <v>1134</v>
      </c>
      <c r="E77" s="186">
        <v>2017</v>
      </c>
      <c r="F77" s="185" t="s">
        <v>1069</v>
      </c>
      <c r="G77" s="185" t="s">
        <v>1068</v>
      </c>
      <c r="H77" s="184" t="s">
        <v>1464</v>
      </c>
      <c r="K77" s="185" t="s">
        <v>452</v>
      </c>
    </row>
    <row r="78" spans="1:11" ht="15.05" customHeight="1">
      <c r="A78" s="185">
        <v>77</v>
      </c>
      <c r="B78" s="185" t="s">
        <v>1596</v>
      </c>
      <c r="C78" s="185" t="s">
        <v>1133</v>
      </c>
      <c r="D78" s="185" t="s">
        <v>1132</v>
      </c>
      <c r="E78" s="186">
        <v>2016</v>
      </c>
      <c r="F78" s="185" t="s">
        <v>1131</v>
      </c>
      <c r="G78" s="185" t="s">
        <v>1086</v>
      </c>
      <c r="H78" s="184" t="s">
        <v>1464</v>
      </c>
      <c r="K78" s="185" t="s">
        <v>452</v>
      </c>
    </row>
    <row r="79" spans="1:11" ht="15.05" customHeight="1">
      <c r="A79" s="185">
        <v>78</v>
      </c>
      <c r="B79" s="185" t="s">
        <v>1597</v>
      </c>
      <c r="C79" s="198"/>
      <c r="D79" s="185" t="s">
        <v>1130</v>
      </c>
      <c r="E79" s="186">
        <v>2015</v>
      </c>
      <c r="F79" s="185" t="s">
        <v>188</v>
      </c>
      <c r="G79" s="185" t="s">
        <v>1065</v>
      </c>
      <c r="H79" s="184" t="s">
        <v>1464</v>
      </c>
      <c r="K79" s="185" t="s">
        <v>452</v>
      </c>
    </row>
    <row r="80" spans="1:11" ht="15.05" customHeight="1">
      <c r="A80" s="185">
        <v>79</v>
      </c>
      <c r="B80" s="185" t="s">
        <v>1598</v>
      </c>
      <c r="C80" s="185" t="s">
        <v>1599</v>
      </c>
      <c r="D80" s="185" t="s">
        <v>1129</v>
      </c>
      <c r="E80" s="186">
        <v>2021</v>
      </c>
      <c r="F80" s="185" t="s">
        <v>1077</v>
      </c>
      <c r="G80" s="185" t="s">
        <v>1065</v>
      </c>
      <c r="H80" s="184" t="s">
        <v>1464</v>
      </c>
      <c r="K80" s="185" t="s">
        <v>452</v>
      </c>
    </row>
    <row r="81" spans="1:16" ht="15.05" customHeight="1">
      <c r="A81" s="185">
        <v>80</v>
      </c>
      <c r="B81" s="185" t="s">
        <v>1600</v>
      </c>
      <c r="C81" s="185" t="s">
        <v>1601</v>
      </c>
      <c r="D81" s="185" t="s">
        <v>1199</v>
      </c>
      <c r="E81" s="186">
        <v>2024</v>
      </c>
      <c r="F81" s="185" t="s">
        <v>1128</v>
      </c>
      <c r="G81" s="185" t="s">
        <v>1128</v>
      </c>
      <c r="H81" s="184" t="s">
        <v>1464</v>
      </c>
      <c r="K81" s="185" t="s">
        <v>452</v>
      </c>
    </row>
    <row r="82" spans="1:16" ht="15.05" customHeight="1">
      <c r="A82" s="185">
        <v>81</v>
      </c>
      <c r="B82" s="185" t="s">
        <v>1602</v>
      </c>
      <c r="C82" s="185" t="s">
        <v>1603</v>
      </c>
      <c r="D82" s="185" t="s">
        <v>1127</v>
      </c>
      <c r="E82" s="186">
        <v>2021</v>
      </c>
      <c r="F82" s="199" t="s">
        <v>1126</v>
      </c>
      <c r="G82" s="185" t="s">
        <v>1068</v>
      </c>
      <c r="H82" s="184" t="s">
        <v>1464</v>
      </c>
      <c r="I82" s="185" t="s">
        <v>452</v>
      </c>
      <c r="K82" s="185" t="s">
        <v>452</v>
      </c>
    </row>
    <row r="83" spans="1:16" ht="15.05" customHeight="1">
      <c r="A83" s="185">
        <v>82</v>
      </c>
      <c r="B83" s="185" t="s">
        <v>1604</v>
      </c>
      <c r="C83" s="185" t="s">
        <v>1605</v>
      </c>
      <c r="D83" s="185" t="s">
        <v>1125</v>
      </c>
      <c r="E83" s="186">
        <v>1993</v>
      </c>
      <c r="F83" s="185" t="s">
        <v>1124</v>
      </c>
      <c r="G83" s="185" t="s">
        <v>1065</v>
      </c>
      <c r="H83" s="184" t="s">
        <v>1464</v>
      </c>
      <c r="K83" s="185" t="s">
        <v>452</v>
      </c>
    </row>
    <row r="84" spans="1:16" ht="15.05" customHeight="1">
      <c r="A84" s="185">
        <v>83</v>
      </c>
      <c r="B84" s="185" t="s">
        <v>1606</v>
      </c>
      <c r="C84" s="185" t="s">
        <v>1607</v>
      </c>
      <c r="D84" s="185" t="s">
        <v>1123</v>
      </c>
      <c r="E84" s="186">
        <v>2021</v>
      </c>
      <c r="F84" s="185" t="s">
        <v>188</v>
      </c>
      <c r="G84" s="185" t="s">
        <v>181</v>
      </c>
      <c r="H84" s="184" t="s">
        <v>1464</v>
      </c>
      <c r="K84" s="185" t="s">
        <v>452</v>
      </c>
    </row>
    <row r="85" spans="1:16" ht="15.05" customHeight="1">
      <c r="A85" s="185">
        <v>84</v>
      </c>
      <c r="B85" s="185" t="s">
        <v>1608</v>
      </c>
      <c r="C85" s="185" t="s">
        <v>1609</v>
      </c>
      <c r="D85" s="185" t="s">
        <v>1610</v>
      </c>
      <c r="E85" s="186">
        <v>2022</v>
      </c>
      <c r="F85" s="185" t="s">
        <v>1071</v>
      </c>
      <c r="G85" s="185" t="s">
        <v>1065</v>
      </c>
      <c r="H85" s="184" t="s">
        <v>1464</v>
      </c>
      <c r="K85" s="185" t="s">
        <v>452</v>
      </c>
    </row>
    <row r="86" spans="1:16" ht="15.05" customHeight="1">
      <c r="A86" s="185">
        <v>85</v>
      </c>
      <c r="B86" s="184" t="s">
        <v>1611</v>
      </c>
      <c r="D86" s="185" t="s">
        <v>1122</v>
      </c>
      <c r="E86" s="186">
        <v>2008</v>
      </c>
      <c r="F86" s="185" t="s">
        <v>1121</v>
      </c>
      <c r="G86" s="185" t="s">
        <v>1075</v>
      </c>
      <c r="H86" s="184" t="s">
        <v>1464</v>
      </c>
      <c r="K86" s="185" t="s">
        <v>452</v>
      </c>
      <c r="P86" s="197"/>
    </row>
    <row r="87" spans="1:16" ht="15.05" customHeight="1">
      <c r="A87" s="185">
        <v>86</v>
      </c>
      <c r="B87" s="185" t="s">
        <v>1612</v>
      </c>
      <c r="C87" s="185" t="s">
        <v>1613</v>
      </c>
      <c r="D87" s="185" t="s">
        <v>1120</v>
      </c>
      <c r="E87" s="186">
        <v>2013</v>
      </c>
      <c r="F87" s="185" t="s">
        <v>1077</v>
      </c>
      <c r="G87" s="185" t="s">
        <v>1065</v>
      </c>
      <c r="H87" s="184" t="s">
        <v>1464</v>
      </c>
      <c r="K87" s="185" t="s">
        <v>452</v>
      </c>
    </row>
    <row r="88" spans="1:16" ht="15.05" customHeight="1">
      <c r="A88" s="185">
        <v>87</v>
      </c>
      <c r="B88" s="185" t="s">
        <v>1614</v>
      </c>
      <c r="C88" s="185" t="s">
        <v>1615</v>
      </c>
      <c r="D88" s="185" t="s">
        <v>1119</v>
      </c>
      <c r="E88" s="186">
        <v>2004</v>
      </c>
      <c r="F88" s="185" t="s">
        <v>195</v>
      </c>
      <c r="G88" s="185" t="s">
        <v>1068</v>
      </c>
      <c r="H88" s="184" t="s">
        <v>1464</v>
      </c>
      <c r="K88" s="185" t="s">
        <v>452</v>
      </c>
    </row>
    <row r="89" spans="1:16" ht="15.05" customHeight="1">
      <c r="A89" s="185">
        <v>88</v>
      </c>
      <c r="B89" s="185" t="s">
        <v>1616</v>
      </c>
      <c r="C89" s="185" t="s">
        <v>1617</v>
      </c>
      <c r="D89" s="185" t="s">
        <v>89</v>
      </c>
      <c r="E89" s="186">
        <v>2001</v>
      </c>
      <c r="F89" s="185" t="s">
        <v>1118</v>
      </c>
      <c r="G89" s="185" t="s">
        <v>1068</v>
      </c>
      <c r="H89" s="184" t="s">
        <v>1464</v>
      </c>
      <c r="J89" s="200"/>
      <c r="K89" s="185" t="s">
        <v>452</v>
      </c>
    </row>
    <row r="90" spans="1:16" ht="15.05" customHeight="1">
      <c r="A90" s="185">
        <v>89</v>
      </c>
      <c r="B90" s="185" t="s">
        <v>1618</v>
      </c>
      <c r="C90" s="185" t="s">
        <v>1619</v>
      </c>
      <c r="D90" s="185" t="s">
        <v>1117</v>
      </c>
      <c r="E90" s="186">
        <v>2023</v>
      </c>
      <c r="F90" s="185" t="s">
        <v>1620</v>
      </c>
      <c r="G90" s="185" t="s">
        <v>179</v>
      </c>
      <c r="H90" s="184" t="s">
        <v>1464</v>
      </c>
      <c r="K90" s="185" t="s">
        <v>452</v>
      </c>
    </row>
    <row r="91" spans="1:16" ht="15.05" customHeight="1">
      <c r="A91" s="185">
        <v>90</v>
      </c>
      <c r="B91" s="185" t="s">
        <v>1621</v>
      </c>
      <c r="C91" s="185" t="s">
        <v>1622</v>
      </c>
      <c r="D91" s="185" t="s">
        <v>1116</v>
      </c>
      <c r="E91" s="186">
        <v>2017</v>
      </c>
      <c r="F91" s="185" t="s">
        <v>1069</v>
      </c>
      <c r="G91" s="185" t="s">
        <v>1068</v>
      </c>
      <c r="H91" s="184" t="s">
        <v>1464</v>
      </c>
      <c r="K91" s="185" t="s">
        <v>452</v>
      </c>
    </row>
    <row r="92" spans="1:16" ht="15.05" customHeight="1">
      <c r="A92" s="185">
        <v>91</v>
      </c>
      <c r="B92" s="185" t="s">
        <v>1623</v>
      </c>
      <c r="C92" s="185" t="s">
        <v>1624</v>
      </c>
      <c r="D92" s="185" t="s">
        <v>1115</v>
      </c>
      <c r="E92" s="186">
        <v>2021</v>
      </c>
      <c r="F92" s="185" t="s">
        <v>1114</v>
      </c>
      <c r="G92" s="185" t="s">
        <v>1075</v>
      </c>
      <c r="H92" s="184" t="s">
        <v>1464</v>
      </c>
      <c r="K92" s="185" t="s">
        <v>452</v>
      </c>
    </row>
    <row r="93" spans="1:16" ht="15.05" customHeight="1">
      <c r="A93" s="185">
        <v>92</v>
      </c>
      <c r="B93" s="185" t="s">
        <v>1625</v>
      </c>
      <c r="C93" s="185" t="s">
        <v>1626</v>
      </c>
      <c r="D93" s="185" t="s">
        <v>1113</v>
      </c>
      <c r="E93" s="186">
        <v>2020</v>
      </c>
      <c r="F93" s="199" t="s">
        <v>1112</v>
      </c>
      <c r="G93" s="185" t="s">
        <v>1065</v>
      </c>
      <c r="H93" s="184" t="s">
        <v>1464</v>
      </c>
      <c r="K93" s="185" t="s">
        <v>452</v>
      </c>
    </row>
    <row r="94" spans="1:16" ht="15.05" customHeight="1">
      <c r="A94" s="185">
        <v>93</v>
      </c>
      <c r="B94" s="185" t="s">
        <v>1627</v>
      </c>
      <c r="C94" s="185" t="s">
        <v>1201</v>
      </c>
      <c r="D94" s="185" t="s">
        <v>1202</v>
      </c>
      <c r="E94" s="186">
        <v>2018</v>
      </c>
      <c r="F94" s="185" t="s">
        <v>188</v>
      </c>
      <c r="G94" s="185" t="s">
        <v>181</v>
      </c>
      <c r="H94" s="184" t="s">
        <v>1464</v>
      </c>
      <c r="K94" s="185" t="s">
        <v>452</v>
      </c>
    </row>
    <row r="95" spans="1:16" ht="15.05" customHeight="1">
      <c r="A95" s="185">
        <v>94</v>
      </c>
      <c r="B95" s="185" t="s">
        <v>1628</v>
      </c>
      <c r="C95" s="185" t="s">
        <v>1629</v>
      </c>
      <c r="D95" s="185" t="s">
        <v>1111</v>
      </c>
      <c r="E95" s="186">
        <v>2008</v>
      </c>
      <c r="F95" s="185" t="s">
        <v>1110</v>
      </c>
      <c r="G95" s="185" t="s">
        <v>1068</v>
      </c>
      <c r="H95" s="184" t="s">
        <v>1464</v>
      </c>
      <c r="K95" s="185" t="s">
        <v>452</v>
      </c>
    </row>
    <row r="96" spans="1:16" ht="15.05" customHeight="1">
      <c r="A96" s="185">
        <v>95</v>
      </c>
      <c r="B96" s="185" t="s">
        <v>1630</v>
      </c>
      <c r="C96" s="185" t="s">
        <v>1206</v>
      </c>
      <c r="D96" s="185" t="s">
        <v>1205</v>
      </c>
      <c r="E96" s="186">
        <v>2019</v>
      </c>
      <c r="F96" s="185" t="s">
        <v>178</v>
      </c>
      <c r="G96" s="185" t="s">
        <v>180</v>
      </c>
      <c r="H96" s="184" t="s">
        <v>1464</v>
      </c>
      <c r="K96" s="185" t="s">
        <v>452</v>
      </c>
    </row>
    <row r="97" spans="1:11" ht="15.05" customHeight="1">
      <c r="A97" s="185">
        <v>96</v>
      </c>
      <c r="B97" s="185" t="s">
        <v>1631</v>
      </c>
      <c r="D97" s="185" t="s">
        <v>1108</v>
      </c>
      <c r="E97" s="186">
        <v>2013</v>
      </c>
      <c r="F97" s="185" t="s">
        <v>1107</v>
      </c>
      <c r="G97" s="185" t="s">
        <v>1086</v>
      </c>
      <c r="H97" s="184" t="s">
        <v>1464</v>
      </c>
      <c r="K97" s="185" t="s">
        <v>452</v>
      </c>
    </row>
    <row r="98" spans="1:11" ht="15.05" customHeight="1">
      <c r="A98" s="185">
        <v>97</v>
      </c>
      <c r="B98" s="185" t="s">
        <v>1632</v>
      </c>
      <c r="C98" s="185" t="s">
        <v>1633</v>
      </c>
      <c r="D98" s="185" t="s">
        <v>1106</v>
      </c>
      <c r="E98" s="186">
        <v>2011</v>
      </c>
      <c r="F98" s="185" t="s">
        <v>1071</v>
      </c>
      <c r="G98" s="185" t="s">
        <v>1065</v>
      </c>
      <c r="H98" s="184" t="s">
        <v>1464</v>
      </c>
      <c r="K98" s="185" t="s">
        <v>452</v>
      </c>
    </row>
    <row r="99" spans="1:11" ht="15.05" customHeight="1">
      <c r="A99" s="185">
        <v>98</v>
      </c>
      <c r="B99" s="185" t="s">
        <v>1634</v>
      </c>
      <c r="C99" s="185" t="s">
        <v>1635</v>
      </c>
      <c r="D99" s="185" t="s">
        <v>1105</v>
      </c>
      <c r="E99" s="186">
        <v>2022</v>
      </c>
      <c r="F99" s="201" t="s">
        <v>1104</v>
      </c>
      <c r="G99" s="185" t="s">
        <v>1068</v>
      </c>
      <c r="H99" s="184" t="s">
        <v>1464</v>
      </c>
      <c r="K99" s="185" t="s">
        <v>452</v>
      </c>
    </row>
    <row r="100" spans="1:11" ht="15.05" customHeight="1">
      <c r="A100" s="185">
        <v>99</v>
      </c>
      <c r="B100" s="185" t="s">
        <v>1636</v>
      </c>
      <c r="C100" s="185" t="s">
        <v>1637</v>
      </c>
      <c r="D100" s="185" t="s">
        <v>1103</v>
      </c>
      <c r="E100" s="186">
        <v>2023</v>
      </c>
      <c r="F100" s="185" t="s">
        <v>182</v>
      </c>
      <c r="G100" s="185" t="s">
        <v>1065</v>
      </c>
      <c r="H100" s="184" t="s">
        <v>1464</v>
      </c>
      <c r="K100" s="185" t="s">
        <v>452</v>
      </c>
    </row>
    <row r="101" spans="1:11" ht="15.05" customHeight="1">
      <c r="A101" s="185">
        <v>100</v>
      </c>
      <c r="B101" s="185" t="s">
        <v>1638</v>
      </c>
      <c r="C101" s="185" t="s">
        <v>1639</v>
      </c>
      <c r="D101" s="185" t="s">
        <v>1102</v>
      </c>
      <c r="E101" s="186">
        <v>2023</v>
      </c>
      <c r="F101" s="185" t="s">
        <v>1640</v>
      </c>
      <c r="G101" s="185" t="s">
        <v>181</v>
      </c>
      <c r="H101" s="184" t="s">
        <v>1464</v>
      </c>
      <c r="K101" s="185" t="s">
        <v>452</v>
      </c>
    </row>
    <row r="102" spans="1:11" ht="15.05" customHeight="1">
      <c r="A102" s="185">
        <v>101</v>
      </c>
      <c r="B102" s="185" t="s">
        <v>1641</v>
      </c>
      <c r="C102" s="185" t="s">
        <v>1642</v>
      </c>
      <c r="D102" s="185" t="s">
        <v>1101</v>
      </c>
      <c r="E102" s="186">
        <v>2021</v>
      </c>
      <c r="F102" s="185" t="s">
        <v>1643</v>
      </c>
      <c r="G102" s="185" t="s">
        <v>181</v>
      </c>
      <c r="H102" s="184" t="s">
        <v>1464</v>
      </c>
      <c r="K102" s="185" t="s">
        <v>452</v>
      </c>
    </row>
    <row r="103" spans="1:11" ht="15.05" customHeight="1">
      <c r="A103" s="185">
        <v>102</v>
      </c>
      <c r="B103" s="185" t="s">
        <v>1644</v>
      </c>
      <c r="C103" s="185" t="s">
        <v>1645</v>
      </c>
      <c r="D103" s="185" t="s">
        <v>1100</v>
      </c>
      <c r="E103" s="186">
        <v>2018</v>
      </c>
      <c r="F103" s="185" t="s">
        <v>1077</v>
      </c>
      <c r="G103" s="185" t="s">
        <v>1065</v>
      </c>
      <c r="H103" s="184" t="s">
        <v>1464</v>
      </c>
      <c r="K103" s="185" t="s">
        <v>452</v>
      </c>
    </row>
    <row r="104" spans="1:11" ht="15.05" customHeight="1">
      <c r="A104" s="185">
        <v>103</v>
      </c>
      <c r="B104" s="185" t="s">
        <v>1646</v>
      </c>
      <c r="C104" s="185" t="s">
        <v>1647</v>
      </c>
      <c r="D104" s="185" t="s">
        <v>1099</v>
      </c>
      <c r="E104" s="186">
        <v>2015</v>
      </c>
      <c r="F104" s="185" t="s">
        <v>1077</v>
      </c>
      <c r="G104" s="185" t="s">
        <v>1065</v>
      </c>
      <c r="H104" s="184" t="s">
        <v>1464</v>
      </c>
      <c r="K104" s="185" t="s">
        <v>452</v>
      </c>
    </row>
    <row r="105" spans="1:11" ht="15.05" customHeight="1">
      <c r="A105" s="185">
        <v>104</v>
      </c>
      <c r="B105" s="185" t="s">
        <v>1648</v>
      </c>
      <c r="C105" s="185" t="s">
        <v>1649</v>
      </c>
      <c r="D105" s="185" t="s">
        <v>1098</v>
      </c>
      <c r="E105" s="186">
        <v>2021</v>
      </c>
      <c r="F105" s="185" t="s">
        <v>1077</v>
      </c>
      <c r="G105" s="185" t="s">
        <v>1065</v>
      </c>
      <c r="H105" s="184" t="s">
        <v>1464</v>
      </c>
      <c r="K105" s="185" t="s">
        <v>452</v>
      </c>
    </row>
    <row r="106" spans="1:11" ht="15.05" customHeight="1">
      <c r="A106" s="185">
        <v>105</v>
      </c>
      <c r="B106" s="185" t="s">
        <v>1650</v>
      </c>
      <c r="C106" s="185" t="s">
        <v>1651</v>
      </c>
      <c r="D106" s="185" t="s">
        <v>1097</v>
      </c>
      <c r="E106" s="186">
        <v>2020</v>
      </c>
      <c r="F106" s="185" t="s">
        <v>1077</v>
      </c>
      <c r="G106" s="185" t="s">
        <v>1065</v>
      </c>
      <c r="H106" s="184" t="s">
        <v>1464</v>
      </c>
      <c r="K106" s="185" t="s">
        <v>452</v>
      </c>
    </row>
    <row r="107" spans="1:11" ht="15.05" customHeight="1">
      <c r="A107" s="185">
        <v>106</v>
      </c>
      <c r="B107" s="185" t="s">
        <v>1652</v>
      </c>
      <c r="C107" s="202" t="s">
        <v>1096</v>
      </c>
      <c r="D107" s="185" t="s">
        <v>1095</v>
      </c>
      <c r="E107" s="186">
        <v>1977</v>
      </c>
      <c r="F107" s="185" t="s">
        <v>1094</v>
      </c>
      <c r="G107" s="185" t="s">
        <v>1068</v>
      </c>
      <c r="H107" s="184" t="s">
        <v>1464</v>
      </c>
      <c r="K107" s="185" t="s">
        <v>452</v>
      </c>
    </row>
    <row r="108" spans="1:11" ht="15.05" customHeight="1">
      <c r="A108" s="185">
        <v>107</v>
      </c>
      <c r="B108" s="185" t="s">
        <v>1653</v>
      </c>
      <c r="C108" s="185" t="s">
        <v>1654</v>
      </c>
      <c r="D108" s="185" t="s">
        <v>1093</v>
      </c>
      <c r="E108" s="186">
        <v>2022</v>
      </c>
      <c r="F108" s="185" t="s">
        <v>1092</v>
      </c>
      <c r="G108" s="185" t="s">
        <v>1068</v>
      </c>
      <c r="H108" s="184" t="s">
        <v>1464</v>
      </c>
      <c r="K108" s="185" t="s">
        <v>452</v>
      </c>
    </row>
    <row r="109" spans="1:11" ht="15.05" customHeight="1">
      <c r="A109" s="185">
        <v>108</v>
      </c>
      <c r="B109" s="185" t="s">
        <v>1655</v>
      </c>
      <c r="C109" s="185" t="s">
        <v>1656</v>
      </c>
      <c r="D109" s="185" t="s">
        <v>1091</v>
      </c>
      <c r="E109" s="186">
        <v>2014</v>
      </c>
      <c r="F109" s="185" t="s">
        <v>1284</v>
      </c>
      <c r="G109" s="185" t="s">
        <v>179</v>
      </c>
      <c r="H109" s="184" t="s">
        <v>1464</v>
      </c>
      <c r="K109" s="185" t="s">
        <v>452</v>
      </c>
    </row>
    <row r="110" spans="1:11" ht="15.05" customHeight="1">
      <c r="A110" s="185">
        <v>109</v>
      </c>
      <c r="B110" s="185" t="s">
        <v>1657</v>
      </c>
      <c r="C110" s="185" t="s">
        <v>1658</v>
      </c>
      <c r="D110" s="185" t="s">
        <v>1090</v>
      </c>
      <c r="E110" s="186">
        <v>1996</v>
      </c>
      <c r="F110" s="185" t="s">
        <v>1089</v>
      </c>
      <c r="G110" s="185" t="s">
        <v>180</v>
      </c>
      <c r="H110" s="184" t="s">
        <v>1464</v>
      </c>
      <c r="K110" s="185" t="s">
        <v>452</v>
      </c>
    </row>
    <row r="111" spans="1:11" ht="15.05" customHeight="1">
      <c r="A111" s="185">
        <v>110</v>
      </c>
      <c r="B111" s="185" t="s">
        <v>1659</v>
      </c>
      <c r="C111" s="185" t="s">
        <v>1660</v>
      </c>
      <c r="D111" s="185" t="s">
        <v>1088</v>
      </c>
      <c r="E111" s="186">
        <v>2020</v>
      </c>
      <c r="F111" s="185" t="s">
        <v>1164</v>
      </c>
      <c r="G111" s="185" t="s">
        <v>1065</v>
      </c>
      <c r="H111" s="184" t="s">
        <v>1464</v>
      </c>
      <c r="K111" s="185" t="s">
        <v>452</v>
      </c>
    </row>
    <row r="112" spans="1:11" ht="15.05" customHeight="1">
      <c r="A112" s="185">
        <v>111</v>
      </c>
      <c r="B112" s="185" t="s">
        <v>1661</v>
      </c>
      <c r="C112" s="185" t="s">
        <v>1662</v>
      </c>
      <c r="D112" s="185" t="s">
        <v>1087</v>
      </c>
      <c r="E112" s="186">
        <v>2010</v>
      </c>
      <c r="F112" s="185" t="s">
        <v>192</v>
      </c>
      <c r="G112" s="185" t="s">
        <v>1086</v>
      </c>
      <c r="H112" s="184" t="s">
        <v>1464</v>
      </c>
      <c r="K112" s="185" t="s">
        <v>452</v>
      </c>
    </row>
    <row r="113" spans="1:11" ht="15.05" customHeight="1">
      <c r="A113" s="185">
        <v>112</v>
      </c>
      <c r="B113" s="185" t="s">
        <v>1663</v>
      </c>
      <c r="C113" s="185" t="s">
        <v>1664</v>
      </c>
      <c r="D113" s="185" t="s">
        <v>1085</v>
      </c>
      <c r="E113" s="186">
        <v>2004</v>
      </c>
      <c r="F113" s="185" t="s">
        <v>1084</v>
      </c>
      <c r="G113" s="185" t="s">
        <v>1068</v>
      </c>
      <c r="H113" s="184" t="s">
        <v>1464</v>
      </c>
      <c r="K113" s="185" t="s">
        <v>452</v>
      </c>
    </row>
    <row r="114" spans="1:11" ht="15.05" customHeight="1">
      <c r="A114" s="185">
        <v>113</v>
      </c>
      <c r="B114" s="185" t="s">
        <v>1665</v>
      </c>
      <c r="C114" s="185" t="s">
        <v>1083</v>
      </c>
      <c r="D114" s="185" t="s">
        <v>1082</v>
      </c>
      <c r="E114" s="186">
        <v>2011</v>
      </c>
      <c r="F114" s="185" t="s">
        <v>182</v>
      </c>
      <c r="G114" s="185" t="s">
        <v>1065</v>
      </c>
      <c r="H114" s="184" t="s">
        <v>1464</v>
      </c>
      <c r="K114" s="185" t="s">
        <v>452</v>
      </c>
    </row>
    <row r="115" spans="1:11" ht="15.05" customHeight="1">
      <c r="A115" s="185">
        <v>114</v>
      </c>
      <c r="B115" s="185" t="s">
        <v>1666</v>
      </c>
      <c r="C115" s="185" t="s">
        <v>1667</v>
      </c>
      <c r="D115" s="185" t="s">
        <v>1081</v>
      </c>
      <c r="E115" s="186">
        <v>2019</v>
      </c>
      <c r="F115" s="185" t="s">
        <v>182</v>
      </c>
      <c r="G115" s="185" t="s">
        <v>1065</v>
      </c>
      <c r="H115" s="184" t="s">
        <v>1464</v>
      </c>
      <c r="K115" s="185" t="s">
        <v>452</v>
      </c>
    </row>
    <row r="116" spans="1:11" ht="15.05" customHeight="1">
      <c r="A116" s="185">
        <v>115</v>
      </c>
      <c r="B116" s="185" t="s">
        <v>1668</v>
      </c>
      <c r="C116" s="185" t="s">
        <v>1669</v>
      </c>
      <c r="D116" s="185" t="s">
        <v>1080</v>
      </c>
      <c r="E116" s="186">
        <v>2022</v>
      </c>
      <c r="F116" s="199" t="s">
        <v>184</v>
      </c>
      <c r="G116" s="185" t="s">
        <v>179</v>
      </c>
      <c r="H116" s="184" t="s">
        <v>1464</v>
      </c>
      <c r="K116" s="185" t="s">
        <v>452</v>
      </c>
    </row>
    <row r="117" spans="1:11" ht="15.05" customHeight="1">
      <c r="A117" s="185">
        <v>116</v>
      </c>
      <c r="B117" s="185" t="s">
        <v>1670</v>
      </c>
      <c r="C117" s="185" t="s">
        <v>1671</v>
      </c>
      <c r="D117" s="185" t="s">
        <v>1079</v>
      </c>
      <c r="E117" s="186">
        <v>2021</v>
      </c>
      <c r="F117" s="185" t="s">
        <v>1076</v>
      </c>
      <c r="G117" s="185" t="s">
        <v>1075</v>
      </c>
      <c r="H117" s="184" t="s">
        <v>1464</v>
      </c>
      <c r="K117" s="185" t="s">
        <v>452</v>
      </c>
    </row>
    <row r="118" spans="1:11" ht="15.05" customHeight="1">
      <c r="A118" s="185">
        <v>117</v>
      </c>
      <c r="B118" s="185" t="s">
        <v>1672</v>
      </c>
      <c r="C118" s="185" t="s">
        <v>1673</v>
      </c>
      <c r="D118" s="185" t="s">
        <v>1078</v>
      </c>
      <c r="E118" s="186">
        <v>2008</v>
      </c>
      <c r="F118" s="185" t="s">
        <v>1077</v>
      </c>
      <c r="G118" s="185" t="s">
        <v>1065</v>
      </c>
      <c r="H118" s="184" t="s">
        <v>1464</v>
      </c>
      <c r="K118" s="185" t="s">
        <v>452</v>
      </c>
    </row>
    <row r="119" spans="1:11" ht="15.05" customHeight="1">
      <c r="A119" s="185">
        <v>118</v>
      </c>
      <c r="B119" s="185" t="s">
        <v>1674</v>
      </c>
      <c r="C119" s="185" t="s">
        <v>1504</v>
      </c>
      <c r="D119" s="185" t="s">
        <v>101</v>
      </c>
      <c r="E119" s="186">
        <v>2016</v>
      </c>
      <c r="F119" s="185" t="s">
        <v>1076</v>
      </c>
      <c r="G119" s="185" t="s">
        <v>1075</v>
      </c>
      <c r="H119" s="184" t="s">
        <v>1464</v>
      </c>
      <c r="K119" s="185" t="s">
        <v>452</v>
      </c>
    </row>
    <row r="120" spans="1:11" ht="15.05" customHeight="1">
      <c r="A120" s="185">
        <v>119</v>
      </c>
      <c r="B120" s="185" t="s">
        <v>1675</v>
      </c>
      <c r="C120" s="185" t="s">
        <v>1676</v>
      </c>
      <c r="D120" s="185" t="s">
        <v>1074</v>
      </c>
      <c r="E120" s="186">
        <v>2004</v>
      </c>
      <c r="F120" s="185" t="s">
        <v>1073</v>
      </c>
      <c r="G120" s="185" t="s">
        <v>1068</v>
      </c>
      <c r="H120" s="184" t="s">
        <v>1464</v>
      </c>
      <c r="K120" s="185" t="s">
        <v>452</v>
      </c>
    </row>
    <row r="121" spans="1:11" ht="15.05" customHeight="1">
      <c r="A121" s="185">
        <v>120</v>
      </c>
      <c r="B121" s="185" t="s">
        <v>1677</v>
      </c>
      <c r="C121" s="185" t="s">
        <v>1678</v>
      </c>
      <c r="D121" s="185" t="s">
        <v>1072</v>
      </c>
      <c r="E121" s="186">
        <v>2013</v>
      </c>
      <c r="F121" s="185" t="s">
        <v>1071</v>
      </c>
      <c r="G121" s="185" t="s">
        <v>1065</v>
      </c>
      <c r="H121" s="184" t="s">
        <v>1464</v>
      </c>
      <c r="K121" s="185" t="s">
        <v>452</v>
      </c>
    </row>
    <row r="122" spans="1:11" ht="15.05" customHeight="1">
      <c r="A122" s="185">
        <v>121</v>
      </c>
      <c r="B122" s="185" t="s">
        <v>1679</v>
      </c>
      <c r="D122" s="185" t="s">
        <v>1070</v>
      </c>
      <c r="E122" s="186">
        <v>2008</v>
      </c>
      <c r="F122" s="185" t="s">
        <v>1069</v>
      </c>
      <c r="G122" s="185" t="s">
        <v>1068</v>
      </c>
      <c r="H122" s="184" t="s">
        <v>1464</v>
      </c>
      <c r="K122" s="185" t="s">
        <v>452</v>
      </c>
    </row>
    <row r="123" spans="1:11" ht="15.05" customHeight="1">
      <c r="A123" s="185">
        <v>122</v>
      </c>
      <c r="B123" s="185" t="s">
        <v>1680</v>
      </c>
      <c r="C123" s="185" t="s">
        <v>1681</v>
      </c>
      <c r="D123" s="185" t="s">
        <v>1067</v>
      </c>
      <c r="E123" s="186">
        <v>2016</v>
      </c>
      <c r="F123" s="185" t="s">
        <v>1066</v>
      </c>
      <c r="G123" s="185" t="s">
        <v>1065</v>
      </c>
      <c r="H123" s="184" t="s">
        <v>1464</v>
      </c>
      <c r="K123" s="185" t="s">
        <v>452</v>
      </c>
    </row>
    <row r="124" spans="1:11" ht="15.05" customHeight="1">
      <c r="A124" s="185">
        <v>123</v>
      </c>
      <c r="B124" s="184" t="s">
        <v>1682</v>
      </c>
      <c r="C124" s="185" t="s">
        <v>1161</v>
      </c>
      <c r="D124" s="185" t="s">
        <v>1683</v>
      </c>
      <c r="E124" s="186">
        <v>2019</v>
      </c>
      <c r="F124" s="185" t="s">
        <v>182</v>
      </c>
      <c r="G124" s="185" t="s">
        <v>181</v>
      </c>
      <c r="H124" s="184" t="s">
        <v>1464</v>
      </c>
      <c r="K124" s="185" t="s">
        <v>452</v>
      </c>
    </row>
    <row r="125" spans="1:11" ht="15.05" customHeight="1">
      <c r="A125" s="185">
        <v>124</v>
      </c>
      <c r="B125" s="184" t="s">
        <v>1684</v>
      </c>
      <c r="C125" s="185" t="s">
        <v>1685</v>
      </c>
      <c r="D125" s="185" t="s">
        <v>1162</v>
      </c>
      <c r="E125" s="186">
        <v>2020</v>
      </c>
      <c r="F125" s="185" t="s">
        <v>182</v>
      </c>
      <c r="G125" s="185" t="s">
        <v>181</v>
      </c>
      <c r="H125" s="184" t="s">
        <v>1464</v>
      </c>
      <c r="K125" s="185" t="s">
        <v>452</v>
      </c>
    </row>
    <row r="126" spans="1:11" ht="15.05" customHeight="1">
      <c r="A126" s="185">
        <v>125</v>
      </c>
      <c r="B126" s="184" t="s">
        <v>1686</v>
      </c>
      <c r="C126" s="185" t="s">
        <v>1687</v>
      </c>
      <c r="D126" s="185" t="s">
        <v>1163</v>
      </c>
      <c r="E126" s="186">
        <v>2010</v>
      </c>
      <c r="F126" s="185" t="s">
        <v>1164</v>
      </c>
      <c r="G126" s="185" t="s">
        <v>181</v>
      </c>
      <c r="H126" s="184" t="s">
        <v>1464</v>
      </c>
      <c r="K126" s="185" t="s">
        <v>452</v>
      </c>
    </row>
    <row r="127" spans="1:11" ht="15.05" customHeight="1">
      <c r="A127" s="185">
        <v>126</v>
      </c>
      <c r="B127" s="184" t="s">
        <v>1688</v>
      </c>
      <c r="C127" s="185" t="s">
        <v>1689</v>
      </c>
      <c r="D127" s="185" t="s">
        <v>1165</v>
      </c>
      <c r="E127" s="186">
        <v>2009</v>
      </c>
      <c r="F127" s="185" t="s">
        <v>177</v>
      </c>
      <c r="G127" s="185" t="s">
        <v>181</v>
      </c>
      <c r="H127" s="184" t="s">
        <v>1464</v>
      </c>
      <c r="K127" s="185" t="s">
        <v>452</v>
      </c>
    </row>
    <row r="128" spans="1:11" ht="15.05" customHeight="1">
      <c r="A128" s="185">
        <v>127</v>
      </c>
      <c r="B128" s="184" t="s">
        <v>1690</v>
      </c>
      <c r="C128" s="185" t="s">
        <v>1691</v>
      </c>
      <c r="D128" s="185" t="s">
        <v>1166</v>
      </c>
      <c r="E128" s="186">
        <v>2018</v>
      </c>
      <c r="F128" s="185" t="s">
        <v>178</v>
      </c>
      <c r="G128" s="185" t="s">
        <v>180</v>
      </c>
      <c r="H128" s="184" t="s">
        <v>1464</v>
      </c>
      <c r="K128" s="185" t="s">
        <v>452</v>
      </c>
    </row>
    <row r="129" spans="1:15" ht="15.05" customHeight="1">
      <c r="A129" s="185">
        <v>128</v>
      </c>
      <c r="B129" s="184" t="s">
        <v>1692</v>
      </c>
      <c r="C129" s="185" t="s">
        <v>1693</v>
      </c>
      <c r="D129" s="185" t="s">
        <v>1168</v>
      </c>
      <c r="E129" s="186">
        <v>2007</v>
      </c>
      <c r="F129" s="185" t="s">
        <v>177</v>
      </c>
      <c r="G129" s="185" t="s">
        <v>181</v>
      </c>
      <c r="H129" s="184" t="s">
        <v>1464</v>
      </c>
      <c r="K129" s="185" t="s">
        <v>452</v>
      </c>
    </row>
    <row r="130" spans="1:15" ht="15.05" customHeight="1">
      <c r="A130" s="185">
        <v>129</v>
      </c>
      <c r="B130" s="184" t="s">
        <v>1694</v>
      </c>
      <c r="C130" s="185" t="s">
        <v>1695</v>
      </c>
      <c r="D130" s="185" t="s">
        <v>1170</v>
      </c>
      <c r="E130" s="186">
        <v>2015</v>
      </c>
      <c r="F130" s="185" t="s">
        <v>1171</v>
      </c>
      <c r="G130" s="185" t="s">
        <v>179</v>
      </c>
      <c r="H130" s="184" t="s">
        <v>1464</v>
      </c>
      <c r="K130" s="185" t="s">
        <v>452</v>
      </c>
    </row>
    <row r="131" spans="1:15" ht="15.05" customHeight="1">
      <c r="A131" s="185">
        <v>130</v>
      </c>
      <c r="B131" s="185" t="s">
        <v>1696</v>
      </c>
      <c r="D131" s="185" t="s">
        <v>1174</v>
      </c>
      <c r="E131" s="186">
        <v>2005</v>
      </c>
      <c r="F131" s="185" t="s">
        <v>178</v>
      </c>
      <c r="G131" s="185" t="s">
        <v>180</v>
      </c>
      <c r="H131" s="184" t="s">
        <v>1464</v>
      </c>
      <c r="K131" s="185" t="s">
        <v>452</v>
      </c>
    </row>
    <row r="132" spans="1:15" ht="15.05" customHeight="1">
      <c r="A132" s="185">
        <v>131</v>
      </c>
      <c r="B132" s="184" t="s">
        <v>1697</v>
      </c>
      <c r="C132" s="185" t="s">
        <v>1183</v>
      </c>
      <c r="D132" s="185" t="s">
        <v>1182</v>
      </c>
      <c r="E132" s="186">
        <v>2007</v>
      </c>
      <c r="F132" s="185" t="s">
        <v>177</v>
      </c>
      <c r="G132" s="185" t="s">
        <v>181</v>
      </c>
      <c r="H132" s="184" t="s">
        <v>1464</v>
      </c>
      <c r="K132" s="185" t="s">
        <v>452</v>
      </c>
    </row>
    <row r="133" spans="1:15" ht="15.05" customHeight="1">
      <c r="A133" s="185">
        <v>132</v>
      </c>
      <c r="B133" s="185" t="s">
        <v>1698</v>
      </c>
      <c r="C133" s="185" t="s">
        <v>1699</v>
      </c>
      <c r="D133" s="185" t="s">
        <v>1700</v>
      </c>
      <c r="E133" s="186">
        <v>1990</v>
      </c>
      <c r="F133" s="185" t="s">
        <v>1184</v>
      </c>
      <c r="G133" s="185" t="s">
        <v>179</v>
      </c>
      <c r="H133" s="184" t="s">
        <v>1464</v>
      </c>
      <c r="K133" s="185" t="s">
        <v>452</v>
      </c>
    </row>
    <row r="134" spans="1:15" ht="15.05" customHeight="1">
      <c r="A134" s="185">
        <v>133</v>
      </c>
      <c r="B134" s="185" t="s">
        <v>1701</v>
      </c>
      <c r="C134" s="185" t="s">
        <v>1189</v>
      </c>
      <c r="D134" s="185" t="s">
        <v>1190</v>
      </c>
      <c r="E134" s="186">
        <v>2009</v>
      </c>
      <c r="F134" s="185" t="s">
        <v>1191</v>
      </c>
      <c r="G134" s="185" t="s">
        <v>179</v>
      </c>
      <c r="H134" s="184" t="s">
        <v>1464</v>
      </c>
      <c r="K134" s="185" t="s">
        <v>452</v>
      </c>
    </row>
    <row r="135" spans="1:15" ht="15.05" customHeight="1">
      <c r="A135" s="185">
        <v>134</v>
      </c>
      <c r="B135" s="185" t="s">
        <v>1702</v>
      </c>
      <c r="D135" s="185" t="s">
        <v>1193</v>
      </c>
      <c r="E135" s="186">
        <v>2002</v>
      </c>
      <c r="F135" s="185" t="s">
        <v>1194</v>
      </c>
      <c r="G135" s="185" t="s">
        <v>179</v>
      </c>
      <c r="H135" s="184" t="s">
        <v>1464</v>
      </c>
      <c r="K135" s="185" t="s">
        <v>452</v>
      </c>
    </row>
    <row r="136" spans="1:15" ht="15.05" customHeight="1">
      <c r="A136" s="185">
        <v>135</v>
      </c>
      <c r="B136" s="185" t="s">
        <v>1703</v>
      </c>
      <c r="D136" s="185" t="s">
        <v>1196</v>
      </c>
      <c r="E136" s="186">
        <v>2015</v>
      </c>
      <c r="F136" s="185" t="s">
        <v>178</v>
      </c>
      <c r="G136" s="185" t="s">
        <v>179</v>
      </c>
      <c r="H136" s="184" t="s">
        <v>1464</v>
      </c>
      <c r="K136" s="185" t="s">
        <v>452</v>
      </c>
    </row>
    <row r="137" spans="1:15" ht="15.05" customHeight="1">
      <c r="A137" s="185">
        <v>136</v>
      </c>
      <c r="B137" s="185" t="s">
        <v>1704</v>
      </c>
      <c r="D137" s="185" t="s">
        <v>1197</v>
      </c>
      <c r="E137" s="186">
        <v>2005</v>
      </c>
      <c r="F137" s="185" t="s">
        <v>1194</v>
      </c>
      <c r="G137" s="185" t="s">
        <v>179</v>
      </c>
      <c r="H137" s="184" t="s">
        <v>1464</v>
      </c>
      <c r="K137" s="185" t="s">
        <v>452</v>
      </c>
      <c r="O137" s="187"/>
    </row>
    <row r="138" spans="1:15" ht="15.05" customHeight="1">
      <c r="A138" s="185">
        <v>137</v>
      </c>
      <c r="B138" s="185" t="s">
        <v>1705</v>
      </c>
      <c r="C138" s="185" t="s">
        <v>1706</v>
      </c>
      <c r="D138" s="185" t="s">
        <v>1707</v>
      </c>
      <c r="E138" s="186">
        <v>1988</v>
      </c>
      <c r="F138" s="185" t="s">
        <v>1194</v>
      </c>
      <c r="G138" s="185" t="s">
        <v>179</v>
      </c>
      <c r="H138" s="184" t="s">
        <v>1464</v>
      </c>
      <c r="K138" s="185" t="s">
        <v>452</v>
      </c>
    </row>
    <row r="139" spans="1:15" ht="15.05" customHeight="1">
      <c r="A139" s="185">
        <v>138</v>
      </c>
      <c r="B139" s="185" t="s">
        <v>1708</v>
      </c>
      <c r="C139" s="185" t="s">
        <v>1709</v>
      </c>
      <c r="D139" s="185" t="s">
        <v>1200</v>
      </c>
      <c r="E139" s="186">
        <v>2002</v>
      </c>
      <c r="F139" s="185" t="s">
        <v>195</v>
      </c>
      <c r="G139" s="185" t="s">
        <v>179</v>
      </c>
      <c r="H139" s="184" t="s">
        <v>1464</v>
      </c>
      <c r="K139" s="185" t="s">
        <v>452</v>
      </c>
    </row>
    <row r="140" spans="1:15" ht="15.05" customHeight="1">
      <c r="A140" s="185">
        <v>139</v>
      </c>
      <c r="B140" s="185" t="s">
        <v>1710</v>
      </c>
      <c r="C140" s="185" t="s">
        <v>1711</v>
      </c>
      <c r="D140" s="185" t="s">
        <v>1712</v>
      </c>
      <c r="E140" s="186">
        <v>2015</v>
      </c>
      <c r="F140" s="185" t="s">
        <v>1713</v>
      </c>
      <c r="G140" s="185" t="s">
        <v>179</v>
      </c>
      <c r="H140" s="184" t="s">
        <v>1464</v>
      </c>
      <c r="L140" s="185" t="s">
        <v>452</v>
      </c>
    </row>
    <row r="141" spans="1:15" ht="15.05" customHeight="1">
      <c r="A141" s="185">
        <v>140</v>
      </c>
      <c r="B141" s="184" t="s">
        <v>1714</v>
      </c>
      <c r="C141" s="203" t="s">
        <v>1715</v>
      </c>
      <c r="D141" s="185" t="s">
        <v>1716</v>
      </c>
      <c r="E141" s="204">
        <v>2016</v>
      </c>
      <c r="F141" s="185" t="s">
        <v>177</v>
      </c>
      <c r="G141" s="185" t="s">
        <v>181</v>
      </c>
      <c r="H141" s="184" t="s">
        <v>1464</v>
      </c>
      <c r="L141" s="185" t="s">
        <v>452</v>
      </c>
    </row>
    <row r="142" spans="1:15" ht="15.05" customHeight="1">
      <c r="A142" s="185">
        <v>141</v>
      </c>
      <c r="B142" s="205" t="s">
        <v>1717</v>
      </c>
      <c r="C142" s="185" t="s">
        <v>1718</v>
      </c>
      <c r="D142" s="185" t="s">
        <v>1719</v>
      </c>
      <c r="E142" s="185">
        <v>2016</v>
      </c>
      <c r="F142" s="185" t="s">
        <v>1282</v>
      </c>
      <c r="G142" s="185" t="s">
        <v>181</v>
      </c>
      <c r="H142" s="184" t="s">
        <v>1464</v>
      </c>
      <c r="L142" s="185" t="s">
        <v>452</v>
      </c>
    </row>
    <row r="143" spans="1:15" ht="15.05" customHeight="1">
      <c r="A143" s="185">
        <v>142</v>
      </c>
      <c r="B143" s="205" t="s">
        <v>1720</v>
      </c>
      <c r="C143" s="185" t="s">
        <v>1721</v>
      </c>
      <c r="D143" s="185" t="s">
        <v>1722</v>
      </c>
      <c r="E143" s="185">
        <v>2012</v>
      </c>
      <c r="F143" s="185" t="s">
        <v>1723</v>
      </c>
      <c r="G143" s="185" t="s">
        <v>181</v>
      </c>
      <c r="H143" s="184" t="s">
        <v>1464</v>
      </c>
      <c r="L143" s="185" t="s">
        <v>452</v>
      </c>
    </row>
    <row r="144" spans="1:15" ht="15.05" customHeight="1">
      <c r="A144" s="185">
        <v>143</v>
      </c>
      <c r="B144" s="185" t="s">
        <v>1724</v>
      </c>
      <c r="C144" s="185" t="s">
        <v>1725</v>
      </c>
      <c r="D144" s="185" t="s">
        <v>1726</v>
      </c>
      <c r="E144" s="185">
        <v>2022</v>
      </c>
      <c r="F144" s="185" t="s">
        <v>177</v>
      </c>
      <c r="G144" s="185" t="s">
        <v>181</v>
      </c>
      <c r="H144" s="184" t="s">
        <v>1464</v>
      </c>
      <c r="L144" s="185" t="s">
        <v>452</v>
      </c>
    </row>
    <row r="145" spans="1:12" ht="15.05" customHeight="1">
      <c r="A145" s="185">
        <v>144</v>
      </c>
      <c r="B145" s="205" t="s">
        <v>1727</v>
      </c>
      <c r="C145" s="185" t="s">
        <v>1728</v>
      </c>
      <c r="D145" s="185" t="s">
        <v>1729</v>
      </c>
      <c r="E145" s="185">
        <v>2016</v>
      </c>
      <c r="F145" s="185" t="s">
        <v>1283</v>
      </c>
      <c r="G145" s="185" t="s">
        <v>181</v>
      </c>
      <c r="H145" s="184" t="s">
        <v>1464</v>
      </c>
      <c r="L145" s="185" t="s">
        <v>452</v>
      </c>
    </row>
    <row r="146" spans="1:12" ht="15.05" customHeight="1">
      <c r="A146" s="185">
        <v>145</v>
      </c>
      <c r="B146" s="205" t="s">
        <v>1730</v>
      </c>
      <c r="C146" s="185" t="s">
        <v>1731</v>
      </c>
      <c r="D146" s="185" t="s">
        <v>1732</v>
      </c>
      <c r="E146" s="185">
        <v>2018</v>
      </c>
      <c r="F146" s="185" t="s">
        <v>177</v>
      </c>
      <c r="G146" s="185" t="s">
        <v>181</v>
      </c>
      <c r="H146" s="184" t="s">
        <v>1464</v>
      </c>
      <c r="L146" s="185" t="s">
        <v>452</v>
      </c>
    </row>
    <row r="147" spans="1:12" ht="15.05" customHeight="1">
      <c r="A147" s="185">
        <v>146</v>
      </c>
      <c r="B147" s="205" t="s">
        <v>1733</v>
      </c>
      <c r="C147" s="196" t="s">
        <v>1734</v>
      </c>
      <c r="D147" s="185" t="s">
        <v>1735</v>
      </c>
      <c r="E147" s="185">
        <v>2014</v>
      </c>
      <c r="F147" s="185" t="s">
        <v>177</v>
      </c>
      <c r="G147" s="185" t="s">
        <v>181</v>
      </c>
      <c r="H147" s="184" t="s">
        <v>1464</v>
      </c>
      <c r="L147" s="185" t="s">
        <v>452</v>
      </c>
    </row>
    <row r="148" spans="1:12" ht="15.05" customHeight="1">
      <c r="A148" s="185">
        <v>147</v>
      </c>
      <c r="B148" s="205" t="s">
        <v>1736</v>
      </c>
      <c r="C148" s="185" t="s">
        <v>1737</v>
      </c>
      <c r="D148" s="185" t="s">
        <v>1738</v>
      </c>
      <c r="E148" s="185">
        <v>2021</v>
      </c>
      <c r="F148" s="185" t="s">
        <v>177</v>
      </c>
      <c r="G148" s="185" t="s">
        <v>181</v>
      </c>
      <c r="H148" s="184" t="s">
        <v>1464</v>
      </c>
      <c r="L148" s="185" t="s">
        <v>452</v>
      </c>
    </row>
    <row r="149" spans="1:12" ht="15.05" customHeight="1">
      <c r="A149" s="185">
        <v>148</v>
      </c>
      <c r="B149" s="205" t="s">
        <v>1739</v>
      </c>
      <c r="C149" s="185" t="s">
        <v>1740</v>
      </c>
      <c r="D149" s="185" t="s">
        <v>1741</v>
      </c>
      <c r="E149" s="185">
        <v>2018</v>
      </c>
      <c r="F149" s="185" t="s">
        <v>1283</v>
      </c>
      <c r="G149" s="185" t="s">
        <v>181</v>
      </c>
      <c r="H149" s="184" t="s">
        <v>1464</v>
      </c>
      <c r="L149" s="185" t="s">
        <v>452</v>
      </c>
    </row>
    <row r="150" spans="1:12" ht="15.05" customHeight="1">
      <c r="A150" s="185">
        <v>149</v>
      </c>
      <c r="B150" s="185" t="s">
        <v>1742</v>
      </c>
      <c r="C150" s="185" t="s">
        <v>1743</v>
      </c>
      <c r="D150" s="185" t="s">
        <v>1744</v>
      </c>
      <c r="E150" s="185">
        <v>2008</v>
      </c>
      <c r="F150" s="185" t="s">
        <v>1191</v>
      </c>
      <c r="G150" s="185" t="s">
        <v>179</v>
      </c>
      <c r="H150" s="184" t="s">
        <v>1464</v>
      </c>
      <c r="L150" s="185" t="s">
        <v>452</v>
      </c>
    </row>
    <row r="151" spans="1:12" ht="15.05" customHeight="1">
      <c r="A151" s="185">
        <v>150</v>
      </c>
      <c r="B151" s="205" t="s">
        <v>1745</v>
      </c>
      <c r="C151" s="185" t="s">
        <v>1746</v>
      </c>
      <c r="D151" s="185" t="s">
        <v>1747</v>
      </c>
      <c r="E151" s="185">
        <v>2009</v>
      </c>
      <c r="F151" s="185" t="s">
        <v>1092</v>
      </c>
      <c r="G151" s="185" t="s">
        <v>179</v>
      </c>
      <c r="H151" s="184" t="s">
        <v>1464</v>
      </c>
      <c r="L151" s="185" t="s">
        <v>452</v>
      </c>
    </row>
    <row r="152" spans="1:12" ht="15.05" customHeight="1">
      <c r="A152" s="185">
        <v>151</v>
      </c>
      <c r="B152" s="205" t="s">
        <v>1748</v>
      </c>
      <c r="C152" s="185" t="s">
        <v>1749</v>
      </c>
      <c r="D152" s="185" t="s">
        <v>1750</v>
      </c>
      <c r="E152" s="185">
        <v>2006</v>
      </c>
      <c r="F152" s="185" t="s">
        <v>1171</v>
      </c>
      <c r="G152" s="185" t="s">
        <v>179</v>
      </c>
      <c r="H152" s="184" t="s">
        <v>1464</v>
      </c>
      <c r="L152" s="185" t="s">
        <v>452</v>
      </c>
    </row>
    <row r="153" spans="1:12" ht="15.05" customHeight="1">
      <c r="A153" s="185">
        <v>152</v>
      </c>
      <c r="B153" s="205" t="s">
        <v>1751</v>
      </c>
      <c r="C153" s="196" t="s">
        <v>1752</v>
      </c>
      <c r="D153" s="185" t="s">
        <v>1753</v>
      </c>
      <c r="E153" s="185">
        <v>2020</v>
      </c>
      <c r="F153" s="185" t="s">
        <v>1284</v>
      </c>
      <c r="G153" s="185" t="s">
        <v>179</v>
      </c>
      <c r="H153" s="184" t="s">
        <v>1464</v>
      </c>
      <c r="L153" s="185" t="s">
        <v>452</v>
      </c>
    </row>
    <row r="154" spans="1:12" ht="15.05" customHeight="1">
      <c r="A154" s="185">
        <v>153</v>
      </c>
      <c r="B154" s="205" t="s">
        <v>1754</v>
      </c>
      <c r="C154" s="185" t="s">
        <v>1755</v>
      </c>
      <c r="D154" s="185" t="s">
        <v>1756</v>
      </c>
      <c r="E154" s="185">
        <v>2008</v>
      </c>
      <c r="F154" s="185" t="s">
        <v>184</v>
      </c>
      <c r="G154" s="185" t="s">
        <v>179</v>
      </c>
      <c r="H154" s="184" t="s">
        <v>1464</v>
      </c>
      <c r="L154" s="185" t="s">
        <v>452</v>
      </c>
    </row>
    <row r="155" spans="1:12" ht="15.05" customHeight="1">
      <c r="A155" s="185">
        <v>154</v>
      </c>
      <c r="B155" s="205" t="s">
        <v>1757</v>
      </c>
      <c r="C155" s="185" t="s">
        <v>1758</v>
      </c>
      <c r="D155" s="185" t="s">
        <v>1759</v>
      </c>
      <c r="E155" s="185">
        <v>2011</v>
      </c>
      <c r="F155" s="185" t="s">
        <v>184</v>
      </c>
      <c r="G155" s="185" t="s">
        <v>179</v>
      </c>
      <c r="H155" s="184" t="s">
        <v>1464</v>
      </c>
      <c r="L155" s="185" t="s">
        <v>452</v>
      </c>
    </row>
    <row r="156" spans="1:12" ht="15.05" customHeight="1">
      <c r="A156" s="185">
        <v>155</v>
      </c>
      <c r="B156" s="205" t="s">
        <v>1760</v>
      </c>
      <c r="C156" s="185" t="s">
        <v>1761</v>
      </c>
      <c r="D156" s="185" t="s">
        <v>1762</v>
      </c>
      <c r="E156" s="185">
        <v>2006</v>
      </c>
      <c r="F156" s="185" t="s">
        <v>184</v>
      </c>
      <c r="G156" s="185" t="s">
        <v>179</v>
      </c>
      <c r="H156" s="184" t="s">
        <v>1464</v>
      </c>
      <c r="L156" s="185" t="s">
        <v>452</v>
      </c>
    </row>
    <row r="157" spans="1:12" ht="15.05" customHeight="1">
      <c r="A157" s="185">
        <v>156</v>
      </c>
      <c r="B157" s="205" t="s">
        <v>1763</v>
      </c>
      <c r="C157" s="185" t="s">
        <v>1764</v>
      </c>
      <c r="D157" s="185" t="s">
        <v>1765</v>
      </c>
      <c r="E157" s="185">
        <v>2004</v>
      </c>
      <c r="F157" s="185" t="s">
        <v>184</v>
      </c>
      <c r="G157" s="185" t="s">
        <v>179</v>
      </c>
      <c r="H157" s="184" t="s">
        <v>1464</v>
      </c>
      <c r="L157" s="185" t="s">
        <v>452</v>
      </c>
    </row>
    <row r="158" spans="1:12" ht="15.05" customHeight="1">
      <c r="A158" s="185">
        <v>157</v>
      </c>
      <c r="B158" s="205" t="s">
        <v>1766</v>
      </c>
      <c r="C158" s="185" t="s">
        <v>1767</v>
      </c>
      <c r="D158" s="185" t="s">
        <v>1768</v>
      </c>
      <c r="E158" s="185">
        <v>2000</v>
      </c>
      <c r="F158" s="185" t="s">
        <v>184</v>
      </c>
      <c r="G158" s="185" t="s">
        <v>179</v>
      </c>
      <c r="H158" s="184" t="s">
        <v>1464</v>
      </c>
      <c r="L158" s="185" t="s">
        <v>452</v>
      </c>
    </row>
    <row r="159" spans="1:12" ht="15.05" customHeight="1">
      <c r="A159" s="185">
        <v>158</v>
      </c>
      <c r="B159" s="205" t="s">
        <v>1769</v>
      </c>
      <c r="C159" s="185" t="s">
        <v>1770</v>
      </c>
      <c r="D159" s="185" t="s">
        <v>1771</v>
      </c>
      <c r="E159" s="185">
        <v>2016</v>
      </c>
      <c r="F159" s="185" t="s">
        <v>1092</v>
      </c>
      <c r="G159" s="185" t="s">
        <v>179</v>
      </c>
      <c r="H159" s="184" t="s">
        <v>1464</v>
      </c>
      <c r="L159" s="185" t="s">
        <v>452</v>
      </c>
    </row>
    <row r="160" spans="1:12" ht="15.05" customHeight="1">
      <c r="A160" s="185">
        <v>159</v>
      </c>
      <c r="B160" s="205" t="s">
        <v>1772</v>
      </c>
      <c r="C160" s="185" t="s">
        <v>1773</v>
      </c>
      <c r="D160" s="185" t="s">
        <v>1774</v>
      </c>
      <c r="E160" s="185">
        <v>2016</v>
      </c>
      <c r="F160" s="185" t="s">
        <v>1231</v>
      </c>
      <c r="G160" s="185" t="s">
        <v>179</v>
      </c>
      <c r="H160" s="184" t="s">
        <v>1464</v>
      </c>
      <c r="L160" s="185" t="s">
        <v>452</v>
      </c>
    </row>
    <row r="161" spans="1:13" ht="15.05" customHeight="1">
      <c r="A161" s="185">
        <v>160</v>
      </c>
      <c r="B161" s="205" t="s">
        <v>1775</v>
      </c>
      <c r="C161" s="185" t="s">
        <v>1776</v>
      </c>
      <c r="D161" s="185" t="s">
        <v>1777</v>
      </c>
      <c r="E161" s="185">
        <v>2010</v>
      </c>
      <c r="F161" s="185" t="s">
        <v>184</v>
      </c>
      <c r="G161" s="185" t="s">
        <v>179</v>
      </c>
      <c r="H161" s="184" t="s">
        <v>1464</v>
      </c>
      <c r="L161" s="185" t="s">
        <v>452</v>
      </c>
    </row>
    <row r="162" spans="1:13" ht="15.05" customHeight="1">
      <c r="A162" s="185">
        <v>161</v>
      </c>
      <c r="B162" s="185" t="s">
        <v>1778</v>
      </c>
      <c r="C162" s="185" t="s">
        <v>1779</v>
      </c>
      <c r="D162" s="185" t="s">
        <v>1780</v>
      </c>
      <c r="E162" s="185">
        <v>2002</v>
      </c>
      <c r="F162" s="185" t="s">
        <v>1194</v>
      </c>
      <c r="G162" s="185" t="s">
        <v>179</v>
      </c>
      <c r="H162" s="184" t="s">
        <v>1464</v>
      </c>
      <c r="L162" s="185" t="s">
        <v>452</v>
      </c>
    </row>
    <row r="163" spans="1:13" ht="15.05" customHeight="1">
      <c r="A163" s="185">
        <v>162</v>
      </c>
      <c r="B163" s="205" t="s">
        <v>1781</v>
      </c>
      <c r="C163" s="185" t="s">
        <v>1782</v>
      </c>
      <c r="D163" s="185" t="s">
        <v>1783</v>
      </c>
      <c r="E163" s="185">
        <v>2015</v>
      </c>
      <c r="F163" s="185" t="s">
        <v>1194</v>
      </c>
      <c r="G163" s="185" t="s">
        <v>179</v>
      </c>
      <c r="H163" s="184" t="s">
        <v>1464</v>
      </c>
      <c r="L163" s="185" t="s">
        <v>452</v>
      </c>
    </row>
    <row r="164" spans="1:13" ht="15.05" customHeight="1">
      <c r="A164" s="185">
        <v>163</v>
      </c>
      <c r="B164" s="185" t="s">
        <v>1784</v>
      </c>
      <c r="C164" s="185" t="s">
        <v>1785</v>
      </c>
      <c r="D164" s="185" t="s">
        <v>1786</v>
      </c>
      <c r="E164" s="185">
        <v>2005</v>
      </c>
      <c r="F164" s="185" t="s">
        <v>1282</v>
      </c>
      <c r="G164" s="185" t="s">
        <v>181</v>
      </c>
      <c r="H164" s="184" t="s">
        <v>1464</v>
      </c>
      <c r="L164" s="185" t="s">
        <v>452</v>
      </c>
    </row>
    <row r="165" spans="1:13" ht="15.05" customHeight="1">
      <c r="A165" s="185">
        <v>164</v>
      </c>
      <c r="B165" s="185" t="s">
        <v>1787</v>
      </c>
      <c r="C165" s="185" t="s">
        <v>1788</v>
      </c>
      <c r="D165" s="185" t="s">
        <v>1789</v>
      </c>
      <c r="E165" s="185">
        <v>2005</v>
      </c>
      <c r="F165" s="185" t="s">
        <v>1282</v>
      </c>
      <c r="G165" s="185" t="s">
        <v>181</v>
      </c>
      <c r="H165" s="184" t="s">
        <v>1464</v>
      </c>
      <c r="L165" s="185" t="s">
        <v>452</v>
      </c>
    </row>
    <row r="166" spans="1:13" ht="15.05" customHeight="1">
      <c r="A166" s="185">
        <v>165</v>
      </c>
      <c r="B166" s="185" t="s">
        <v>1790</v>
      </c>
      <c r="C166" s="185" t="s">
        <v>1791</v>
      </c>
      <c r="D166" s="185" t="s">
        <v>1792</v>
      </c>
      <c r="E166" s="185">
        <v>2007</v>
      </c>
      <c r="F166" s="185" t="s">
        <v>1282</v>
      </c>
      <c r="G166" s="185" t="s">
        <v>181</v>
      </c>
      <c r="H166" s="184" t="s">
        <v>1464</v>
      </c>
      <c r="L166" s="185" t="s">
        <v>452</v>
      </c>
    </row>
    <row r="167" spans="1:13" ht="15.05" customHeight="1">
      <c r="A167" s="185">
        <v>166</v>
      </c>
      <c r="B167" s="185" t="s">
        <v>1793</v>
      </c>
      <c r="C167" s="185" t="s">
        <v>1794</v>
      </c>
      <c r="D167" s="185" t="s">
        <v>1795</v>
      </c>
      <c r="E167" s="185">
        <v>2019</v>
      </c>
      <c r="F167" s="185" t="s">
        <v>177</v>
      </c>
      <c r="G167" s="185" t="s">
        <v>181</v>
      </c>
      <c r="H167" s="184" t="s">
        <v>1464</v>
      </c>
      <c r="L167" s="185" t="s">
        <v>452</v>
      </c>
    </row>
    <row r="168" spans="1:13" ht="15.05" customHeight="1">
      <c r="A168" s="185">
        <v>167</v>
      </c>
      <c r="B168" s="185" t="s">
        <v>1796</v>
      </c>
      <c r="C168" s="185" t="s">
        <v>1797</v>
      </c>
      <c r="D168" s="185" t="s">
        <v>1798</v>
      </c>
      <c r="E168" s="185">
        <v>2004</v>
      </c>
      <c r="F168" s="185" t="s">
        <v>1299</v>
      </c>
      <c r="G168" s="185" t="s">
        <v>181</v>
      </c>
      <c r="H168" s="184" t="s">
        <v>1464</v>
      </c>
      <c r="L168" s="185" t="s">
        <v>452</v>
      </c>
    </row>
    <row r="169" spans="1:13" ht="15.05" customHeight="1">
      <c r="A169" s="185">
        <v>168</v>
      </c>
      <c r="B169" s="185" t="s">
        <v>1799</v>
      </c>
      <c r="C169" s="185" t="s">
        <v>1800</v>
      </c>
      <c r="D169" s="185" t="s">
        <v>1801</v>
      </c>
      <c r="E169" s="185">
        <v>2025</v>
      </c>
      <c r="F169" s="185" t="s">
        <v>1301</v>
      </c>
      <c r="G169" s="185" t="s">
        <v>186</v>
      </c>
      <c r="H169" s="184" t="s">
        <v>1464</v>
      </c>
      <c r="L169" s="185" t="s">
        <v>452</v>
      </c>
      <c r="M169" s="206"/>
    </row>
    <row r="170" spans="1:13" ht="15.05" customHeight="1">
      <c r="A170" s="185">
        <v>169</v>
      </c>
      <c r="B170" s="185" t="s">
        <v>1802</v>
      </c>
      <c r="D170" s="185" t="s">
        <v>1803</v>
      </c>
      <c r="E170" s="186">
        <v>2017</v>
      </c>
      <c r="F170" s="185" t="s">
        <v>1804</v>
      </c>
      <c r="G170" s="185" t="s">
        <v>1805</v>
      </c>
      <c r="H170" s="184" t="s">
        <v>1464</v>
      </c>
      <c r="L170" s="185" t="s">
        <v>452</v>
      </c>
      <c r="M170" s="206"/>
    </row>
    <row r="171" spans="1:13" ht="15.05" customHeight="1">
      <c r="A171" s="185">
        <v>170</v>
      </c>
      <c r="B171" s="185" t="s">
        <v>1806</v>
      </c>
      <c r="D171" s="185" t="s">
        <v>1419</v>
      </c>
      <c r="E171" s="186">
        <v>2026</v>
      </c>
      <c r="F171" s="185" t="s">
        <v>1807</v>
      </c>
      <c r="G171" s="185" t="s">
        <v>179</v>
      </c>
      <c r="H171" s="184" t="s">
        <v>1472</v>
      </c>
      <c r="L171" s="185" t="s">
        <v>452</v>
      </c>
    </row>
    <row r="172" spans="1:13" ht="15.05" customHeight="1">
      <c r="A172" s="185">
        <v>171</v>
      </c>
      <c r="B172" s="185" t="s">
        <v>1808</v>
      </c>
      <c r="D172" s="185" t="s">
        <v>1420</v>
      </c>
      <c r="E172" s="186">
        <v>2017</v>
      </c>
      <c r="H172" s="184" t="s">
        <v>1472</v>
      </c>
      <c r="L172" s="185" t="s">
        <v>452</v>
      </c>
    </row>
    <row r="173" spans="1:13" ht="15.05" customHeight="1">
      <c r="A173" s="185">
        <v>172</v>
      </c>
      <c r="B173" s="185" t="s">
        <v>1809</v>
      </c>
      <c r="D173" s="185" t="s">
        <v>1421</v>
      </c>
      <c r="E173" s="186">
        <v>2026</v>
      </c>
      <c r="F173" s="185" t="s">
        <v>1194</v>
      </c>
      <c r="G173" s="185" t="s">
        <v>179</v>
      </c>
      <c r="H173" s="185" t="s">
        <v>1472</v>
      </c>
      <c r="L173" s="185" t="s">
        <v>452</v>
      </c>
    </row>
    <row r="174" spans="1:13" ht="15.05" customHeight="1">
      <c r="A174" s="185">
        <v>173</v>
      </c>
      <c r="B174" s="185" t="s">
        <v>1810</v>
      </c>
      <c r="D174" s="185" t="s">
        <v>1422</v>
      </c>
      <c r="E174" s="186">
        <v>2026</v>
      </c>
      <c r="H174" s="184" t="s">
        <v>1472</v>
      </c>
      <c r="L174" s="185" t="s">
        <v>452</v>
      </c>
    </row>
    <row r="175" spans="1:13" ht="15.05" customHeight="1">
      <c r="A175" s="185">
        <v>174</v>
      </c>
      <c r="B175" s="185" t="s">
        <v>1811</v>
      </c>
      <c r="D175" s="185" t="s">
        <v>1423</v>
      </c>
      <c r="E175" s="186">
        <v>2026</v>
      </c>
      <c r="F175" s="185" t="s">
        <v>178</v>
      </c>
      <c r="G175" s="185" t="s">
        <v>180</v>
      </c>
      <c r="H175" s="184" t="s">
        <v>1472</v>
      </c>
      <c r="L175" s="185" t="s">
        <v>452</v>
      </c>
    </row>
    <row r="176" spans="1:13" ht="15.05" customHeight="1">
      <c r="A176" s="185">
        <v>175</v>
      </c>
      <c r="B176" s="185" t="s">
        <v>1812</v>
      </c>
      <c r="D176" s="185" t="s">
        <v>1424</v>
      </c>
      <c r="E176" s="186">
        <v>2025</v>
      </c>
      <c r="F176" s="185" t="s">
        <v>178</v>
      </c>
      <c r="G176" s="185" t="s">
        <v>1813</v>
      </c>
      <c r="H176" s="184" t="s">
        <v>1472</v>
      </c>
      <c r="L176" s="185" t="s">
        <v>452</v>
      </c>
    </row>
    <row r="177" spans="1:12" ht="15.05" customHeight="1">
      <c r="A177" s="185">
        <v>176</v>
      </c>
      <c r="B177" s="185" t="s">
        <v>1814</v>
      </c>
      <c r="D177" s="185" t="s">
        <v>1425</v>
      </c>
      <c r="E177" s="186">
        <v>2026</v>
      </c>
      <c r="H177" s="184" t="s">
        <v>1472</v>
      </c>
      <c r="L177" s="185" t="s">
        <v>452</v>
      </c>
    </row>
    <row r="178" spans="1:12" ht="15.05" customHeight="1">
      <c r="A178" s="185">
        <v>177</v>
      </c>
      <c r="B178" s="185" t="s">
        <v>1815</v>
      </c>
      <c r="D178" s="185" t="s">
        <v>1426</v>
      </c>
      <c r="E178" s="186">
        <v>2026</v>
      </c>
      <c r="H178" s="184" t="s">
        <v>1472</v>
      </c>
      <c r="L178" s="185" t="s">
        <v>452</v>
      </c>
    </row>
    <row r="179" spans="1:12" ht="15.05" customHeight="1">
      <c r="A179" s="185">
        <v>178</v>
      </c>
      <c r="B179" s="185" t="s">
        <v>1816</v>
      </c>
      <c r="D179" s="185" t="s">
        <v>1427</v>
      </c>
      <c r="E179" s="186">
        <v>2026</v>
      </c>
      <c r="H179" s="184" t="s">
        <v>1472</v>
      </c>
      <c r="L179" s="185" t="s">
        <v>452</v>
      </c>
    </row>
    <row r="180" spans="1:12" ht="15.05" customHeight="1">
      <c r="A180" s="185">
        <v>179</v>
      </c>
      <c r="B180" s="185" t="s">
        <v>1817</v>
      </c>
      <c r="D180" s="185" t="s">
        <v>1428</v>
      </c>
      <c r="E180" s="186">
        <v>2026</v>
      </c>
      <c r="H180" s="184" t="s">
        <v>1472</v>
      </c>
      <c r="L180" s="185" t="s">
        <v>452</v>
      </c>
    </row>
    <row r="181" spans="1:12" ht="15.05" customHeight="1">
      <c r="A181" s="185">
        <v>180</v>
      </c>
      <c r="B181" s="185" t="s">
        <v>1818</v>
      </c>
      <c r="D181" s="185" t="s">
        <v>1819</v>
      </c>
      <c r="E181" s="186">
        <v>2026</v>
      </c>
      <c r="H181" s="184" t="s">
        <v>1472</v>
      </c>
      <c r="L181" s="185" t="s">
        <v>452</v>
      </c>
    </row>
    <row r="182" spans="1:12" ht="15.05" customHeight="1">
      <c r="A182" s="185">
        <v>181</v>
      </c>
      <c r="B182" s="185" t="s">
        <v>1820</v>
      </c>
      <c r="D182" s="185" t="s">
        <v>1821</v>
      </c>
      <c r="E182" s="186">
        <v>2026</v>
      </c>
      <c r="H182" s="184" t="s">
        <v>1472</v>
      </c>
      <c r="L182" s="185" t="s">
        <v>452</v>
      </c>
    </row>
    <row r="183" spans="1:12" ht="15.05" customHeight="1">
      <c r="A183" s="185">
        <v>182</v>
      </c>
      <c r="B183" s="185" t="s">
        <v>1822</v>
      </c>
      <c r="D183" s="185" t="s">
        <v>1429</v>
      </c>
      <c r="E183" s="186">
        <v>2026</v>
      </c>
      <c r="H183" s="184" t="s">
        <v>1472</v>
      </c>
      <c r="L183" s="185" t="s">
        <v>452</v>
      </c>
    </row>
    <row r="184" spans="1:12" ht="15.05" customHeight="1">
      <c r="A184" s="185">
        <v>183</v>
      </c>
      <c r="B184" s="185" t="s">
        <v>1823</v>
      </c>
      <c r="D184" s="185" t="s">
        <v>1430</v>
      </c>
      <c r="E184" s="186">
        <v>2019</v>
      </c>
      <c r="H184" s="185" t="s">
        <v>1472</v>
      </c>
      <c r="L184" s="185" t="s">
        <v>452</v>
      </c>
    </row>
    <row r="185" spans="1:12" ht="15.05" customHeight="1">
      <c r="A185" s="185">
        <v>184</v>
      </c>
      <c r="B185" s="185" t="s">
        <v>1824</v>
      </c>
      <c r="D185" s="185" t="s">
        <v>1431</v>
      </c>
      <c r="E185" s="186">
        <v>2006</v>
      </c>
      <c r="F185" s="185" t="s">
        <v>178</v>
      </c>
      <c r="G185" s="185" t="s">
        <v>180</v>
      </c>
      <c r="H185" s="184" t="s">
        <v>1472</v>
      </c>
      <c r="L185" s="185" t="s">
        <v>452</v>
      </c>
    </row>
    <row r="186" spans="1:12" ht="15.05" customHeight="1">
      <c r="A186" s="185">
        <v>185</v>
      </c>
      <c r="B186" s="229" t="s">
        <v>1954</v>
      </c>
      <c r="D186" s="208" t="s">
        <v>1953</v>
      </c>
      <c r="H186" s="184" t="s">
        <v>1472</v>
      </c>
      <c r="L186" s="185" t="s">
        <v>452</v>
      </c>
    </row>
    <row r="187" spans="1:12" ht="15.05" customHeight="1">
      <c r="A187" s="185">
        <v>186</v>
      </c>
      <c r="B187" s="208" t="s">
        <v>1955</v>
      </c>
      <c r="D187" s="208" t="s">
        <v>1953</v>
      </c>
      <c r="H187" s="184" t="s">
        <v>1472</v>
      </c>
      <c r="L187" s="185" t="s">
        <v>452</v>
      </c>
    </row>
    <row r="188" spans="1:12" ht="15.05" customHeight="1">
      <c r="A188" s="185">
        <v>187</v>
      </c>
      <c r="B188" s="185" t="s">
        <v>1825</v>
      </c>
      <c r="D188" s="185" t="s">
        <v>1826</v>
      </c>
      <c r="E188" s="186">
        <v>2026</v>
      </c>
      <c r="F188" s="185" t="s">
        <v>178</v>
      </c>
      <c r="G188" s="185" t="s">
        <v>180</v>
      </c>
      <c r="H188" s="185" t="s">
        <v>1472</v>
      </c>
      <c r="L188" s="185" t="s">
        <v>452</v>
      </c>
    </row>
    <row r="189" spans="1:12" ht="15.05" customHeight="1">
      <c r="A189" s="185">
        <v>188</v>
      </c>
      <c r="B189" s="185" t="s">
        <v>1827</v>
      </c>
      <c r="D189" s="185" t="s">
        <v>1432</v>
      </c>
      <c r="E189" s="186">
        <v>2011</v>
      </c>
      <c r="H189" s="185" t="s">
        <v>1472</v>
      </c>
      <c r="L189" s="185" t="s">
        <v>452</v>
      </c>
    </row>
    <row r="190" spans="1:12" ht="15.05" customHeight="1">
      <c r="A190" s="185">
        <v>189</v>
      </c>
      <c r="B190" s="185" t="s">
        <v>1828</v>
      </c>
      <c r="D190" s="185" t="s">
        <v>1433</v>
      </c>
      <c r="E190" s="186">
        <v>2026</v>
      </c>
      <c r="H190" s="185" t="s">
        <v>1472</v>
      </c>
      <c r="L190" s="185" t="s">
        <v>452</v>
      </c>
    </row>
    <row r="191" spans="1:12" ht="15.05" customHeight="1">
      <c r="A191" s="185">
        <v>190</v>
      </c>
      <c r="B191" s="185" t="s">
        <v>1829</v>
      </c>
      <c r="D191" s="185" t="s">
        <v>1434</v>
      </c>
      <c r="E191" s="186">
        <v>2026</v>
      </c>
      <c r="F191" s="185" t="s">
        <v>1830</v>
      </c>
      <c r="G191" s="185" t="s">
        <v>179</v>
      </c>
      <c r="H191" s="185" t="s">
        <v>1472</v>
      </c>
      <c r="L191" s="185" t="s">
        <v>452</v>
      </c>
    </row>
    <row r="192" spans="1:12" ht="15.05" customHeight="1">
      <c r="A192" s="185">
        <v>191</v>
      </c>
      <c r="B192" s="185" t="s">
        <v>1831</v>
      </c>
      <c r="C192" s="185" t="s">
        <v>1832</v>
      </c>
      <c r="D192" s="185" t="s">
        <v>1833</v>
      </c>
      <c r="E192" s="186">
        <v>2017</v>
      </c>
      <c r="F192" s="185" t="s">
        <v>1089</v>
      </c>
      <c r="G192" s="185" t="s">
        <v>180</v>
      </c>
      <c r="H192" s="184" t="s">
        <v>1464</v>
      </c>
      <c r="L192" s="185" t="s">
        <v>452</v>
      </c>
    </row>
    <row r="193" spans="1:12" ht="15.05" customHeight="1">
      <c r="A193" s="185">
        <v>192</v>
      </c>
      <c r="B193" s="207" t="s">
        <v>1834</v>
      </c>
      <c r="C193" s="185" t="s">
        <v>1835</v>
      </c>
      <c r="D193" s="185" t="s">
        <v>1836</v>
      </c>
      <c r="E193" s="186">
        <v>2007</v>
      </c>
      <c r="F193" s="185" t="s">
        <v>1837</v>
      </c>
      <c r="G193" s="185" t="s">
        <v>1805</v>
      </c>
      <c r="H193" s="184" t="s">
        <v>1464</v>
      </c>
      <c r="L193" s="185" t="s">
        <v>452</v>
      </c>
    </row>
    <row r="194" spans="1:12" ht="15.05" customHeight="1">
      <c r="A194" s="185">
        <v>193</v>
      </c>
      <c r="B194" s="185" t="s">
        <v>1838</v>
      </c>
      <c r="C194" s="185" t="s">
        <v>1839</v>
      </c>
      <c r="D194" s="185" t="s">
        <v>1840</v>
      </c>
      <c r="E194" s="186">
        <v>2023</v>
      </c>
      <c r="F194" s="185" t="s">
        <v>1841</v>
      </c>
      <c r="G194" s="185" t="s">
        <v>181</v>
      </c>
      <c r="H194" s="184" t="s">
        <v>1464</v>
      </c>
      <c r="L194" s="185" t="s">
        <v>452</v>
      </c>
    </row>
    <row r="195" spans="1:12" ht="15.05" customHeight="1">
      <c r="A195" s="185">
        <v>194</v>
      </c>
      <c r="B195" s="185" t="s">
        <v>1842</v>
      </c>
      <c r="D195" s="185" t="s">
        <v>1843</v>
      </c>
      <c r="E195" s="186">
        <v>2013</v>
      </c>
      <c r="F195" s="185" t="s">
        <v>1804</v>
      </c>
      <c r="G195" s="185" t="s">
        <v>1805</v>
      </c>
      <c r="H195" s="184" t="s">
        <v>1464</v>
      </c>
      <c r="L195" s="185" t="s">
        <v>452</v>
      </c>
    </row>
    <row r="196" spans="1:12" ht="15.05" customHeight="1">
      <c r="A196" s="185">
        <v>195</v>
      </c>
      <c r="B196" s="185" t="s">
        <v>1844</v>
      </c>
      <c r="C196" s="185" t="s">
        <v>1845</v>
      </c>
      <c r="D196" s="185" t="s">
        <v>1846</v>
      </c>
      <c r="E196" s="186">
        <v>2014</v>
      </c>
      <c r="F196" s="185" t="s">
        <v>188</v>
      </c>
      <c r="G196" s="185" t="s">
        <v>181</v>
      </c>
      <c r="H196" s="184" t="s">
        <v>1464</v>
      </c>
      <c r="L196" s="185" t="s">
        <v>452</v>
      </c>
    </row>
    <row r="197" spans="1:12" ht="15.05" customHeight="1">
      <c r="A197" s="185">
        <v>196</v>
      </c>
      <c r="B197" s="185" t="s">
        <v>1847</v>
      </c>
      <c r="C197" s="185" t="s">
        <v>1848</v>
      </c>
      <c r="D197" s="185" t="s">
        <v>1849</v>
      </c>
      <c r="E197" s="186">
        <v>2002</v>
      </c>
      <c r="F197" s="185" t="s">
        <v>1850</v>
      </c>
      <c r="G197" s="185" t="s">
        <v>181</v>
      </c>
      <c r="H197" s="184" t="s">
        <v>1464</v>
      </c>
      <c r="L197" s="185" t="s">
        <v>452</v>
      </c>
    </row>
    <row r="198" spans="1:12" ht="15.05" customHeight="1">
      <c r="A198" s="185">
        <v>197</v>
      </c>
      <c r="B198" s="185" t="s">
        <v>1851</v>
      </c>
      <c r="C198" s="185" t="s">
        <v>1852</v>
      </c>
      <c r="D198" s="185" t="s">
        <v>1853</v>
      </c>
      <c r="E198" s="186">
        <v>2008</v>
      </c>
      <c r="F198" s="185" t="s">
        <v>194</v>
      </c>
      <c r="G198" s="185" t="s">
        <v>181</v>
      </c>
      <c r="H198" s="184" t="s">
        <v>1464</v>
      </c>
      <c r="L198" s="185" t="s">
        <v>452</v>
      </c>
    </row>
    <row r="199" spans="1:12" ht="15.05" customHeight="1">
      <c r="A199" s="185">
        <v>198</v>
      </c>
      <c r="B199" s="185" t="s">
        <v>1854</v>
      </c>
      <c r="C199" s="185" t="s">
        <v>1855</v>
      </c>
      <c r="D199" s="185" t="s">
        <v>1435</v>
      </c>
      <c r="E199" s="186">
        <v>2016</v>
      </c>
      <c r="F199" s="185" t="s">
        <v>1856</v>
      </c>
      <c r="G199" s="185" t="s">
        <v>179</v>
      </c>
      <c r="H199" s="184" t="s">
        <v>1464</v>
      </c>
      <c r="L199" s="185" t="s">
        <v>452</v>
      </c>
    </row>
    <row r="200" spans="1:12" ht="15.05" customHeight="1">
      <c r="A200" s="185">
        <v>199</v>
      </c>
      <c r="B200" s="185" t="s">
        <v>1857</v>
      </c>
      <c r="C200" s="185" t="s">
        <v>1858</v>
      </c>
      <c r="D200" s="185" t="s">
        <v>1308</v>
      </c>
      <c r="E200" s="186">
        <v>2021</v>
      </c>
      <c r="F200" s="185" t="s">
        <v>188</v>
      </c>
      <c r="G200" s="185" t="s">
        <v>181</v>
      </c>
      <c r="H200" s="184" t="s">
        <v>1464</v>
      </c>
      <c r="L200" s="185" t="s">
        <v>452</v>
      </c>
    </row>
    <row r="201" spans="1:12" ht="15.05" customHeight="1">
      <c r="A201" s="185">
        <v>200</v>
      </c>
      <c r="B201" s="185" t="s">
        <v>1859</v>
      </c>
      <c r="C201" s="185" t="s">
        <v>1860</v>
      </c>
      <c r="D201" s="185" t="s">
        <v>1309</v>
      </c>
      <c r="E201" s="186">
        <v>2018</v>
      </c>
      <c r="F201" s="185" t="s">
        <v>1850</v>
      </c>
      <c r="G201" s="185" t="s">
        <v>181</v>
      </c>
      <c r="H201" s="184" t="s">
        <v>1464</v>
      </c>
      <c r="L201" s="185" t="s">
        <v>452</v>
      </c>
    </row>
    <row r="202" spans="1:12" ht="15.05" customHeight="1">
      <c r="A202" s="185">
        <v>201</v>
      </c>
      <c r="B202" s="185" t="s">
        <v>1861</v>
      </c>
      <c r="C202" s="196" t="s">
        <v>1862</v>
      </c>
      <c r="D202" s="185" t="s">
        <v>1436</v>
      </c>
      <c r="E202" s="186">
        <v>2015</v>
      </c>
      <c r="F202" s="185" t="s">
        <v>182</v>
      </c>
      <c r="G202" s="185" t="s">
        <v>181</v>
      </c>
      <c r="H202" s="184" t="s">
        <v>1464</v>
      </c>
      <c r="L202" s="185" t="s">
        <v>452</v>
      </c>
    </row>
    <row r="203" spans="1:12" ht="15.05" customHeight="1">
      <c r="A203" s="185">
        <v>202</v>
      </c>
      <c r="B203" s="185" t="s">
        <v>1863</v>
      </c>
      <c r="C203" s="185" t="s">
        <v>1864</v>
      </c>
      <c r="D203" s="185" t="s">
        <v>1437</v>
      </c>
      <c r="E203" s="186">
        <v>2017</v>
      </c>
      <c r="F203" s="185" t="s">
        <v>1299</v>
      </c>
      <c r="G203" s="185" t="s">
        <v>181</v>
      </c>
      <c r="H203" s="184" t="s">
        <v>1464</v>
      </c>
      <c r="L203" s="185" t="s">
        <v>452</v>
      </c>
    </row>
    <row r="204" spans="1:12" ht="15.05" customHeight="1">
      <c r="A204" s="185">
        <v>203</v>
      </c>
      <c r="B204" s="185" t="s">
        <v>1865</v>
      </c>
      <c r="C204" s="185" t="s">
        <v>1866</v>
      </c>
      <c r="D204" s="185" t="s">
        <v>1867</v>
      </c>
      <c r="E204" s="186">
        <v>2009</v>
      </c>
      <c r="F204" s="185" t="s">
        <v>1301</v>
      </c>
      <c r="G204" s="185" t="s">
        <v>1805</v>
      </c>
      <c r="H204" s="184" t="s">
        <v>1464</v>
      </c>
      <c r="L204" s="185" t="s">
        <v>452</v>
      </c>
    </row>
    <row r="205" spans="1:12" ht="15.05" customHeight="1">
      <c r="A205" s="185">
        <v>204</v>
      </c>
      <c r="B205" s="185" t="s">
        <v>1868</v>
      </c>
      <c r="C205" s="185" t="s">
        <v>1869</v>
      </c>
      <c r="D205" s="185" t="s">
        <v>1870</v>
      </c>
      <c r="E205" s="186">
        <v>2021</v>
      </c>
      <c r="F205" s="185" t="s">
        <v>1871</v>
      </c>
      <c r="G205" s="185" t="s">
        <v>179</v>
      </c>
      <c r="H205" s="184" t="s">
        <v>1464</v>
      </c>
      <c r="L205" s="185" t="s">
        <v>452</v>
      </c>
    </row>
    <row r="206" spans="1:12" ht="15.05" customHeight="1">
      <c r="A206" s="185">
        <v>205</v>
      </c>
      <c r="B206" s="185" t="s">
        <v>1872</v>
      </c>
      <c r="C206" s="185" t="s">
        <v>1873</v>
      </c>
      <c r="D206" s="185" t="s">
        <v>1874</v>
      </c>
      <c r="E206" s="186">
        <v>2011</v>
      </c>
      <c r="F206" s="185" t="s">
        <v>182</v>
      </c>
      <c r="G206" s="185" t="s">
        <v>181</v>
      </c>
      <c r="H206" s="184" t="s">
        <v>1464</v>
      </c>
      <c r="L206" s="185" t="s">
        <v>452</v>
      </c>
    </row>
    <row r="207" spans="1:12" ht="15.05" customHeight="1">
      <c r="A207" s="185">
        <v>206</v>
      </c>
      <c r="B207" s="185" t="s">
        <v>1875</v>
      </c>
      <c r="C207" s="185" t="s">
        <v>1876</v>
      </c>
      <c r="D207" s="185" t="s">
        <v>1877</v>
      </c>
      <c r="E207" s="186">
        <v>2003</v>
      </c>
      <c r="F207" s="185" t="s">
        <v>1878</v>
      </c>
      <c r="G207" s="185" t="s">
        <v>181</v>
      </c>
      <c r="H207" s="184" t="s">
        <v>1464</v>
      </c>
      <c r="L207" s="185" t="s">
        <v>452</v>
      </c>
    </row>
    <row r="208" spans="1:12" ht="15.05" customHeight="1">
      <c r="A208" s="185">
        <v>207</v>
      </c>
      <c r="B208" s="185" t="s">
        <v>1879</v>
      </c>
      <c r="C208" s="185" t="s">
        <v>1880</v>
      </c>
      <c r="D208" s="185" t="s">
        <v>1881</v>
      </c>
      <c r="E208" s="186">
        <v>2023</v>
      </c>
      <c r="F208" s="185" t="s">
        <v>178</v>
      </c>
      <c r="G208" s="185" t="s">
        <v>180</v>
      </c>
      <c r="H208" s="184" t="s">
        <v>1464</v>
      </c>
      <c r="L208" s="185" t="s">
        <v>452</v>
      </c>
    </row>
    <row r="209" spans="1:14" ht="15.05" customHeight="1">
      <c r="A209" s="185">
        <v>208</v>
      </c>
      <c r="B209" s="185" t="s">
        <v>1882</v>
      </c>
      <c r="C209" s="185" t="s">
        <v>1883</v>
      </c>
      <c r="D209" s="185" t="s">
        <v>1884</v>
      </c>
      <c r="E209" s="186">
        <v>2011</v>
      </c>
      <c r="F209" s="185" t="s">
        <v>178</v>
      </c>
      <c r="G209" s="185" t="s">
        <v>180</v>
      </c>
      <c r="H209" s="184" t="s">
        <v>1464</v>
      </c>
      <c r="L209" s="185" t="s">
        <v>452</v>
      </c>
    </row>
    <row r="210" spans="1:14" ht="15.05" customHeight="1">
      <c r="A210" s="185">
        <v>209</v>
      </c>
      <c r="B210" s="185" t="s">
        <v>1885</v>
      </c>
      <c r="C210" s="185" t="s">
        <v>1886</v>
      </c>
      <c r="D210" s="185" t="s">
        <v>1887</v>
      </c>
      <c r="E210" s="186">
        <v>2020</v>
      </c>
      <c r="F210" s="185" t="s">
        <v>188</v>
      </c>
      <c r="G210" s="185" t="s">
        <v>181</v>
      </c>
      <c r="H210" s="184" t="s">
        <v>1464</v>
      </c>
      <c r="L210" s="185" t="s">
        <v>452</v>
      </c>
    </row>
    <row r="211" spans="1:14" ht="15.05" customHeight="1">
      <c r="A211" s="185">
        <v>210</v>
      </c>
      <c r="B211" s="185" t="s">
        <v>1888</v>
      </c>
      <c r="C211" s="185" t="s">
        <v>1889</v>
      </c>
      <c r="D211" s="185" t="s">
        <v>1890</v>
      </c>
      <c r="E211" s="186">
        <v>2017</v>
      </c>
      <c r="F211" s="185" t="s">
        <v>182</v>
      </c>
      <c r="G211" s="185" t="s">
        <v>181</v>
      </c>
      <c r="H211" s="184" t="s">
        <v>1464</v>
      </c>
      <c r="L211" s="185" t="s">
        <v>452</v>
      </c>
    </row>
    <row r="212" spans="1:14" ht="15.05" customHeight="1">
      <c r="A212" s="185">
        <v>211</v>
      </c>
      <c r="B212" s="185" t="s">
        <v>1891</v>
      </c>
      <c r="C212" s="185" t="s">
        <v>1892</v>
      </c>
      <c r="D212" s="185" t="s">
        <v>1893</v>
      </c>
      <c r="E212" s="186">
        <v>2018</v>
      </c>
      <c r="F212" s="185" t="s">
        <v>1804</v>
      </c>
      <c r="G212" s="185" t="s">
        <v>1805</v>
      </c>
      <c r="H212" s="184" t="s">
        <v>1464</v>
      </c>
      <c r="L212" s="185" t="s">
        <v>452</v>
      </c>
    </row>
    <row r="213" spans="1:14" ht="15.05" customHeight="1">
      <c r="A213" s="185">
        <v>212</v>
      </c>
      <c r="B213" s="185" t="s">
        <v>1894</v>
      </c>
      <c r="D213" s="185" t="s">
        <v>1895</v>
      </c>
      <c r="E213" s="186">
        <v>2013</v>
      </c>
      <c r="F213" s="185" t="s">
        <v>182</v>
      </c>
      <c r="G213" s="185" t="s">
        <v>181</v>
      </c>
      <c r="H213" s="184" t="s">
        <v>1464</v>
      </c>
      <c r="L213" s="185" t="s">
        <v>452</v>
      </c>
    </row>
    <row r="214" spans="1:14" ht="15.05" customHeight="1">
      <c r="A214" s="185">
        <v>213</v>
      </c>
      <c r="B214" s="185" t="s">
        <v>1896</v>
      </c>
      <c r="D214" s="185" t="s">
        <v>1310</v>
      </c>
      <c r="E214" s="186">
        <v>2003</v>
      </c>
      <c r="F214" s="185" t="s">
        <v>188</v>
      </c>
      <c r="G214" s="185" t="s">
        <v>181</v>
      </c>
      <c r="H214" s="185" t="s">
        <v>1464</v>
      </c>
      <c r="L214" s="185" t="s">
        <v>452</v>
      </c>
      <c r="N214" s="207"/>
    </row>
    <row r="215" spans="1:14" ht="15.05" customHeight="1">
      <c r="A215" s="185">
        <v>214</v>
      </c>
      <c r="B215" s="185" t="s">
        <v>1897</v>
      </c>
      <c r="C215" s="185" t="s">
        <v>1898</v>
      </c>
      <c r="D215" s="185" t="s">
        <v>1899</v>
      </c>
      <c r="E215" s="186">
        <v>2015</v>
      </c>
      <c r="F215" s="185" t="s">
        <v>1900</v>
      </c>
      <c r="G215" s="185" t="s">
        <v>1805</v>
      </c>
      <c r="H215" s="184" t="s">
        <v>1464</v>
      </c>
      <c r="L215" s="185" t="s">
        <v>452</v>
      </c>
    </row>
    <row r="216" spans="1:14" ht="15.05" customHeight="1">
      <c r="A216" s="185">
        <v>215</v>
      </c>
      <c r="B216" s="185" t="s">
        <v>1901</v>
      </c>
      <c r="C216" s="185" t="s">
        <v>1902</v>
      </c>
      <c r="D216" s="185" t="s">
        <v>1903</v>
      </c>
      <c r="E216" s="186">
        <v>2007</v>
      </c>
      <c r="F216" s="185" t="s">
        <v>1904</v>
      </c>
      <c r="G216" s="185" t="s">
        <v>179</v>
      </c>
      <c r="H216" s="184" t="s">
        <v>1464</v>
      </c>
      <c r="L216" s="185" t="s">
        <v>452</v>
      </c>
    </row>
    <row r="217" spans="1:14" ht="15.05" customHeight="1">
      <c r="A217" s="185">
        <v>216</v>
      </c>
      <c r="B217" s="185" t="s">
        <v>1905</v>
      </c>
      <c r="C217" s="185" t="s">
        <v>1906</v>
      </c>
      <c r="D217" s="185" t="s">
        <v>1907</v>
      </c>
      <c r="E217" s="186">
        <v>2020</v>
      </c>
      <c r="F217" s="185" t="s">
        <v>1231</v>
      </c>
      <c r="G217" s="185" t="s">
        <v>179</v>
      </c>
      <c r="H217" s="184" t="s">
        <v>1464</v>
      </c>
      <c r="L217" s="185" t="s">
        <v>452</v>
      </c>
    </row>
    <row r="218" spans="1:14" ht="15.05" customHeight="1">
      <c r="A218" s="185">
        <v>217</v>
      </c>
      <c r="B218" s="185" t="s">
        <v>1908</v>
      </c>
      <c r="C218" s="185" t="s">
        <v>1438</v>
      </c>
      <c r="D218" s="185" t="s">
        <v>1439</v>
      </c>
      <c r="E218" s="186">
        <v>2020</v>
      </c>
      <c r="F218" s="185" t="s">
        <v>1841</v>
      </c>
      <c r="G218" s="185" t="s">
        <v>181</v>
      </c>
      <c r="H218" s="184" t="s">
        <v>1464</v>
      </c>
      <c r="L218" s="185" t="s">
        <v>452</v>
      </c>
    </row>
    <row r="219" spans="1:14" ht="15.05" customHeight="1">
      <c r="A219" s="185">
        <v>218</v>
      </c>
      <c r="B219" s="185" t="s">
        <v>1909</v>
      </c>
      <c r="C219" s="185" t="s">
        <v>1910</v>
      </c>
      <c r="D219" s="185" t="s">
        <v>1911</v>
      </c>
      <c r="E219" s="186">
        <v>2013</v>
      </c>
      <c r="F219" s="185" t="s">
        <v>1912</v>
      </c>
      <c r="G219" s="185" t="s">
        <v>179</v>
      </c>
      <c r="H219" s="184" t="s">
        <v>1464</v>
      </c>
      <c r="L219" s="185" t="s">
        <v>452</v>
      </c>
    </row>
    <row r="220" spans="1:14" ht="15.05" customHeight="1">
      <c r="A220" s="185">
        <v>219</v>
      </c>
      <c r="B220" s="185" t="s">
        <v>1913</v>
      </c>
      <c r="C220" s="185" t="s">
        <v>1914</v>
      </c>
      <c r="D220" s="185" t="s">
        <v>1311</v>
      </c>
      <c r="E220" s="186">
        <v>2016</v>
      </c>
      <c r="F220" s="185" t="s">
        <v>1915</v>
      </c>
      <c r="G220" s="185" t="s">
        <v>179</v>
      </c>
      <c r="H220" s="184" t="s">
        <v>1464</v>
      </c>
      <c r="L220" s="185" t="s">
        <v>452</v>
      </c>
    </row>
    <row r="221" spans="1:14" ht="15.05" customHeight="1">
      <c r="A221" s="185">
        <v>220</v>
      </c>
      <c r="B221" s="185" t="s">
        <v>1916</v>
      </c>
      <c r="D221" s="185" t="s">
        <v>1312</v>
      </c>
      <c r="E221" s="186">
        <v>2008</v>
      </c>
      <c r="F221" s="185" t="s">
        <v>178</v>
      </c>
      <c r="G221" s="185" t="s">
        <v>180</v>
      </c>
      <c r="H221" s="184" t="s">
        <v>1464</v>
      </c>
      <c r="L221" s="185" t="s">
        <v>452</v>
      </c>
    </row>
    <row r="222" spans="1:14" ht="15.05" customHeight="1">
      <c r="A222" s="185">
        <v>221</v>
      </c>
      <c r="B222" s="185" t="s">
        <v>1917</v>
      </c>
      <c r="C222" s="185" t="s">
        <v>1918</v>
      </c>
      <c r="D222" s="185" t="s">
        <v>1313</v>
      </c>
      <c r="E222" s="186">
        <v>2017</v>
      </c>
      <c r="F222" s="185" t="s">
        <v>490</v>
      </c>
      <c r="G222" s="185" t="s">
        <v>179</v>
      </c>
      <c r="H222" s="184" t="s">
        <v>1464</v>
      </c>
      <c r="L222" s="185" t="s">
        <v>452</v>
      </c>
    </row>
    <row r="223" spans="1:14" ht="15.05" customHeight="1">
      <c r="A223" s="185">
        <f>A222+1</f>
        <v>222</v>
      </c>
      <c r="B223" s="185" t="s">
        <v>1919</v>
      </c>
      <c r="C223" s="185" t="s">
        <v>1920</v>
      </c>
      <c r="D223" s="185" t="s">
        <v>1921</v>
      </c>
      <c r="E223" s="186">
        <v>2023</v>
      </c>
      <c r="F223" s="185" t="s">
        <v>1804</v>
      </c>
      <c r="G223" s="185" t="s">
        <v>1805</v>
      </c>
      <c r="H223" s="184" t="s">
        <v>1464</v>
      </c>
      <c r="L223" s="185" t="s">
        <v>452</v>
      </c>
    </row>
    <row r="224" spans="1:14" ht="15.05" customHeight="1">
      <c r="A224" s="185">
        <f t="shared" ref="A224:A233" si="0">A223+1</f>
        <v>223</v>
      </c>
      <c r="B224" s="185" t="s">
        <v>1922</v>
      </c>
      <c r="D224" s="185" t="s">
        <v>1923</v>
      </c>
      <c r="E224" s="186">
        <v>2018</v>
      </c>
      <c r="F224" s="185" t="s">
        <v>178</v>
      </c>
      <c r="G224" s="185" t="s">
        <v>180</v>
      </c>
      <c r="H224" s="185" t="s">
        <v>1472</v>
      </c>
      <c r="L224" s="185" t="s">
        <v>452</v>
      </c>
    </row>
    <row r="225" spans="1:12" ht="15.05" customHeight="1">
      <c r="A225" s="185">
        <v>224</v>
      </c>
      <c r="B225" s="185" t="s">
        <v>1952</v>
      </c>
      <c r="C225" s="185" t="s">
        <v>1924</v>
      </c>
      <c r="D225" s="185" t="s">
        <v>1925</v>
      </c>
      <c r="E225" s="186">
        <v>2023</v>
      </c>
      <c r="F225" s="185" t="s">
        <v>1194</v>
      </c>
      <c r="G225" s="185" t="s">
        <v>179</v>
      </c>
      <c r="H225" s="185" t="s">
        <v>1464</v>
      </c>
      <c r="L225" s="185" t="s">
        <v>452</v>
      </c>
    </row>
    <row r="226" spans="1:12" ht="15.05" customHeight="1">
      <c r="A226" s="185">
        <f>A225+1</f>
        <v>225</v>
      </c>
      <c r="B226" s="185" t="s">
        <v>1926</v>
      </c>
      <c r="C226" s="185" t="s">
        <v>1927</v>
      </c>
      <c r="D226" s="185" t="s">
        <v>1928</v>
      </c>
      <c r="E226" s="186">
        <v>2010</v>
      </c>
      <c r="F226" s="185" t="s">
        <v>178</v>
      </c>
      <c r="G226" s="185" t="s">
        <v>180</v>
      </c>
      <c r="H226" s="184" t="s">
        <v>1464</v>
      </c>
      <c r="L226" s="185" t="s">
        <v>452</v>
      </c>
    </row>
    <row r="227" spans="1:12" ht="15.05" customHeight="1">
      <c r="A227" s="185">
        <f t="shared" si="0"/>
        <v>226</v>
      </c>
      <c r="B227" s="184" t="s">
        <v>1929</v>
      </c>
      <c r="D227" s="185" t="s">
        <v>1930</v>
      </c>
      <c r="E227" s="186">
        <v>2023</v>
      </c>
      <c r="H227" s="185" t="s">
        <v>1472</v>
      </c>
      <c r="L227" s="185" t="s">
        <v>452</v>
      </c>
    </row>
    <row r="228" spans="1:12" ht="15.05" customHeight="1">
      <c r="A228" s="185">
        <f t="shared" si="0"/>
        <v>227</v>
      </c>
      <c r="B228" s="185" t="s">
        <v>1931</v>
      </c>
      <c r="D228" s="185" t="s">
        <v>1932</v>
      </c>
      <c r="E228" s="186">
        <v>2023</v>
      </c>
      <c r="H228" s="185" t="s">
        <v>1472</v>
      </c>
      <c r="L228" s="185" t="s">
        <v>452</v>
      </c>
    </row>
    <row r="229" spans="1:12" ht="15.05" customHeight="1">
      <c r="A229" s="185">
        <f t="shared" si="0"/>
        <v>228</v>
      </c>
      <c r="B229" s="184" t="s">
        <v>1933</v>
      </c>
      <c r="D229" s="185" t="s">
        <v>1934</v>
      </c>
      <c r="E229" s="186">
        <v>1975</v>
      </c>
      <c r="F229" s="185" t="s">
        <v>178</v>
      </c>
      <c r="G229" s="185" t="s">
        <v>180</v>
      </c>
      <c r="H229" s="185" t="s">
        <v>1464</v>
      </c>
      <c r="L229" s="185" t="s">
        <v>452</v>
      </c>
    </row>
    <row r="230" spans="1:12" ht="15.05" customHeight="1">
      <c r="A230" s="185">
        <f t="shared" si="0"/>
        <v>229</v>
      </c>
      <c r="B230" s="185" t="s">
        <v>1935</v>
      </c>
      <c r="D230" s="185" t="s">
        <v>1936</v>
      </c>
      <c r="E230" s="186">
        <v>2026</v>
      </c>
      <c r="F230" s="185" t="s">
        <v>1194</v>
      </c>
      <c r="G230" s="185" t="s">
        <v>179</v>
      </c>
      <c r="H230" s="185" t="s">
        <v>1472</v>
      </c>
      <c r="L230" s="185" t="s">
        <v>452</v>
      </c>
    </row>
    <row r="231" spans="1:12" ht="15.05" customHeight="1">
      <c r="A231" s="185">
        <f t="shared" si="0"/>
        <v>230</v>
      </c>
      <c r="B231" s="184" t="s">
        <v>1937</v>
      </c>
      <c r="D231" s="185" t="s">
        <v>1938</v>
      </c>
      <c r="E231" s="186">
        <v>2023</v>
      </c>
      <c r="H231" s="185" t="s">
        <v>1472</v>
      </c>
      <c r="L231" s="185" t="s">
        <v>452</v>
      </c>
    </row>
    <row r="232" spans="1:12" ht="15.05" customHeight="1">
      <c r="A232" s="185">
        <f t="shared" si="0"/>
        <v>231</v>
      </c>
      <c r="B232" s="185" t="s">
        <v>1939</v>
      </c>
      <c r="C232" s="185" t="s">
        <v>1940</v>
      </c>
      <c r="D232" s="185" t="s">
        <v>1941</v>
      </c>
      <c r="E232" s="186">
        <v>2014</v>
      </c>
      <c r="F232" s="185" t="s">
        <v>1856</v>
      </c>
      <c r="G232" s="185" t="s">
        <v>179</v>
      </c>
      <c r="H232" s="184" t="s">
        <v>1464</v>
      </c>
      <c r="L232" s="185" t="s">
        <v>452</v>
      </c>
    </row>
    <row r="233" spans="1:12" ht="15.05" customHeight="1">
      <c r="A233" s="185">
        <f t="shared" si="0"/>
        <v>232</v>
      </c>
      <c r="B233" s="184" t="s">
        <v>1942</v>
      </c>
      <c r="D233" s="185" t="s">
        <v>1943</v>
      </c>
      <c r="E233" s="186">
        <v>2026</v>
      </c>
      <c r="H233" s="185" t="s">
        <v>1472</v>
      </c>
      <c r="L233" s="185" t="s">
        <v>452</v>
      </c>
    </row>
    <row r="277" spans="2:4">
      <c r="B277" s="208"/>
      <c r="D277" s="208"/>
    </row>
    <row r="279" spans="2:4">
      <c r="D279" s="187"/>
    </row>
    <row r="284" spans="2:4">
      <c r="B284" s="207"/>
    </row>
    <row r="293" spans="3:3">
      <c r="C293" s="196"/>
    </row>
    <row r="305" spans="14:14">
      <c r="N305" s="207"/>
    </row>
    <row r="321" spans="2:2">
      <c r="B321" s="184"/>
    </row>
    <row r="323" spans="2:2">
      <c r="B323" s="184"/>
    </row>
    <row r="325" spans="2:2">
      <c r="B325" s="184"/>
    </row>
    <row r="327" spans="2:2">
      <c r="B327" s="184"/>
    </row>
    <row r="329" spans="2:2">
      <c r="B329" s="184"/>
    </row>
    <row r="331" spans="2:2">
      <c r="B331" s="184"/>
    </row>
    <row r="333" spans="2:2">
      <c r="B333" s="184"/>
    </row>
    <row r="337" spans="1:1">
      <c r="A337" s="209"/>
    </row>
    <row r="338" spans="1:1">
      <c r="A338" s="209"/>
    </row>
    <row r="339" spans="1:1">
      <c r="A339" s="209"/>
    </row>
    <row r="340" spans="1:1">
      <c r="A340" s="209"/>
    </row>
    <row r="341" spans="1:1">
      <c r="A341" s="209"/>
    </row>
    <row r="342" spans="1:1">
      <c r="A342" s="209"/>
    </row>
    <row r="343" spans="1:1">
      <c r="A343" s="209"/>
    </row>
    <row r="344" spans="1:1">
      <c r="A344" s="209"/>
    </row>
    <row r="345" spans="1:1">
      <c r="A345" s="209"/>
    </row>
    <row r="346" spans="1:1">
      <c r="A346" s="209"/>
    </row>
    <row r="347" spans="1:1">
      <c r="A347" s="209"/>
    </row>
    <row r="348" spans="1:1">
      <c r="A348" s="209"/>
    </row>
    <row r="349" spans="1:1">
      <c r="A349" s="209"/>
    </row>
    <row r="350" spans="1:1">
      <c r="A350" s="209"/>
    </row>
    <row r="351" spans="1:1">
      <c r="A351" s="209"/>
    </row>
    <row r="352" spans="1:1">
      <c r="A352" s="209"/>
    </row>
    <row r="353" spans="1:1">
      <c r="A353" s="209"/>
    </row>
    <row r="354" spans="1:1">
      <c r="A354" s="209"/>
    </row>
    <row r="355" spans="1:1">
      <c r="A355" s="209"/>
    </row>
    <row r="356" spans="1:1">
      <c r="A356" s="209"/>
    </row>
    <row r="357" spans="1:1">
      <c r="A357" s="209"/>
    </row>
    <row r="358" spans="1:1">
      <c r="A358" s="209"/>
    </row>
    <row r="359" spans="1:1">
      <c r="A359" s="209"/>
    </row>
    <row r="360" spans="1:1">
      <c r="A360" s="209"/>
    </row>
    <row r="361" spans="1:1">
      <c r="A361" s="209"/>
    </row>
    <row r="362" spans="1:1">
      <c r="A362" s="209"/>
    </row>
    <row r="363" spans="1:1">
      <c r="A363" s="209"/>
    </row>
    <row r="364" spans="1:1">
      <c r="A364" s="209"/>
    </row>
    <row r="365" spans="1:1">
      <c r="A365" s="209"/>
    </row>
    <row r="366" spans="1:1">
      <c r="A366" s="209"/>
    </row>
    <row r="367" spans="1:1">
      <c r="A367" s="209"/>
    </row>
    <row r="368" spans="1:1">
      <c r="A368" s="209"/>
    </row>
    <row r="369" spans="1:1">
      <c r="A369" s="209"/>
    </row>
    <row r="370" spans="1:1">
      <c r="A370" s="209"/>
    </row>
    <row r="371" spans="1:1">
      <c r="A371" s="209"/>
    </row>
    <row r="372" spans="1:1">
      <c r="A372" s="209"/>
    </row>
    <row r="373" spans="1:1">
      <c r="A373" s="209"/>
    </row>
    <row r="374" spans="1:1">
      <c r="A374" s="209"/>
    </row>
    <row r="375" spans="1:1">
      <c r="A375" s="209"/>
    </row>
    <row r="385" spans="1:6">
      <c r="A385" s="209"/>
      <c r="C385" s="210"/>
      <c r="D385" s="208"/>
      <c r="E385" s="209"/>
      <c r="F385" s="211"/>
    </row>
    <row r="386" spans="1:6">
      <c r="A386" s="209"/>
      <c r="C386" s="212"/>
      <c r="D386" s="208"/>
      <c r="E386" s="213"/>
      <c r="F386" s="211"/>
    </row>
    <row r="387" spans="1:6">
      <c r="A387" s="209"/>
      <c r="B387" s="208"/>
      <c r="C387" s="212"/>
      <c r="D387" s="208"/>
      <c r="E387" s="209"/>
      <c r="F387" s="211"/>
    </row>
    <row r="388" spans="1:6">
      <c r="A388" s="209"/>
      <c r="B388" s="208"/>
      <c r="C388" s="212"/>
      <c r="D388" s="208"/>
      <c r="E388" s="185"/>
    </row>
    <row r="389" spans="1:6">
      <c r="A389" s="209"/>
      <c r="B389" s="208"/>
      <c r="C389" s="212"/>
      <c r="D389" s="208"/>
      <c r="E389" s="185"/>
    </row>
    <row r="390" spans="1:6">
      <c r="A390" s="209"/>
      <c r="B390" s="208"/>
      <c r="C390" s="212"/>
      <c r="D390" s="208"/>
      <c r="E390" s="185"/>
    </row>
    <row r="391" spans="1:6">
      <c r="A391" s="209"/>
      <c r="B391" s="208"/>
      <c r="C391" s="212"/>
      <c r="D391" s="208"/>
      <c r="E391" s="185"/>
    </row>
    <row r="392" spans="1:6">
      <c r="A392" s="209"/>
      <c r="B392" s="208"/>
      <c r="C392" s="212"/>
      <c r="D392" s="208"/>
      <c r="E392" s="185"/>
    </row>
    <row r="393" spans="1:6">
      <c r="A393" s="209"/>
      <c r="B393" s="208"/>
      <c r="C393" s="212"/>
      <c r="D393" s="208"/>
      <c r="E393" s="185"/>
    </row>
    <row r="394" spans="1:6">
      <c r="A394" s="209"/>
      <c r="B394" s="208"/>
      <c r="C394" s="212"/>
      <c r="D394" s="208"/>
      <c r="E394" s="185"/>
    </row>
    <row r="395" spans="1:6">
      <c r="A395" s="209"/>
      <c r="B395" s="208"/>
      <c r="C395" s="212"/>
      <c r="D395" s="208"/>
      <c r="E395" s="185"/>
    </row>
    <row r="396" spans="1:6">
      <c r="A396" s="209"/>
      <c r="B396" s="208"/>
      <c r="C396" s="212"/>
      <c r="D396" s="208"/>
      <c r="E396" s="185"/>
    </row>
    <row r="397" spans="1:6">
      <c r="A397" s="209"/>
      <c r="B397" s="208"/>
      <c r="C397" s="212"/>
      <c r="D397" s="208"/>
      <c r="E397" s="185"/>
    </row>
    <row r="398" spans="1:6">
      <c r="A398" s="209"/>
      <c r="B398" s="208"/>
      <c r="C398" s="212"/>
      <c r="D398" s="208"/>
      <c r="E398" s="185"/>
    </row>
    <row r="399" spans="1:6">
      <c r="A399" s="209"/>
      <c r="B399" s="208"/>
      <c r="C399" s="212"/>
      <c r="D399" s="208"/>
      <c r="E399" s="185"/>
    </row>
    <row r="400" spans="1:6">
      <c r="A400" s="209"/>
      <c r="B400" s="208"/>
      <c r="C400" s="212"/>
      <c r="D400" s="208"/>
      <c r="E400" s="185"/>
    </row>
    <row r="401" spans="1:5">
      <c r="A401" s="209"/>
      <c r="B401" s="208"/>
      <c r="C401" s="212"/>
      <c r="D401" s="208"/>
      <c r="E401" s="185"/>
    </row>
    <row r="402" spans="1:5">
      <c r="A402" s="209"/>
      <c r="B402" s="208"/>
      <c r="C402" s="212"/>
      <c r="D402" s="208"/>
      <c r="E402" s="185"/>
    </row>
    <row r="403" spans="1:5">
      <c r="A403" s="209"/>
      <c r="B403" s="208"/>
      <c r="C403" s="212"/>
      <c r="D403" s="208"/>
      <c r="E403" s="185"/>
    </row>
    <row r="404" spans="1:5">
      <c r="A404" s="209"/>
      <c r="B404" s="208"/>
      <c r="C404" s="212"/>
      <c r="D404" s="208"/>
      <c r="E404" s="185"/>
    </row>
    <row r="405" spans="1:5">
      <c r="A405" s="209"/>
      <c r="B405" s="208"/>
      <c r="C405" s="212"/>
      <c r="D405" s="208"/>
      <c r="E405" s="185"/>
    </row>
    <row r="406" spans="1:5">
      <c r="A406" s="209"/>
      <c r="B406" s="208"/>
      <c r="C406" s="212"/>
      <c r="D406" s="208"/>
      <c r="E406" s="185"/>
    </row>
    <row r="407" spans="1:5">
      <c r="A407" s="209"/>
      <c r="B407" s="208"/>
      <c r="C407" s="212"/>
      <c r="D407" s="208"/>
      <c r="E407" s="185"/>
    </row>
    <row r="408" spans="1:5">
      <c r="A408" s="209"/>
      <c r="B408" s="208"/>
      <c r="C408" s="212"/>
      <c r="D408" s="208"/>
      <c r="E408" s="185"/>
    </row>
    <row r="409" spans="1:5">
      <c r="A409" s="209"/>
      <c r="B409" s="208"/>
      <c r="C409" s="212"/>
      <c r="D409" s="208"/>
      <c r="E409" s="185"/>
    </row>
    <row r="410" spans="1:5">
      <c r="A410" s="209"/>
      <c r="B410" s="208"/>
      <c r="C410" s="212"/>
      <c r="D410" s="208"/>
      <c r="E410" s="185"/>
    </row>
    <row r="411" spans="1:5">
      <c r="A411" s="209"/>
      <c r="B411" s="208"/>
      <c r="C411" s="212"/>
      <c r="D411" s="208"/>
      <c r="E411" s="185"/>
    </row>
    <row r="412" spans="1:5">
      <c r="A412" s="209"/>
      <c r="B412" s="208"/>
      <c r="C412" s="210"/>
      <c r="D412" s="208"/>
      <c r="E412" s="185"/>
    </row>
    <row r="413" spans="1:5">
      <c r="A413" s="209"/>
      <c r="B413" s="208"/>
      <c r="C413" s="212"/>
      <c r="D413" s="208"/>
      <c r="E413" s="185"/>
    </row>
    <row r="414" spans="1:5">
      <c r="A414" s="209"/>
      <c r="B414" s="208"/>
      <c r="C414" s="212"/>
      <c r="D414" s="208"/>
      <c r="E414" s="185"/>
    </row>
    <row r="415" spans="1:5">
      <c r="A415" s="209"/>
      <c r="B415" s="208"/>
      <c r="C415" s="212"/>
      <c r="D415" s="208"/>
      <c r="E415" s="185"/>
    </row>
    <row r="416" spans="1:5">
      <c r="A416" s="209"/>
      <c r="B416" s="208"/>
      <c r="C416" s="212"/>
      <c r="D416" s="208"/>
      <c r="E416" s="185"/>
    </row>
    <row r="417" spans="1:5">
      <c r="A417" s="209"/>
      <c r="B417" s="208"/>
      <c r="C417" s="212"/>
      <c r="D417" s="208"/>
      <c r="E417" s="185"/>
    </row>
    <row r="418" spans="1:5">
      <c r="A418" s="209"/>
      <c r="B418" s="208"/>
      <c r="C418" s="212"/>
      <c r="D418" s="208"/>
      <c r="E418" s="185"/>
    </row>
    <row r="419" spans="1:5">
      <c r="A419" s="209"/>
      <c r="B419" s="208"/>
      <c r="C419" s="212"/>
      <c r="D419" s="208"/>
      <c r="E419" s="185"/>
    </row>
    <row r="420" spans="1:5">
      <c r="A420" s="209"/>
      <c r="B420" s="208"/>
      <c r="C420" s="212"/>
      <c r="D420" s="208"/>
      <c r="E420" s="185"/>
    </row>
    <row r="421" spans="1:5">
      <c r="A421" s="209"/>
      <c r="B421" s="208"/>
      <c r="C421" s="212"/>
      <c r="D421" s="208"/>
      <c r="E421" s="185"/>
    </row>
    <row r="422" spans="1:5">
      <c r="A422" s="209"/>
      <c r="C422" s="212"/>
      <c r="D422" s="208"/>
      <c r="E422" s="185"/>
    </row>
    <row r="423" spans="1:5">
      <c r="A423" s="209"/>
      <c r="C423" s="212"/>
      <c r="D423" s="208"/>
      <c r="E423" s="185"/>
    </row>
    <row r="424" spans="1:5">
      <c r="A424" s="209"/>
      <c r="B424" s="207"/>
      <c r="C424" s="212"/>
      <c r="D424" s="208"/>
      <c r="E424" s="185"/>
    </row>
    <row r="425" spans="1:5">
      <c r="A425" s="209"/>
      <c r="C425" s="212"/>
      <c r="D425" s="208"/>
      <c r="E425" s="185"/>
    </row>
    <row r="426" spans="1:5">
      <c r="A426" s="209"/>
      <c r="B426" s="184"/>
      <c r="C426" s="212"/>
      <c r="D426" s="208"/>
      <c r="E426" s="185"/>
    </row>
    <row r="427" spans="1:5">
      <c r="A427" s="209"/>
      <c r="D427" s="208"/>
      <c r="E427" s="185"/>
    </row>
    <row r="428" spans="1:5">
      <c r="A428" s="209"/>
      <c r="C428" s="214"/>
      <c r="D428" s="208"/>
      <c r="E428" s="185"/>
    </row>
    <row r="429" spans="1:5">
      <c r="A429" s="209"/>
      <c r="B429" s="207"/>
      <c r="C429" s="210"/>
      <c r="D429" s="208"/>
      <c r="E429" s="185"/>
    </row>
    <row r="430" spans="1:5">
      <c r="A430" s="209"/>
      <c r="C430" s="210"/>
      <c r="D430" s="208"/>
      <c r="E430" s="185"/>
    </row>
    <row r="431" spans="1:5">
      <c r="A431" s="209"/>
      <c r="C431" s="212"/>
      <c r="E431" s="185"/>
    </row>
    <row r="432" spans="1:5">
      <c r="A432" s="209"/>
      <c r="B432" s="207"/>
      <c r="C432" s="212"/>
      <c r="E432" s="185"/>
    </row>
    <row r="433" spans="1:5">
      <c r="A433" s="209"/>
      <c r="C433" s="210"/>
      <c r="D433" s="208"/>
      <c r="E433" s="185"/>
    </row>
    <row r="434" spans="1:5">
      <c r="A434" s="209"/>
      <c r="B434" s="215"/>
      <c r="C434" s="210"/>
      <c r="D434" s="208"/>
      <c r="E434" s="185"/>
    </row>
    <row r="435" spans="1:5">
      <c r="A435" s="209"/>
      <c r="C435" s="212"/>
      <c r="D435" s="187"/>
      <c r="E435" s="185"/>
    </row>
    <row r="436" spans="1:5">
      <c r="A436" s="209"/>
      <c r="B436" s="207"/>
      <c r="E436" s="185"/>
    </row>
    <row r="437" spans="1:5">
      <c r="A437" s="209"/>
      <c r="B437" s="216"/>
      <c r="C437" s="217"/>
      <c r="D437" s="208"/>
      <c r="E437" s="185"/>
    </row>
    <row r="438" spans="1:5">
      <c r="A438" s="209"/>
      <c r="C438" s="212"/>
      <c r="E438" s="185"/>
    </row>
    <row r="439" spans="1:5">
      <c r="A439" s="209"/>
      <c r="B439" s="207"/>
      <c r="C439" s="212"/>
      <c r="E439" s="185"/>
    </row>
    <row r="440" spans="1:5">
      <c r="A440" s="209"/>
      <c r="C440" s="212"/>
      <c r="E440" s="185"/>
    </row>
    <row r="441" spans="1:5">
      <c r="A441" s="209"/>
      <c r="B441" s="207"/>
      <c r="C441" s="212"/>
      <c r="D441" s="208"/>
      <c r="E441" s="185"/>
    </row>
    <row r="442" spans="1:5">
      <c r="A442" s="209"/>
      <c r="B442" s="216"/>
      <c r="C442" s="212"/>
      <c r="D442" s="187"/>
      <c r="E442" s="185"/>
    </row>
    <row r="443" spans="1:5">
      <c r="A443" s="209"/>
      <c r="C443" s="212"/>
      <c r="D443" s="187"/>
      <c r="E443" s="185"/>
    </row>
    <row r="444" spans="1:5">
      <c r="A444" s="209"/>
      <c r="C444" s="212"/>
      <c r="D444" s="208"/>
      <c r="E444" s="185"/>
    </row>
    <row r="445" spans="1:5">
      <c r="A445" s="209"/>
      <c r="E445" s="185"/>
    </row>
    <row r="446" spans="1:5">
      <c r="A446" s="209"/>
      <c r="B446" s="207"/>
      <c r="C446" s="212"/>
      <c r="D446" s="208"/>
      <c r="E446" s="185"/>
    </row>
    <row r="447" spans="1:5">
      <c r="A447" s="209"/>
      <c r="B447" s="215"/>
      <c r="C447" s="210"/>
      <c r="D447" s="208"/>
      <c r="E447" s="185"/>
    </row>
    <row r="448" spans="1:5">
      <c r="A448" s="209"/>
      <c r="C448" s="212"/>
      <c r="E448" s="185"/>
    </row>
    <row r="449" spans="1:5">
      <c r="A449" s="209"/>
      <c r="B449" s="209"/>
      <c r="C449" s="212"/>
      <c r="E449" s="185"/>
    </row>
    <row r="450" spans="1:5">
      <c r="A450" s="209"/>
      <c r="B450" s="207"/>
      <c r="C450" s="212"/>
      <c r="D450" s="187"/>
      <c r="E450" s="185"/>
    </row>
    <row r="451" spans="1:5">
      <c r="A451" s="209"/>
      <c r="C451" s="212"/>
      <c r="D451" s="208"/>
      <c r="E451" s="185"/>
    </row>
    <row r="452" spans="1:5">
      <c r="A452" s="209"/>
      <c r="C452" s="212"/>
      <c r="D452" s="208"/>
      <c r="E452" s="185"/>
    </row>
    <row r="453" spans="1:5">
      <c r="A453" s="209"/>
      <c r="B453" s="207"/>
      <c r="C453" s="212"/>
      <c r="E453" s="185"/>
    </row>
    <row r="454" spans="1:5">
      <c r="A454" s="209"/>
      <c r="B454" s="215"/>
      <c r="C454" s="212"/>
      <c r="E454" s="185"/>
    </row>
    <row r="455" spans="1:5">
      <c r="A455" s="209"/>
      <c r="B455" s="207"/>
      <c r="C455" s="212"/>
      <c r="D455" s="208"/>
      <c r="E455" s="185"/>
    </row>
    <row r="456" spans="1:5">
      <c r="A456" s="209"/>
      <c r="C456" s="212"/>
      <c r="D456" s="208"/>
      <c r="E456" s="185"/>
    </row>
    <row r="457" spans="1:5">
      <c r="A457" s="209"/>
      <c r="B457" s="207"/>
      <c r="C457" s="212"/>
      <c r="D457" s="208"/>
      <c r="E457" s="185"/>
    </row>
    <row r="458" spans="1:5">
      <c r="A458" s="209"/>
      <c r="C458" s="212"/>
      <c r="D458" s="208"/>
      <c r="E458" s="185"/>
    </row>
    <row r="459" spans="1:5">
      <c r="A459" s="209"/>
      <c r="B459" s="207"/>
      <c r="C459" s="212"/>
      <c r="D459" s="187"/>
      <c r="E459" s="185"/>
    </row>
    <row r="460" spans="1:5">
      <c r="A460" s="209"/>
      <c r="B460" s="207"/>
      <c r="C460" s="212"/>
      <c r="D460" s="187"/>
      <c r="E460" s="185"/>
    </row>
    <row r="461" spans="1:5">
      <c r="A461" s="209"/>
      <c r="B461" s="207"/>
      <c r="C461" s="212"/>
      <c r="E461" s="185"/>
    </row>
    <row r="462" spans="1:5">
      <c r="A462" s="209"/>
      <c r="C462" s="212"/>
      <c r="E462" s="185"/>
    </row>
    <row r="463" spans="1:5">
      <c r="A463" s="209"/>
      <c r="C463" s="212"/>
      <c r="D463" s="208"/>
      <c r="E463" s="185"/>
    </row>
    <row r="464" spans="1:5">
      <c r="A464" s="209"/>
      <c r="C464" s="212"/>
      <c r="D464" s="208"/>
      <c r="E464" s="185"/>
    </row>
    <row r="465" spans="1:5">
      <c r="A465" s="209"/>
      <c r="E465" s="185"/>
    </row>
    <row r="466" spans="1:5">
      <c r="A466" s="209"/>
      <c r="C466" s="212"/>
      <c r="D466" s="208"/>
      <c r="E466" s="185"/>
    </row>
    <row r="467" spans="1:5">
      <c r="A467" s="209"/>
      <c r="B467" s="209"/>
      <c r="C467" s="212"/>
      <c r="E467" s="185"/>
    </row>
    <row r="468" spans="1:5">
      <c r="A468" s="209"/>
      <c r="C468" s="187"/>
      <c r="D468" s="218"/>
      <c r="E468" s="185"/>
    </row>
    <row r="469" spans="1:5">
      <c r="A469" s="209"/>
      <c r="C469" s="212"/>
      <c r="D469" s="208"/>
      <c r="E469" s="185"/>
    </row>
    <row r="470" spans="1:5">
      <c r="A470" s="209"/>
      <c r="C470" s="210"/>
      <c r="D470" s="208"/>
      <c r="E470" s="185"/>
    </row>
    <row r="471" spans="1:5">
      <c r="A471" s="209"/>
      <c r="E471" s="185"/>
    </row>
    <row r="472" spans="1:5">
      <c r="A472" s="209"/>
      <c r="C472" s="212"/>
      <c r="E472" s="185"/>
    </row>
    <row r="473" spans="1:5">
      <c r="A473" s="209"/>
      <c r="C473" s="212"/>
      <c r="D473" s="187"/>
      <c r="E473" s="185"/>
    </row>
    <row r="474" spans="1:5">
      <c r="A474" s="209"/>
      <c r="B474" s="207"/>
      <c r="C474" s="212"/>
      <c r="E474" s="185"/>
    </row>
    <row r="475" spans="1:5">
      <c r="A475" s="209"/>
      <c r="E475" s="185"/>
    </row>
    <row r="476" spans="1:5">
      <c r="A476" s="209"/>
      <c r="C476" s="212"/>
      <c r="D476" s="187"/>
      <c r="E476" s="185"/>
    </row>
    <row r="477" spans="1:5">
      <c r="A477" s="209"/>
      <c r="C477" s="212"/>
      <c r="D477" s="187"/>
      <c r="E477" s="185"/>
    </row>
    <row r="478" spans="1:5">
      <c r="A478" s="209"/>
      <c r="C478" s="212"/>
      <c r="D478" s="187"/>
      <c r="E478" s="185"/>
    </row>
    <row r="479" spans="1:5">
      <c r="A479" s="209"/>
      <c r="B479" s="184"/>
      <c r="C479" s="212"/>
      <c r="D479" s="187"/>
      <c r="E479" s="185"/>
    </row>
    <row r="480" spans="1:5">
      <c r="A480" s="209"/>
      <c r="C480" s="212"/>
      <c r="E480" s="185"/>
    </row>
    <row r="481" spans="1:5">
      <c r="A481" s="209"/>
      <c r="C481" s="212"/>
      <c r="D481" s="187"/>
      <c r="E481" s="185"/>
    </row>
    <row r="482" spans="1:5">
      <c r="A482" s="209"/>
      <c r="C482" s="212"/>
      <c r="E482" s="185"/>
    </row>
    <row r="483" spans="1:5">
      <c r="A483" s="209"/>
      <c r="B483" s="184"/>
      <c r="C483" s="212"/>
      <c r="D483" s="219"/>
      <c r="E483" s="185"/>
    </row>
    <row r="484" spans="1:5">
      <c r="A484" s="209"/>
      <c r="C484" s="212"/>
      <c r="D484" s="187"/>
      <c r="E484" s="185"/>
    </row>
    <row r="485" spans="1:5">
      <c r="A485" s="209"/>
      <c r="C485" s="212"/>
      <c r="E485" s="185"/>
    </row>
    <row r="486" spans="1:5">
      <c r="A486" s="209"/>
      <c r="C486" s="189"/>
      <c r="D486" s="187"/>
      <c r="E486" s="185"/>
    </row>
    <row r="487" spans="1:5">
      <c r="C487" s="212"/>
      <c r="D487" s="187"/>
      <c r="E487" s="185"/>
    </row>
    <row r="488" spans="1:5">
      <c r="C488" s="212"/>
      <c r="D488" s="187"/>
      <c r="E488" s="185"/>
    </row>
    <row r="489" spans="1:5">
      <c r="C489" s="212"/>
      <c r="D489" s="187"/>
      <c r="E489" s="185"/>
    </row>
    <row r="490" spans="1:5">
      <c r="C490" s="220"/>
      <c r="E490" s="185"/>
    </row>
    <row r="491" spans="1:5">
      <c r="C491" s="212"/>
      <c r="D491" s="187"/>
      <c r="E491" s="185"/>
    </row>
    <row r="492" spans="1:5">
      <c r="C492" s="212"/>
      <c r="D492" s="187"/>
      <c r="E492" s="185"/>
    </row>
    <row r="493" spans="1:5">
      <c r="C493" s="212"/>
      <c r="D493" s="187"/>
      <c r="E493" s="185"/>
    </row>
    <row r="494" spans="1:5">
      <c r="C494" s="212"/>
      <c r="D494" s="187"/>
      <c r="E494" s="185"/>
    </row>
    <row r="495" spans="1:5">
      <c r="E495" s="185"/>
    </row>
  </sheetData>
  <hyperlinks>
    <hyperlink ref="B187" r:id="rId1" display="https://matmatch.com/learn/material/lead-glass" xr:uid="{A46E4B79-7279-4661-96F2-93E31F443AFC}"/>
  </hyperlinks>
  <pageMargins left="0.7" right="0.7" top="0.78740157499999996" bottom="0.78740157499999996"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28A0-FAD2-4082-AD67-777CD81F73EE}">
  <dimension ref="A1:AP235"/>
  <sheetViews>
    <sheetView zoomScale="70" zoomScaleNormal="70" workbookViewId="0">
      <selection activeCell="C1" sqref="C1"/>
    </sheetView>
  </sheetViews>
  <sheetFormatPr baseColWidth="10" defaultColWidth="11.33203125" defaultRowHeight="15.05"/>
  <cols>
    <col min="1" max="1" width="12" style="117" customWidth="1"/>
    <col min="2" max="2" width="9" customWidth="1"/>
    <col min="3" max="3" width="9.44140625" style="109" customWidth="1"/>
    <col min="4" max="4" width="15.6640625" style="120" customWidth="1"/>
    <col min="5" max="5" width="32.6640625" style="3" customWidth="1"/>
    <col min="6" max="6" width="40" style="3" customWidth="1"/>
    <col min="7" max="7" width="16.33203125" customWidth="1"/>
    <col min="8" max="8" width="18.109375" customWidth="1"/>
    <col min="9" max="9" width="18.88671875" style="3" customWidth="1"/>
    <col min="10" max="10" width="13.109375" style="3" customWidth="1"/>
    <col min="11" max="11" width="15.33203125" customWidth="1"/>
    <col min="12" max="13" width="16.109375" customWidth="1"/>
    <col min="14" max="14" width="15.33203125" customWidth="1"/>
    <col min="15" max="15" width="17.5546875" style="3" customWidth="1"/>
    <col min="16" max="17" width="14.5546875" customWidth="1"/>
    <col min="18" max="18" width="12.6640625" customWidth="1"/>
    <col min="19" max="19" width="14.33203125" customWidth="1"/>
    <col min="20" max="20" width="5.5546875" style="3" customWidth="1"/>
    <col min="21" max="21" width="22.44140625" style="3" customWidth="1"/>
    <col min="22" max="22" width="11.88671875" customWidth="1"/>
    <col min="23" max="23" width="14.88671875" customWidth="1"/>
    <col min="24" max="24" width="16.6640625" customWidth="1"/>
    <col min="25" max="25" width="17.6640625" customWidth="1"/>
    <col min="26" max="27" width="15.109375" customWidth="1"/>
    <col min="28" max="28" width="15.109375" style="3" customWidth="1"/>
    <col min="29" max="32" width="15.109375" customWidth="1"/>
    <col min="33" max="33" width="15.109375" style="3" customWidth="1"/>
    <col min="34" max="34" width="15" style="137" customWidth="1"/>
    <col min="35" max="36" width="18.109375" customWidth="1"/>
    <col min="37" max="37" width="18.109375" style="3" customWidth="1"/>
    <col min="38" max="39" width="18.109375" style="11" customWidth="1"/>
    <col min="40" max="40" width="17.88671875" style="137" customWidth="1"/>
    <col min="41" max="41" width="11.33203125" style="3"/>
  </cols>
  <sheetData>
    <row r="1" spans="1:42" s="111" customFormat="1" ht="30.05">
      <c r="A1" s="110" t="s">
        <v>28</v>
      </c>
      <c r="B1" s="111" t="s">
        <v>29</v>
      </c>
      <c r="C1" s="111" t="s">
        <v>30</v>
      </c>
      <c r="D1" s="112" t="s">
        <v>1215</v>
      </c>
      <c r="E1" s="113" t="s">
        <v>0</v>
      </c>
      <c r="F1" s="113" t="s">
        <v>31</v>
      </c>
      <c r="G1" s="111" t="s">
        <v>32</v>
      </c>
      <c r="H1" s="111" t="s">
        <v>1</v>
      </c>
      <c r="I1" s="113" t="s">
        <v>111</v>
      </c>
      <c r="J1" s="113" t="s">
        <v>31</v>
      </c>
      <c r="K1" s="111" t="s">
        <v>64</v>
      </c>
      <c r="L1" s="111" t="s">
        <v>63</v>
      </c>
      <c r="M1" s="111" t="s">
        <v>66</v>
      </c>
      <c r="N1" s="111" t="s">
        <v>65</v>
      </c>
      <c r="O1" s="113" t="s">
        <v>114</v>
      </c>
      <c r="P1" s="111" t="s">
        <v>115</v>
      </c>
      <c r="Q1" s="111" t="s">
        <v>116</v>
      </c>
      <c r="R1" s="111" t="s">
        <v>117</v>
      </c>
      <c r="S1" s="111" t="s">
        <v>118</v>
      </c>
      <c r="T1" s="113"/>
      <c r="U1" s="113" t="s">
        <v>67</v>
      </c>
      <c r="V1" s="111" t="s">
        <v>58</v>
      </c>
      <c r="W1" s="111" t="s">
        <v>59</v>
      </c>
      <c r="X1" s="111" t="s">
        <v>60</v>
      </c>
      <c r="Y1" s="111" t="s">
        <v>61</v>
      </c>
      <c r="Z1" s="111" t="s">
        <v>57</v>
      </c>
      <c r="AA1" s="111" t="s">
        <v>68</v>
      </c>
      <c r="AB1" s="113" t="s">
        <v>114</v>
      </c>
      <c r="AC1" s="14" t="s">
        <v>1217</v>
      </c>
      <c r="AD1" s="14" t="s">
        <v>1218</v>
      </c>
      <c r="AE1" s="14" t="s">
        <v>1219</v>
      </c>
      <c r="AF1" s="14" t="s">
        <v>1220</v>
      </c>
      <c r="AG1" s="14" t="s">
        <v>1222</v>
      </c>
      <c r="AH1" s="114" t="s">
        <v>1221</v>
      </c>
      <c r="AI1" s="111" t="s">
        <v>120</v>
      </c>
      <c r="AJ1" s="111" t="s">
        <v>151</v>
      </c>
      <c r="AK1" s="113" t="s">
        <v>155</v>
      </c>
      <c r="AL1" s="115" t="s">
        <v>1225</v>
      </c>
      <c r="AM1" s="115" t="s">
        <v>1224</v>
      </c>
      <c r="AN1" s="116" t="s">
        <v>1223</v>
      </c>
      <c r="AO1" s="113" t="s">
        <v>225</v>
      </c>
      <c r="AP1" s="111" t="s">
        <v>1458</v>
      </c>
    </row>
    <row r="2" spans="1:42">
      <c r="A2" s="117">
        <v>1</v>
      </c>
      <c r="B2" t="s">
        <v>33</v>
      </c>
      <c r="C2" s="109">
        <v>1</v>
      </c>
      <c r="D2" s="6" t="s">
        <v>107</v>
      </c>
      <c r="E2" s="3" t="s">
        <v>107</v>
      </c>
      <c r="F2" s="3" t="s">
        <v>108</v>
      </c>
      <c r="G2">
        <v>0.93</v>
      </c>
      <c r="H2">
        <v>0.18</v>
      </c>
      <c r="I2" s="3">
        <v>1.34</v>
      </c>
      <c r="P2" s="118"/>
      <c r="Q2" s="118"/>
      <c r="R2" s="118"/>
      <c r="S2" s="118"/>
      <c r="AC2" s="6"/>
      <c r="AD2" s="6"/>
      <c r="AE2" s="6"/>
      <c r="AF2" s="6"/>
      <c r="AG2" s="6"/>
      <c r="AH2" s="119"/>
      <c r="AL2"/>
      <c r="AM2"/>
      <c r="AN2" s="3"/>
      <c r="AO2" s="7">
        <v>9</v>
      </c>
    </row>
    <row r="3" spans="1:42">
      <c r="A3" s="117">
        <f>A2+1</f>
        <v>2</v>
      </c>
      <c r="B3" t="s">
        <v>33</v>
      </c>
      <c r="C3" s="109">
        <v>1</v>
      </c>
      <c r="D3" s="120" t="s">
        <v>124</v>
      </c>
      <c r="E3" s="3" t="s">
        <v>107</v>
      </c>
      <c r="F3" s="3" t="s">
        <v>108</v>
      </c>
      <c r="G3" s="2"/>
      <c r="H3" s="2"/>
      <c r="I3" s="121"/>
      <c r="J3" s="121" t="s">
        <v>1033</v>
      </c>
      <c r="K3" s="2">
        <v>10</v>
      </c>
      <c r="L3" s="2"/>
      <c r="M3" s="2"/>
      <c r="N3" s="2">
        <v>10</v>
      </c>
      <c r="O3" s="122">
        <f>SUM(K3:N3)</f>
        <v>20</v>
      </c>
      <c r="P3" s="123"/>
      <c r="Q3" s="123"/>
      <c r="R3" s="123"/>
      <c r="S3" s="123"/>
      <c r="T3" s="121"/>
      <c r="U3" s="121" t="s">
        <v>69</v>
      </c>
      <c r="V3" s="2">
        <v>43.11</v>
      </c>
      <c r="W3" s="2">
        <v>5.89</v>
      </c>
      <c r="X3" s="2">
        <v>0.2</v>
      </c>
      <c r="Y3" s="2">
        <v>0.24</v>
      </c>
      <c r="Z3" s="2">
        <v>40.26</v>
      </c>
      <c r="AA3" s="2">
        <v>0.3</v>
      </c>
      <c r="AB3" s="122">
        <f>SUM(V3:AA3)</f>
        <v>90</v>
      </c>
      <c r="AC3" s="123">
        <f>100*V3/$AB$3</f>
        <v>47.9</v>
      </c>
      <c r="AD3" s="123">
        <f t="shared" ref="AD3:AF3" si="0">100*W3/$AB$3</f>
        <v>6.5444444444444443</v>
      </c>
      <c r="AE3" s="123">
        <f t="shared" si="0"/>
        <v>0.22222222222222221</v>
      </c>
      <c r="AF3" s="123">
        <f t="shared" si="0"/>
        <v>0.26666666666666666</v>
      </c>
      <c r="AG3" s="123">
        <f>100*Z3/$AB$3</f>
        <v>44.733333333333334</v>
      </c>
      <c r="AH3" s="124">
        <f>100*AA3/$AB$3</f>
        <v>0.33333333333333331</v>
      </c>
      <c r="AI3" s="2">
        <v>17.600000000000001</v>
      </c>
      <c r="AL3" s="2">
        <v>17.600000000000001</v>
      </c>
      <c r="AM3">
        <f>AL3*(100-O3)/(100-N3)</f>
        <v>15.644444444444444</v>
      </c>
      <c r="AN3" s="3">
        <f>AL3*(100-O3)/100</f>
        <v>14.08</v>
      </c>
      <c r="AO3" s="121">
        <v>8</v>
      </c>
    </row>
    <row r="4" spans="1:42">
      <c r="A4" s="117">
        <f t="shared" ref="A4:A67" si="1">A3+1</f>
        <v>3</v>
      </c>
      <c r="B4" t="s">
        <v>33</v>
      </c>
      <c r="C4" s="109">
        <v>1</v>
      </c>
      <c r="D4" s="120" t="s">
        <v>124</v>
      </c>
      <c r="E4" s="3" t="s">
        <v>107</v>
      </c>
      <c r="F4" s="3" t="s">
        <v>108</v>
      </c>
      <c r="G4" s="2"/>
      <c r="H4" s="2"/>
      <c r="I4" s="121"/>
      <c r="J4" s="121" t="s">
        <v>455</v>
      </c>
      <c r="K4" s="2">
        <v>6.49</v>
      </c>
      <c r="L4" s="2">
        <v>73.12</v>
      </c>
      <c r="M4" s="2">
        <v>11.53</v>
      </c>
      <c r="N4" s="2">
        <v>8.86</v>
      </c>
      <c r="O4" s="122">
        <f t="shared" ref="O4:O70" si="2">SUM(K4:N4)</f>
        <v>100</v>
      </c>
      <c r="P4" s="123">
        <v>6.49</v>
      </c>
      <c r="Q4" s="123">
        <v>73.12</v>
      </c>
      <c r="R4" s="123">
        <v>11.53</v>
      </c>
      <c r="S4" s="123">
        <v>8.86</v>
      </c>
      <c r="T4" s="121"/>
      <c r="U4" s="121" t="s">
        <v>70</v>
      </c>
      <c r="V4" s="2">
        <v>39.5</v>
      </c>
      <c r="W4" s="2">
        <v>5.29</v>
      </c>
      <c r="X4" s="2">
        <v>0.11</v>
      </c>
      <c r="Y4" s="2">
        <v>0.08</v>
      </c>
      <c r="Z4" s="2">
        <v>39.67</v>
      </c>
      <c r="AA4" s="2"/>
      <c r="AB4" s="122">
        <f t="shared" ref="AB4:AB57" si="3">SUM(V4:AA4)</f>
        <v>84.65</v>
      </c>
      <c r="AC4" s="123">
        <f>100*V4/$AB$4</f>
        <v>46.662728883638508</v>
      </c>
      <c r="AD4" s="123">
        <f t="shared" ref="AD4:AG4" si="4">100*W4/$AB$4</f>
        <v>6.2492616656822202</v>
      </c>
      <c r="AE4" s="123">
        <f t="shared" si="4"/>
        <v>0.1299468399291199</v>
      </c>
      <c r="AF4" s="123">
        <f t="shared" si="4"/>
        <v>9.4506792675723567E-2</v>
      </c>
      <c r="AG4" s="123">
        <f t="shared" si="4"/>
        <v>46.863555818074424</v>
      </c>
      <c r="AH4" s="124"/>
      <c r="AJ4" s="2"/>
      <c r="AK4" s="125"/>
      <c r="AL4"/>
      <c r="AM4" s="2"/>
      <c r="AN4" s="125"/>
      <c r="AO4" s="121">
        <v>10</v>
      </c>
    </row>
    <row r="5" spans="1:42">
      <c r="A5" s="117">
        <f t="shared" si="1"/>
        <v>4</v>
      </c>
      <c r="B5" t="s">
        <v>33</v>
      </c>
      <c r="C5" s="109">
        <v>1</v>
      </c>
      <c r="D5" s="120" t="s">
        <v>124</v>
      </c>
      <c r="E5" s="3" t="s">
        <v>107</v>
      </c>
      <c r="F5" s="3" t="s">
        <v>108</v>
      </c>
      <c r="G5" s="2"/>
      <c r="H5" s="2"/>
      <c r="I5" s="121"/>
      <c r="J5" s="121" t="s">
        <v>453</v>
      </c>
      <c r="K5" s="2">
        <v>7.8</v>
      </c>
      <c r="L5" s="2">
        <v>54.02</v>
      </c>
      <c r="M5" s="2">
        <v>5.75</v>
      </c>
      <c r="N5" s="2">
        <v>40.229999999999997</v>
      </c>
      <c r="O5" s="122">
        <f t="shared" si="2"/>
        <v>107.79999999999998</v>
      </c>
      <c r="P5" s="123">
        <f>K5</f>
        <v>7.8</v>
      </c>
      <c r="Q5" s="123">
        <f>L5*(1-$K$5/100)</f>
        <v>49.806440000000002</v>
      </c>
      <c r="R5" s="123">
        <f>M5*(1-$K$5/100)</f>
        <v>5.3014999999999999</v>
      </c>
      <c r="S5" s="123">
        <f t="shared" ref="S5" si="5">N5*(1-$K$5/100)</f>
        <v>37.092059999999996</v>
      </c>
      <c r="T5" s="124"/>
      <c r="U5" s="121" t="s">
        <v>215</v>
      </c>
      <c r="V5" s="2">
        <v>47.33</v>
      </c>
      <c r="W5" s="2">
        <v>5.7</v>
      </c>
      <c r="X5" s="2">
        <v>2.7</v>
      </c>
      <c r="Y5" s="2">
        <v>0</v>
      </c>
      <c r="Z5" s="2">
        <v>44.27</v>
      </c>
      <c r="AA5" s="2"/>
      <c r="AB5" s="122">
        <f t="shared" si="3"/>
        <v>100</v>
      </c>
      <c r="AC5" s="2">
        <v>47.33</v>
      </c>
      <c r="AD5" s="2">
        <v>5.7</v>
      </c>
      <c r="AE5" s="2">
        <v>2.7</v>
      </c>
      <c r="AF5" s="2">
        <v>0</v>
      </c>
      <c r="AG5" s="2">
        <v>44.27</v>
      </c>
      <c r="AH5" s="124"/>
      <c r="AJ5" s="2"/>
      <c r="AK5" s="125"/>
      <c r="AL5"/>
      <c r="AM5" s="2"/>
      <c r="AN5" s="125"/>
      <c r="AO5" s="121">
        <v>11</v>
      </c>
    </row>
    <row r="6" spans="1:42">
      <c r="A6" s="117">
        <f t="shared" si="1"/>
        <v>5</v>
      </c>
      <c r="B6" t="s">
        <v>33</v>
      </c>
      <c r="C6" s="109">
        <v>1</v>
      </c>
      <c r="D6" s="120" t="s">
        <v>124</v>
      </c>
      <c r="E6" s="3" t="s">
        <v>107</v>
      </c>
      <c r="F6" s="3" t="s">
        <v>108</v>
      </c>
      <c r="G6" s="2"/>
      <c r="H6" s="2"/>
      <c r="I6" s="121"/>
      <c r="J6" s="121" t="s">
        <v>453</v>
      </c>
      <c r="K6" s="2">
        <v>4</v>
      </c>
      <c r="L6" s="2">
        <v>76</v>
      </c>
      <c r="M6" s="2">
        <v>12.8</v>
      </c>
      <c r="N6" s="2">
        <v>11.2</v>
      </c>
      <c r="O6" s="122">
        <f t="shared" si="2"/>
        <v>104</v>
      </c>
      <c r="P6" s="123">
        <f t="shared" ref="P6:P7" si="6">K6</f>
        <v>4</v>
      </c>
      <c r="Q6" s="123">
        <f>L6*(1-$K$6/100)</f>
        <v>72.959999999999994</v>
      </c>
      <c r="R6" s="123">
        <f t="shared" ref="R6:S6" si="7">M6*(1-$K$6/100)</f>
        <v>12.288</v>
      </c>
      <c r="S6" s="123">
        <f t="shared" si="7"/>
        <v>10.751999999999999</v>
      </c>
      <c r="T6" s="124"/>
      <c r="U6" s="121" t="s">
        <v>69</v>
      </c>
      <c r="V6" s="2">
        <v>36</v>
      </c>
      <c r="W6" s="2">
        <v>5</v>
      </c>
      <c r="X6" s="2">
        <v>0.1</v>
      </c>
      <c r="Y6" s="2">
        <v>0</v>
      </c>
      <c r="Z6" s="2">
        <v>47.7</v>
      </c>
      <c r="AA6" s="2"/>
      <c r="AB6" s="122">
        <f t="shared" si="3"/>
        <v>88.800000000000011</v>
      </c>
      <c r="AC6" s="123">
        <f>100*V6/$AB$6</f>
        <v>40.540540540540533</v>
      </c>
      <c r="AD6" s="123">
        <f>100*W6/$AB$6</f>
        <v>5.6306306306306295</v>
      </c>
      <c r="AE6" s="123">
        <f>100*X6/$AB$6</f>
        <v>0.1126126126126126</v>
      </c>
      <c r="AF6" s="123">
        <f>100*Y6/$AB$6</f>
        <v>0</v>
      </c>
      <c r="AG6" s="123">
        <f>100*Z6/$AB$6</f>
        <v>53.71621621621621</v>
      </c>
      <c r="AH6" s="124"/>
      <c r="AJ6" s="2"/>
      <c r="AK6" s="125"/>
      <c r="AL6"/>
      <c r="AM6" s="2"/>
      <c r="AN6" s="125"/>
      <c r="AO6" s="121">
        <v>12</v>
      </c>
    </row>
    <row r="7" spans="1:42">
      <c r="A7" s="117">
        <f t="shared" si="1"/>
        <v>6</v>
      </c>
      <c r="B7" t="s">
        <v>33</v>
      </c>
      <c r="C7" s="109">
        <v>1</v>
      </c>
      <c r="D7" s="120" t="s">
        <v>124</v>
      </c>
      <c r="E7" s="3" t="s">
        <v>107</v>
      </c>
      <c r="F7" s="3" t="s">
        <v>108</v>
      </c>
      <c r="G7" s="2"/>
      <c r="H7" s="2"/>
      <c r="I7" s="121"/>
      <c r="J7" s="121" t="s">
        <v>453</v>
      </c>
      <c r="K7" s="2">
        <v>13.15</v>
      </c>
      <c r="L7" s="2">
        <v>76.14</v>
      </c>
      <c r="M7" s="2">
        <v>11.6</v>
      </c>
      <c r="N7" s="2">
        <v>12.2</v>
      </c>
      <c r="O7" s="122">
        <f t="shared" si="2"/>
        <v>113.09</v>
      </c>
      <c r="P7" s="123">
        <f t="shared" si="6"/>
        <v>13.15</v>
      </c>
      <c r="Q7" s="123">
        <f>L7*(1-$K$7/100)</f>
        <v>66.127589999999998</v>
      </c>
      <c r="R7" s="123">
        <f t="shared" ref="R7:S7" si="8">M7*(1-$K$7/100)</f>
        <v>10.0746</v>
      </c>
      <c r="S7" s="123">
        <f t="shared" si="8"/>
        <v>10.595700000000001</v>
      </c>
      <c r="T7" s="124"/>
      <c r="U7" s="121" t="s">
        <v>215</v>
      </c>
      <c r="V7" s="2">
        <v>45.62</v>
      </c>
      <c r="W7" s="2">
        <v>6.01</v>
      </c>
      <c r="X7" s="2">
        <v>0.34</v>
      </c>
      <c r="Y7" s="2">
        <v>0.22</v>
      </c>
      <c r="Z7" s="2">
        <v>47.78</v>
      </c>
      <c r="AA7" s="2">
        <v>0.28000000000000003</v>
      </c>
      <c r="AB7" s="122">
        <f t="shared" si="3"/>
        <v>100.25</v>
      </c>
      <c r="AC7" s="123">
        <f>100*V7/$AB$7</f>
        <v>45.506234413965089</v>
      </c>
      <c r="AD7" s="123">
        <f t="shared" ref="AD7:AH7" si="9">100*W7/$AB$7</f>
        <v>5.9950124688279303</v>
      </c>
      <c r="AE7" s="123">
        <f t="shared" si="9"/>
        <v>0.33915211970074816</v>
      </c>
      <c r="AF7" s="123">
        <f t="shared" si="9"/>
        <v>0.21945137157107231</v>
      </c>
      <c r="AG7" s="123">
        <f t="shared" si="9"/>
        <v>47.660847880299251</v>
      </c>
      <c r="AH7" s="124">
        <f t="shared" si="9"/>
        <v>0.27930174563591026</v>
      </c>
      <c r="AI7" s="2">
        <v>15.89</v>
      </c>
      <c r="AL7" s="2">
        <v>15.89</v>
      </c>
      <c r="AM7">
        <f>AL7*(Q7+R7)/(Q7+R7+S7)</f>
        <v>13.950256153692218</v>
      </c>
      <c r="AN7" s="3">
        <f>AL7*(Q7+R7)/100</f>
        <v>12.108527991000001</v>
      </c>
      <c r="AO7" s="121">
        <v>13</v>
      </c>
    </row>
    <row r="8" spans="1:42">
      <c r="A8" s="117">
        <f t="shared" si="1"/>
        <v>7</v>
      </c>
      <c r="B8" t="s">
        <v>33</v>
      </c>
      <c r="C8" s="109">
        <v>1</v>
      </c>
      <c r="D8" s="120" t="s">
        <v>124</v>
      </c>
      <c r="E8" s="3" t="s">
        <v>107</v>
      </c>
      <c r="F8" s="3" t="s">
        <v>108</v>
      </c>
      <c r="G8" s="2"/>
      <c r="H8" s="2"/>
      <c r="I8" s="121"/>
      <c r="J8" s="121" t="s">
        <v>69</v>
      </c>
      <c r="K8" s="2"/>
      <c r="L8" s="2">
        <v>73.48</v>
      </c>
      <c r="M8" s="2">
        <v>13.57</v>
      </c>
      <c r="N8" s="2">
        <v>12.59</v>
      </c>
      <c r="O8" s="122">
        <f>SUM(K8:N8)</f>
        <v>99.640000000000015</v>
      </c>
      <c r="P8" s="123">
        <v>0.34</v>
      </c>
      <c r="Q8" s="123">
        <v>73.48</v>
      </c>
      <c r="R8" s="123">
        <v>13.57</v>
      </c>
      <c r="S8" s="123">
        <v>12.59</v>
      </c>
      <c r="T8" s="124"/>
      <c r="U8" s="121" t="s">
        <v>69</v>
      </c>
      <c r="V8" s="2">
        <v>41.05</v>
      </c>
      <c r="W8" s="2">
        <v>6.16</v>
      </c>
      <c r="X8" s="2">
        <v>0.04</v>
      </c>
      <c r="Y8" s="2">
        <v>0.35</v>
      </c>
      <c r="Z8" s="2">
        <v>39.81</v>
      </c>
      <c r="AA8" s="2"/>
      <c r="AB8" s="122">
        <f t="shared" si="3"/>
        <v>87.41</v>
      </c>
      <c r="AC8" s="123">
        <f>100*V8/$AB$8</f>
        <v>46.962590092666744</v>
      </c>
      <c r="AD8" s="123">
        <f t="shared" ref="AD8:AG8" si="10">100*W8/$AB$8</f>
        <v>7.047248598558518</v>
      </c>
      <c r="AE8" s="123">
        <f t="shared" si="10"/>
        <v>4.576135453609427E-2</v>
      </c>
      <c r="AF8" s="123">
        <f t="shared" si="10"/>
        <v>0.40041185219082487</v>
      </c>
      <c r="AG8" s="123">
        <f t="shared" si="10"/>
        <v>45.54398810204782</v>
      </c>
      <c r="AH8" s="124"/>
      <c r="AI8" s="2">
        <v>16.38</v>
      </c>
      <c r="AL8" s="2">
        <v>16.38</v>
      </c>
      <c r="AM8">
        <f>AL8*(Q8+R8)/(Q8+R8+S8)</f>
        <v>14.310307105580087</v>
      </c>
      <c r="AN8" s="3">
        <f>AL8*(Q8+R8)/100</f>
        <v>14.258790000000001</v>
      </c>
      <c r="AO8" s="121">
        <v>14</v>
      </c>
    </row>
    <row r="9" spans="1:42">
      <c r="A9" s="117">
        <f t="shared" si="1"/>
        <v>8</v>
      </c>
      <c r="B9" t="s">
        <v>33</v>
      </c>
      <c r="C9" s="109">
        <v>1</v>
      </c>
      <c r="D9" s="120" t="s">
        <v>124</v>
      </c>
      <c r="E9" s="3" t="s">
        <v>107</v>
      </c>
      <c r="F9" s="3" t="s">
        <v>108</v>
      </c>
      <c r="G9" s="2"/>
      <c r="H9" s="2"/>
      <c r="I9" s="121"/>
      <c r="J9" s="121" t="s">
        <v>69</v>
      </c>
      <c r="K9" s="2"/>
      <c r="L9" s="2">
        <v>79.33</v>
      </c>
      <c r="M9" s="2">
        <v>9.98</v>
      </c>
      <c r="N9" s="2">
        <v>10.69</v>
      </c>
      <c r="O9" s="122">
        <f t="shared" si="2"/>
        <v>100</v>
      </c>
      <c r="P9" s="123">
        <f>100*K9/$O$9</f>
        <v>0</v>
      </c>
      <c r="Q9" s="123">
        <f t="shared" ref="Q9:S9" si="11">100*L9/$O$9</f>
        <v>79.33</v>
      </c>
      <c r="R9" s="123">
        <f t="shared" si="11"/>
        <v>9.98</v>
      </c>
      <c r="S9" s="123">
        <f t="shared" si="11"/>
        <v>10.69</v>
      </c>
      <c r="T9" s="124"/>
      <c r="U9" s="121" t="s">
        <v>215</v>
      </c>
      <c r="V9" s="2">
        <v>45.12</v>
      </c>
      <c r="W9" s="2">
        <v>5.31</v>
      </c>
      <c r="X9" s="2">
        <v>0.38</v>
      </c>
      <c r="Y9" s="2">
        <v>0.28000000000000003</v>
      </c>
      <c r="Z9" s="2">
        <v>48.91</v>
      </c>
      <c r="AA9" s="2"/>
      <c r="AB9" s="122">
        <f t="shared" si="3"/>
        <v>100</v>
      </c>
      <c r="AC9" s="2">
        <v>45.12</v>
      </c>
      <c r="AD9" s="2">
        <v>5.31</v>
      </c>
      <c r="AE9" s="2">
        <v>0.38</v>
      </c>
      <c r="AF9" s="2">
        <v>0.28000000000000003</v>
      </c>
      <c r="AG9" s="2">
        <v>48.91</v>
      </c>
      <c r="AH9" s="124"/>
      <c r="AJ9" s="2"/>
      <c r="AK9" s="125"/>
      <c r="AL9"/>
      <c r="AM9" s="2"/>
      <c r="AN9" s="125"/>
      <c r="AO9" s="121">
        <v>15</v>
      </c>
    </row>
    <row r="10" spans="1:42">
      <c r="A10" s="117">
        <f t="shared" si="1"/>
        <v>9</v>
      </c>
      <c r="B10" t="s">
        <v>33</v>
      </c>
      <c r="C10" s="109">
        <v>1</v>
      </c>
      <c r="D10" s="120" t="s">
        <v>124</v>
      </c>
      <c r="E10" s="3" t="s">
        <v>107</v>
      </c>
      <c r="F10" s="3" t="s">
        <v>108</v>
      </c>
      <c r="G10" s="2"/>
      <c r="H10" s="2"/>
      <c r="I10" s="121"/>
      <c r="J10" s="121" t="s">
        <v>1033</v>
      </c>
      <c r="K10" s="2">
        <v>5.6</v>
      </c>
      <c r="L10" s="2"/>
      <c r="M10" s="2"/>
      <c r="N10" s="2"/>
      <c r="O10" s="122">
        <f t="shared" si="2"/>
        <v>5.6</v>
      </c>
      <c r="P10" s="123"/>
      <c r="Q10" s="123"/>
      <c r="R10" s="123"/>
      <c r="S10" s="123"/>
      <c r="T10" s="121"/>
      <c r="U10" s="121" t="s">
        <v>69</v>
      </c>
      <c r="V10" s="2">
        <v>44.1</v>
      </c>
      <c r="W10" s="2">
        <v>4.4000000000000004</v>
      </c>
      <c r="X10" s="2">
        <v>0.7</v>
      </c>
      <c r="Y10" s="2"/>
      <c r="Z10" s="2">
        <v>39.299999999999997</v>
      </c>
      <c r="AA10" s="2"/>
      <c r="AB10" s="122">
        <f t="shared" si="3"/>
        <v>88.5</v>
      </c>
      <c r="AC10" s="123">
        <f>100*V10/$AB$10</f>
        <v>49.83050847457627</v>
      </c>
      <c r="AD10" s="123">
        <f t="shared" ref="AD10:AG10" si="12">100*W10/$AB$10</f>
        <v>4.9717514124293789</v>
      </c>
      <c r="AE10" s="123">
        <f t="shared" si="12"/>
        <v>0.79096045197740117</v>
      </c>
      <c r="AF10" s="123">
        <f t="shared" si="12"/>
        <v>0</v>
      </c>
      <c r="AG10" s="123">
        <f t="shared" si="12"/>
        <v>44.406779661016941</v>
      </c>
      <c r="AH10" s="124"/>
      <c r="AJ10" s="2"/>
      <c r="AK10" s="125"/>
      <c r="AL10"/>
      <c r="AM10" s="2"/>
      <c r="AN10" s="125"/>
      <c r="AO10" s="121">
        <v>16</v>
      </c>
    </row>
    <row r="11" spans="1:42">
      <c r="A11" s="117">
        <f t="shared" si="1"/>
        <v>10</v>
      </c>
      <c r="B11" t="s">
        <v>33</v>
      </c>
      <c r="C11" s="109">
        <v>1</v>
      </c>
      <c r="D11" s="120" t="s">
        <v>124</v>
      </c>
      <c r="E11" s="3" t="s">
        <v>107</v>
      </c>
      <c r="F11" s="3" t="s">
        <v>108</v>
      </c>
      <c r="G11" s="2"/>
      <c r="H11" s="2"/>
      <c r="I11" s="121"/>
      <c r="J11" s="121" t="s">
        <v>70</v>
      </c>
      <c r="K11" s="2">
        <v>6.96</v>
      </c>
      <c r="L11" s="2">
        <v>78.11</v>
      </c>
      <c r="M11" s="2">
        <v>8.2100000000000009</v>
      </c>
      <c r="N11" s="2">
        <v>6.72</v>
      </c>
      <c r="O11" s="122">
        <f t="shared" si="2"/>
        <v>100</v>
      </c>
      <c r="P11" s="123">
        <v>6.96</v>
      </c>
      <c r="Q11" s="123">
        <v>78.11</v>
      </c>
      <c r="R11" s="123">
        <v>8.2100000000000009</v>
      </c>
      <c r="S11" s="123">
        <v>6.72</v>
      </c>
      <c r="T11" s="121"/>
      <c r="U11" s="121" t="s">
        <v>70</v>
      </c>
      <c r="V11" s="2">
        <v>42.27</v>
      </c>
      <c r="W11" s="2">
        <v>5.3</v>
      </c>
      <c r="X11" s="2">
        <v>0.18</v>
      </c>
      <c r="Y11" s="2">
        <v>0.14000000000000001</v>
      </c>
      <c r="Z11" s="2">
        <v>38.43</v>
      </c>
      <c r="AA11" s="2"/>
      <c r="AB11" s="122">
        <f t="shared" si="3"/>
        <v>86.32</v>
      </c>
      <c r="AC11" s="123">
        <f>100*V11/$AB$11</f>
        <v>48.96895273401298</v>
      </c>
      <c r="AD11" s="123">
        <f t="shared" ref="AD11:AG11" si="13">100*W11/$AB$11</f>
        <v>6.1399443929564415</v>
      </c>
      <c r="AE11" s="123">
        <f t="shared" si="13"/>
        <v>0.20852641334569047</v>
      </c>
      <c r="AF11" s="123">
        <f t="shared" si="13"/>
        <v>0.16218721037998149</v>
      </c>
      <c r="AG11" s="123">
        <f t="shared" si="13"/>
        <v>44.520389249304912</v>
      </c>
      <c r="AH11" s="124"/>
      <c r="AJ11" s="2"/>
      <c r="AK11" s="125"/>
      <c r="AL11"/>
      <c r="AM11" s="2"/>
      <c r="AN11" s="125"/>
      <c r="AO11" s="121">
        <v>17</v>
      </c>
    </row>
    <row r="12" spans="1:42">
      <c r="A12" s="117">
        <f t="shared" si="1"/>
        <v>11</v>
      </c>
      <c r="B12" t="s">
        <v>33</v>
      </c>
      <c r="C12" s="109">
        <v>1</v>
      </c>
      <c r="D12" s="120" t="s">
        <v>124</v>
      </c>
      <c r="E12" s="3" t="s">
        <v>107</v>
      </c>
      <c r="F12" s="3" t="s">
        <v>108</v>
      </c>
      <c r="G12" s="2"/>
      <c r="H12" s="2"/>
      <c r="I12" s="121"/>
      <c r="J12" s="121" t="s">
        <v>453</v>
      </c>
      <c r="K12" s="2">
        <v>50.23</v>
      </c>
      <c r="L12" s="2">
        <v>76.55</v>
      </c>
      <c r="M12" s="2">
        <v>13.96</v>
      </c>
      <c r="N12" s="2">
        <v>9.48</v>
      </c>
      <c r="O12" s="122">
        <f t="shared" si="2"/>
        <v>150.22</v>
      </c>
      <c r="P12" s="123">
        <f>K12</f>
        <v>50.23</v>
      </c>
      <c r="Q12" s="123">
        <f>L12*(1-$K$12/100)</f>
        <v>38.098935000000004</v>
      </c>
      <c r="R12" s="123">
        <f t="shared" ref="R12:S12" si="14">M12*(1-$K$12/100)</f>
        <v>6.9478920000000013</v>
      </c>
      <c r="S12" s="123">
        <f t="shared" si="14"/>
        <v>4.7181960000000007</v>
      </c>
      <c r="T12" s="121"/>
      <c r="U12" s="126"/>
      <c r="V12" s="2"/>
      <c r="W12" s="2"/>
      <c r="X12" s="2"/>
      <c r="Y12" s="2"/>
      <c r="Z12" s="2"/>
      <c r="AA12" s="2"/>
      <c r="AB12" s="122"/>
      <c r="AC12" s="123"/>
      <c r="AD12" s="123"/>
      <c r="AE12" s="123"/>
      <c r="AF12" s="123"/>
      <c r="AG12" s="123"/>
      <c r="AH12" s="124"/>
      <c r="AI12" s="2"/>
      <c r="AJ12" s="2"/>
      <c r="AK12" s="125"/>
      <c r="AL12" s="2"/>
      <c r="AM12" s="2"/>
      <c r="AN12" s="125"/>
      <c r="AO12" s="121">
        <v>18</v>
      </c>
    </row>
    <row r="13" spans="1:42">
      <c r="A13" s="117">
        <f t="shared" si="1"/>
        <v>12</v>
      </c>
      <c r="B13" t="s">
        <v>33</v>
      </c>
      <c r="C13" s="109">
        <v>1</v>
      </c>
      <c r="D13" s="120" t="s">
        <v>124</v>
      </c>
      <c r="E13" s="3" t="s">
        <v>107</v>
      </c>
      <c r="F13" s="3" t="s">
        <v>108</v>
      </c>
      <c r="G13" s="2"/>
      <c r="H13" s="2"/>
      <c r="I13" s="121"/>
      <c r="J13" s="121" t="s">
        <v>453</v>
      </c>
      <c r="K13" s="2">
        <v>48.07</v>
      </c>
      <c r="L13" s="2">
        <v>75.930000000000007</v>
      </c>
      <c r="M13" s="2">
        <v>14.83</v>
      </c>
      <c r="N13" s="2">
        <v>9.24</v>
      </c>
      <c r="O13" s="122">
        <f t="shared" si="2"/>
        <v>148.07000000000002</v>
      </c>
      <c r="P13" s="123">
        <f t="shared" ref="P13:P14" si="15">K13</f>
        <v>48.07</v>
      </c>
      <c r="Q13" s="123">
        <f>L13*(1-$K$13/100)</f>
        <v>39.430449000000003</v>
      </c>
      <c r="R13" s="123">
        <f t="shared" ref="R13:S13" si="16">M13*(1-$K$13/100)</f>
        <v>7.701219</v>
      </c>
      <c r="S13" s="123">
        <f t="shared" si="16"/>
        <v>4.7983320000000003</v>
      </c>
      <c r="T13" s="121"/>
      <c r="U13" s="126"/>
      <c r="V13" s="2"/>
      <c r="W13" s="2"/>
      <c r="X13" s="2"/>
      <c r="Y13" s="2"/>
      <c r="Z13" s="2"/>
      <c r="AA13" s="2"/>
      <c r="AB13" s="122"/>
      <c r="AC13" s="123"/>
      <c r="AD13" s="123"/>
      <c r="AE13" s="123"/>
      <c r="AF13" s="123"/>
      <c r="AG13" s="123"/>
      <c r="AH13" s="124"/>
      <c r="AI13" s="2"/>
      <c r="AJ13" s="2"/>
      <c r="AK13" s="125"/>
      <c r="AL13" s="2"/>
      <c r="AM13" s="2"/>
      <c r="AN13" s="125"/>
      <c r="AO13" s="121">
        <v>18</v>
      </c>
    </row>
    <row r="14" spans="1:42">
      <c r="A14" s="117">
        <f t="shared" si="1"/>
        <v>13</v>
      </c>
      <c r="B14" t="s">
        <v>33</v>
      </c>
      <c r="C14" s="109">
        <v>1</v>
      </c>
      <c r="D14" s="120" t="s">
        <v>124</v>
      </c>
      <c r="E14" s="3" t="s">
        <v>107</v>
      </c>
      <c r="F14" s="3" t="s">
        <v>108</v>
      </c>
      <c r="G14" s="2"/>
      <c r="H14" s="2"/>
      <c r="I14" s="121"/>
      <c r="J14" s="121" t="s">
        <v>453</v>
      </c>
      <c r="K14" s="2">
        <v>34.700000000000003</v>
      </c>
      <c r="L14" s="2">
        <v>64.17</v>
      </c>
      <c r="M14" s="2">
        <v>14.06</v>
      </c>
      <c r="N14" s="2">
        <v>21.78</v>
      </c>
      <c r="O14" s="122">
        <f t="shared" si="2"/>
        <v>134.71</v>
      </c>
      <c r="P14" s="123">
        <f t="shared" si="15"/>
        <v>34.700000000000003</v>
      </c>
      <c r="Q14" s="123">
        <f>L14*(1-$K$14/100)</f>
        <v>41.903010000000002</v>
      </c>
      <c r="R14" s="123">
        <f t="shared" ref="R14:S14" si="17">M14*(1-$K$14/100)</f>
        <v>9.1811800000000012</v>
      </c>
      <c r="S14" s="123">
        <f t="shared" si="17"/>
        <v>14.222340000000001</v>
      </c>
      <c r="T14" s="121"/>
      <c r="U14" s="126"/>
      <c r="V14" s="2"/>
      <c r="W14" s="2"/>
      <c r="X14" s="2"/>
      <c r="Y14" s="2"/>
      <c r="Z14" s="2"/>
      <c r="AA14" s="2"/>
      <c r="AB14" s="122"/>
      <c r="AC14" s="123"/>
      <c r="AD14" s="123"/>
      <c r="AE14" s="123"/>
      <c r="AF14" s="123"/>
      <c r="AG14" s="123"/>
      <c r="AH14" s="124"/>
      <c r="AI14" s="2"/>
      <c r="AJ14" s="2"/>
      <c r="AK14" s="125"/>
      <c r="AL14" s="2"/>
      <c r="AM14" s="2"/>
      <c r="AN14" s="125"/>
      <c r="AO14" s="121">
        <v>18</v>
      </c>
    </row>
    <row r="15" spans="1:42">
      <c r="A15" s="117">
        <f t="shared" si="1"/>
        <v>14</v>
      </c>
      <c r="B15" t="s">
        <v>33</v>
      </c>
      <c r="C15" s="109">
        <v>1</v>
      </c>
      <c r="D15" s="120" t="s">
        <v>124</v>
      </c>
      <c r="E15" s="3" t="s">
        <v>107</v>
      </c>
      <c r="F15" s="3" t="s">
        <v>108</v>
      </c>
      <c r="G15" s="2"/>
      <c r="H15" s="2"/>
      <c r="I15" s="121"/>
      <c r="J15" s="121" t="s">
        <v>453</v>
      </c>
      <c r="K15" s="2">
        <v>25.92</v>
      </c>
      <c r="L15" s="2"/>
      <c r="M15" s="2"/>
      <c r="N15" s="2"/>
      <c r="O15" s="122">
        <f t="shared" si="2"/>
        <v>25.92</v>
      </c>
      <c r="P15" s="123"/>
      <c r="Q15" s="123"/>
      <c r="R15" s="123"/>
      <c r="S15" s="123"/>
      <c r="T15" s="121"/>
      <c r="U15" s="19" t="s">
        <v>215</v>
      </c>
      <c r="V15" s="2">
        <v>47.62</v>
      </c>
      <c r="W15" s="2">
        <v>6.49</v>
      </c>
      <c r="X15" s="2">
        <v>0.23</v>
      </c>
      <c r="Y15" s="2">
        <v>0.23</v>
      </c>
      <c r="Z15" s="2">
        <v>45.42</v>
      </c>
      <c r="AA15" s="2"/>
      <c r="AB15" s="122">
        <f t="shared" si="3"/>
        <v>99.99</v>
      </c>
      <c r="AC15" s="123">
        <v>47.62</v>
      </c>
      <c r="AD15" s="123">
        <v>6.49</v>
      </c>
      <c r="AE15" s="123">
        <v>0.23</v>
      </c>
      <c r="AF15" s="123">
        <v>0.23</v>
      </c>
      <c r="AG15" s="123">
        <v>45.42</v>
      </c>
      <c r="AH15" s="124"/>
      <c r="AJ15" s="2"/>
      <c r="AK15" s="125"/>
      <c r="AL15"/>
      <c r="AM15" s="2"/>
      <c r="AN15" s="125"/>
      <c r="AO15" s="121">
        <v>18</v>
      </c>
    </row>
    <row r="16" spans="1:42">
      <c r="A16" s="117">
        <f t="shared" si="1"/>
        <v>15</v>
      </c>
      <c r="B16" t="s">
        <v>33</v>
      </c>
      <c r="C16" s="109">
        <v>1</v>
      </c>
      <c r="D16" s="120" t="s">
        <v>124</v>
      </c>
      <c r="E16" s="3" t="s">
        <v>107</v>
      </c>
      <c r="F16" s="3" t="s">
        <v>108</v>
      </c>
      <c r="G16" s="2"/>
      <c r="H16" s="2"/>
      <c r="I16" s="121"/>
      <c r="J16" s="121" t="s">
        <v>453</v>
      </c>
      <c r="K16" s="2">
        <v>11.19</v>
      </c>
      <c r="L16" s="2">
        <v>83.39</v>
      </c>
      <c r="M16" s="2">
        <v>15.43</v>
      </c>
      <c r="N16" s="2">
        <v>1.18</v>
      </c>
      <c r="O16" s="122">
        <f t="shared" si="2"/>
        <v>111.19</v>
      </c>
      <c r="P16" s="123">
        <f t="shared" ref="P16:P17" si="18">K16</f>
        <v>11.19</v>
      </c>
      <c r="Q16" s="123">
        <f>L16*(1-$K$16/100)</f>
        <v>74.058659000000006</v>
      </c>
      <c r="R16" s="123">
        <f t="shared" ref="R16" si="19">M16*(1-$K$16/100)</f>
        <v>13.703383000000001</v>
      </c>
      <c r="S16" s="123">
        <f>N16*(1-$K$16/100)</f>
        <v>1.0479579999999999</v>
      </c>
      <c r="T16" s="121"/>
      <c r="U16" s="19"/>
      <c r="V16" s="2"/>
      <c r="W16" s="2"/>
      <c r="X16" s="2"/>
      <c r="Y16" s="2"/>
      <c r="Z16" s="2"/>
      <c r="AA16" s="2"/>
      <c r="AB16" s="122"/>
      <c r="AC16" s="123"/>
      <c r="AD16" s="123"/>
      <c r="AE16" s="123"/>
      <c r="AF16" s="123"/>
      <c r="AG16" s="123"/>
      <c r="AH16" s="124"/>
      <c r="AJ16" s="2"/>
      <c r="AK16" s="125"/>
      <c r="AL16"/>
      <c r="AM16" s="2"/>
      <c r="AN16" s="125"/>
      <c r="AO16" s="121">
        <v>18</v>
      </c>
    </row>
    <row r="17" spans="1:41">
      <c r="A17" s="117">
        <f t="shared" si="1"/>
        <v>16</v>
      </c>
      <c r="B17" t="s">
        <v>33</v>
      </c>
      <c r="C17" s="109">
        <v>1</v>
      </c>
      <c r="D17" s="120" t="s">
        <v>124</v>
      </c>
      <c r="E17" s="3" t="s">
        <v>107</v>
      </c>
      <c r="F17" s="3" t="s">
        <v>108</v>
      </c>
      <c r="G17" s="2"/>
      <c r="H17" s="2"/>
      <c r="I17" s="121"/>
      <c r="J17" s="121" t="s">
        <v>453</v>
      </c>
      <c r="K17" s="2">
        <v>10.25</v>
      </c>
      <c r="L17" s="2">
        <v>82.95</v>
      </c>
      <c r="M17" s="2">
        <v>14.72</v>
      </c>
      <c r="N17" s="2">
        <v>2.33</v>
      </c>
      <c r="O17" s="122">
        <f t="shared" si="2"/>
        <v>110.25</v>
      </c>
      <c r="P17" s="123">
        <f t="shared" si="18"/>
        <v>10.25</v>
      </c>
      <c r="Q17" s="123">
        <f>L17*(1-$K$17/100)</f>
        <v>74.447625000000002</v>
      </c>
      <c r="R17" s="123">
        <f t="shared" ref="R17:S17" si="20">M17*(1-$K$17/100)</f>
        <v>13.2112</v>
      </c>
      <c r="S17" s="123">
        <f t="shared" si="20"/>
        <v>2.0911749999999998</v>
      </c>
      <c r="T17" s="121"/>
      <c r="U17" s="19" t="s">
        <v>215</v>
      </c>
      <c r="V17" s="2">
        <v>41.2</v>
      </c>
      <c r="W17" s="2">
        <v>6.13</v>
      </c>
      <c r="X17" s="2">
        <v>0.1</v>
      </c>
      <c r="Y17" s="2">
        <v>0.19</v>
      </c>
      <c r="Z17" s="2">
        <v>52.37</v>
      </c>
      <c r="AA17" s="2"/>
      <c r="AB17" s="122">
        <f t="shared" si="3"/>
        <v>99.990000000000009</v>
      </c>
      <c r="AC17" s="123">
        <v>41.2</v>
      </c>
      <c r="AD17" s="123">
        <v>6.13</v>
      </c>
      <c r="AE17" s="123">
        <v>0.1</v>
      </c>
      <c r="AF17" s="123">
        <v>0.19</v>
      </c>
      <c r="AG17" s="123">
        <v>52.37</v>
      </c>
      <c r="AH17" s="124"/>
      <c r="AJ17" s="2"/>
      <c r="AK17" s="125"/>
      <c r="AL17"/>
      <c r="AM17" s="2"/>
      <c r="AN17" s="125"/>
      <c r="AO17" s="121">
        <v>18</v>
      </c>
    </row>
    <row r="18" spans="1:41">
      <c r="A18" s="117">
        <f t="shared" si="1"/>
        <v>17</v>
      </c>
      <c r="B18" t="s">
        <v>33</v>
      </c>
      <c r="C18" s="109">
        <v>1</v>
      </c>
      <c r="D18" s="120" t="s">
        <v>124</v>
      </c>
      <c r="E18" s="3" t="s">
        <v>107</v>
      </c>
      <c r="F18" s="3" t="s">
        <v>108</v>
      </c>
      <c r="G18" s="2"/>
      <c r="H18" s="2"/>
      <c r="I18" s="121"/>
      <c r="J18" s="121" t="s">
        <v>453</v>
      </c>
      <c r="K18" s="2">
        <v>10.199999999999999</v>
      </c>
      <c r="L18" s="2"/>
      <c r="M18" s="2"/>
      <c r="N18" s="2"/>
      <c r="O18" s="122">
        <f t="shared" si="2"/>
        <v>10.199999999999999</v>
      </c>
      <c r="P18" s="123"/>
      <c r="Q18" s="123"/>
      <c r="R18" s="123"/>
      <c r="S18" s="123"/>
      <c r="T18" s="121"/>
      <c r="U18" s="19" t="s">
        <v>215</v>
      </c>
      <c r="V18" s="2">
        <v>46.17</v>
      </c>
      <c r="W18" s="2">
        <v>6.17</v>
      </c>
      <c r="X18" s="2">
        <v>0.32</v>
      </c>
      <c r="Y18" s="2">
        <v>0.21</v>
      </c>
      <c r="Z18" s="2">
        <v>47.13</v>
      </c>
      <c r="AA18" s="2"/>
      <c r="AB18" s="122">
        <f t="shared" si="3"/>
        <v>100</v>
      </c>
      <c r="AC18" s="123">
        <v>46.17</v>
      </c>
      <c r="AD18" s="123">
        <v>6.17</v>
      </c>
      <c r="AE18" s="123">
        <v>0.32</v>
      </c>
      <c r="AF18" s="123">
        <v>0.21</v>
      </c>
      <c r="AG18" s="123">
        <v>47.13</v>
      </c>
      <c r="AH18" s="124"/>
      <c r="AJ18" s="2">
        <v>17.611000000000001</v>
      </c>
      <c r="AL18"/>
      <c r="AM18" s="2">
        <v>17.611000000000001</v>
      </c>
      <c r="AN18" s="3"/>
      <c r="AO18" s="121">
        <v>18</v>
      </c>
    </row>
    <row r="19" spans="1:41">
      <c r="A19" s="117">
        <f t="shared" si="1"/>
        <v>18</v>
      </c>
      <c r="B19" t="s">
        <v>33</v>
      </c>
      <c r="C19" s="109">
        <v>1</v>
      </c>
      <c r="D19" s="120" t="s">
        <v>124</v>
      </c>
      <c r="E19" s="3" t="s">
        <v>107</v>
      </c>
      <c r="F19" s="3" t="s">
        <v>108</v>
      </c>
      <c r="G19" s="2"/>
      <c r="H19" s="2"/>
      <c r="I19" s="121"/>
      <c r="J19" s="121" t="s">
        <v>453</v>
      </c>
      <c r="K19" s="2">
        <v>8.44</v>
      </c>
      <c r="L19" s="2">
        <v>76.62</v>
      </c>
      <c r="M19" s="2">
        <v>13.18</v>
      </c>
      <c r="N19" s="2">
        <v>10.199999999999999</v>
      </c>
      <c r="O19" s="122">
        <f t="shared" si="2"/>
        <v>108.44000000000001</v>
      </c>
      <c r="P19" s="123">
        <f t="shared" ref="P19:P24" si="21">K19</f>
        <v>8.44</v>
      </c>
      <c r="Q19" s="123">
        <f>L19*(1-$K$19/100)</f>
        <v>70.153272000000001</v>
      </c>
      <c r="R19" s="123">
        <f t="shared" ref="R19:S19" si="22">M19*(1-$K$19/100)</f>
        <v>12.067608</v>
      </c>
      <c r="S19" s="123">
        <f t="shared" si="22"/>
        <v>9.3391199999999994</v>
      </c>
      <c r="T19" s="121"/>
      <c r="U19" s="19" t="s">
        <v>215</v>
      </c>
      <c r="V19" s="2">
        <v>46.97</v>
      </c>
      <c r="W19" s="2">
        <v>5.12</v>
      </c>
      <c r="X19" s="2">
        <v>0.15</v>
      </c>
      <c r="Y19" s="2">
        <v>7.0000000000000007E-2</v>
      </c>
      <c r="Z19" s="2">
        <v>47.69</v>
      </c>
      <c r="AA19" s="2"/>
      <c r="AB19" s="122">
        <f t="shared" si="3"/>
        <v>100</v>
      </c>
      <c r="AC19" s="123">
        <v>46.97</v>
      </c>
      <c r="AD19" s="123">
        <v>5.12</v>
      </c>
      <c r="AE19" s="123">
        <v>0.15</v>
      </c>
      <c r="AF19" s="123">
        <v>7.0000000000000007E-2</v>
      </c>
      <c r="AG19" s="123">
        <v>47.69</v>
      </c>
      <c r="AH19" s="124"/>
      <c r="AJ19" s="2">
        <v>15.978999999999999</v>
      </c>
      <c r="AL19">
        <f>AM19*(Q19+R19+S19)/(Q19+R19)</f>
        <v>17.793986636971045</v>
      </c>
      <c r="AM19" s="2">
        <v>15.978999999999999</v>
      </c>
      <c r="AN19" s="3">
        <f>AM19*(Q19+R19+S19)/100</f>
        <v>14.630372399999997</v>
      </c>
      <c r="AO19" s="121">
        <v>18</v>
      </c>
    </row>
    <row r="20" spans="1:41">
      <c r="A20" s="117">
        <f t="shared" si="1"/>
        <v>19</v>
      </c>
      <c r="B20" t="s">
        <v>33</v>
      </c>
      <c r="C20" s="109">
        <v>1</v>
      </c>
      <c r="D20" s="120" t="s">
        <v>124</v>
      </c>
      <c r="E20" s="3" t="s">
        <v>107</v>
      </c>
      <c r="F20" s="3" t="s">
        <v>108</v>
      </c>
      <c r="G20" s="2"/>
      <c r="H20" s="2"/>
      <c r="I20" s="121"/>
      <c r="J20" s="121" t="s">
        <v>453</v>
      </c>
      <c r="K20" s="2">
        <v>7.29</v>
      </c>
      <c r="L20" s="2">
        <v>73.599999999999994</v>
      </c>
      <c r="M20" s="2">
        <v>23.79</v>
      </c>
      <c r="N20" s="2">
        <v>2.61</v>
      </c>
      <c r="O20" s="122">
        <f t="shared" si="2"/>
        <v>107.29</v>
      </c>
      <c r="P20" s="123">
        <f t="shared" si="21"/>
        <v>7.29</v>
      </c>
      <c r="Q20" s="123">
        <f>L20*(1-$K$20/100)</f>
        <v>68.234560000000002</v>
      </c>
      <c r="R20" s="123">
        <f t="shared" ref="R20:S20" si="23">M20*(1-$K$20/100)</f>
        <v>22.055709</v>
      </c>
      <c r="S20" s="123">
        <f t="shared" si="23"/>
        <v>2.4197310000000001</v>
      </c>
      <c r="T20" s="121"/>
      <c r="U20" s="19" t="s">
        <v>215</v>
      </c>
      <c r="V20" s="2">
        <v>49.02</v>
      </c>
      <c r="W20" s="2">
        <v>6.31</v>
      </c>
      <c r="X20" s="2">
        <v>1.74</v>
      </c>
      <c r="Y20" s="2">
        <v>0.38</v>
      </c>
      <c r="Z20" s="2">
        <v>42.35</v>
      </c>
      <c r="AA20" s="2">
        <v>0.19</v>
      </c>
      <c r="AB20" s="122">
        <f t="shared" si="3"/>
        <v>99.990000000000009</v>
      </c>
      <c r="AC20" s="123">
        <f>100*V20/$AB$20</f>
        <v>49.024902490249019</v>
      </c>
      <c r="AD20" s="123">
        <f t="shared" ref="AD20:AG20" si="24">100*W20/$AB$20</f>
        <v>6.3106310631063103</v>
      </c>
      <c r="AE20" s="123">
        <f t="shared" si="24"/>
        <v>1.7401740174017399</v>
      </c>
      <c r="AF20" s="123">
        <f t="shared" si="24"/>
        <v>0.38003800380038</v>
      </c>
      <c r="AG20" s="123">
        <f t="shared" si="24"/>
        <v>42.354235423542349</v>
      </c>
      <c r="AH20" s="124">
        <f>100*AA20/$AB$20</f>
        <v>0.19001900190019</v>
      </c>
      <c r="AJ20" s="2">
        <v>16.832999999999998</v>
      </c>
      <c r="AL20">
        <f>AM20*(Q20+R20+S20)/(Q20+R20)</f>
        <v>17.284115412259986</v>
      </c>
      <c r="AM20" s="2">
        <v>16.832999999999998</v>
      </c>
      <c r="AN20" s="3">
        <f>AM20*(Q20+R20+S20)/100</f>
        <v>15.605874299999998</v>
      </c>
      <c r="AO20" s="121">
        <v>18</v>
      </c>
    </row>
    <row r="21" spans="1:41">
      <c r="A21" s="117">
        <f t="shared" si="1"/>
        <v>20</v>
      </c>
      <c r="B21" t="s">
        <v>33</v>
      </c>
      <c r="C21" s="109">
        <v>1</v>
      </c>
      <c r="D21" s="120" t="s">
        <v>124</v>
      </c>
      <c r="E21" s="3" t="s">
        <v>107</v>
      </c>
      <c r="F21" s="3" t="s">
        <v>108</v>
      </c>
      <c r="G21" s="2"/>
      <c r="H21" s="2"/>
      <c r="I21" s="121"/>
      <c r="J21" s="121" t="s">
        <v>453</v>
      </c>
      <c r="K21" s="2">
        <v>6.7</v>
      </c>
      <c r="L21" s="2">
        <v>81.67</v>
      </c>
      <c r="M21" s="2">
        <v>8.7899999999999991</v>
      </c>
      <c r="N21" s="2">
        <v>9.5399999999999991</v>
      </c>
      <c r="O21" s="122">
        <f t="shared" si="2"/>
        <v>106.69999999999999</v>
      </c>
      <c r="P21" s="123">
        <f t="shared" si="21"/>
        <v>6.7</v>
      </c>
      <c r="Q21" s="123">
        <f>L21*(1-$K$21/100)</f>
        <v>76.19811</v>
      </c>
      <c r="R21" s="123">
        <f t="shared" ref="R21:S21" si="25">M21*(1-$K$21/100)</f>
        <v>8.2010699999999996</v>
      </c>
      <c r="S21" s="123">
        <f t="shared" si="25"/>
        <v>8.9008199999999995</v>
      </c>
      <c r="T21" s="121"/>
      <c r="U21" s="19" t="s">
        <v>215</v>
      </c>
      <c r="V21" s="2">
        <v>47.38</v>
      </c>
      <c r="W21" s="2">
        <v>5.92</v>
      </c>
      <c r="X21" s="2">
        <v>0.15</v>
      </c>
      <c r="Y21" s="2">
        <v>0.04</v>
      </c>
      <c r="Z21" s="2">
        <v>46.5</v>
      </c>
      <c r="AA21" s="2"/>
      <c r="AB21" s="122">
        <f t="shared" si="3"/>
        <v>99.990000000000009</v>
      </c>
      <c r="AC21" s="123">
        <v>47.38</v>
      </c>
      <c r="AD21" s="123">
        <v>5.92</v>
      </c>
      <c r="AE21" s="123">
        <v>0.15</v>
      </c>
      <c r="AF21" s="123">
        <v>0.04</v>
      </c>
      <c r="AG21" s="123">
        <v>46.5</v>
      </c>
      <c r="AH21" s="124"/>
      <c r="AJ21" s="2"/>
      <c r="AL21"/>
      <c r="AM21" s="2"/>
      <c r="AN21" s="3"/>
      <c r="AO21" s="121">
        <v>18</v>
      </c>
    </row>
    <row r="22" spans="1:41">
      <c r="A22" s="117">
        <f t="shared" si="1"/>
        <v>21</v>
      </c>
      <c r="B22" t="s">
        <v>33</v>
      </c>
      <c r="C22" s="109">
        <v>1</v>
      </c>
      <c r="D22" s="120" t="s">
        <v>124</v>
      </c>
      <c r="E22" s="3" t="s">
        <v>107</v>
      </c>
      <c r="F22" s="3" t="s">
        <v>108</v>
      </c>
      <c r="G22" s="2"/>
      <c r="H22" s="2"/>
      <c r="I22" s="121"/>
      <c r="J22" s="121" t="s">
        <v>453</v>
      </c>
      <c r="K22" s="2">
        <v>6.61</v>
      </c>
      <c r="L22" s="2">
        <v>72.319999999999993</v>
      </c>
      <c r="M22" s="2">
        <v>7.48</v>
      </c>
      <c r="N22" s="2">
        <v>20.190000000000001</v>
      </c>
      <c r="O22" s="122">
        <f t="shared" si="2"/>
        <v>106.6</v>
      </c>
      <c r="P22" s="123">
        <f t="shared" si="21"/>
        <v>6.61</v>
      </c>
      <c r="Q22" s="123">
        <f>L22*(1-$K$22/100)</f>
        <v>67.539647999999985</v>
      </c>
      <c r="R22" s="123">
        <f t="shared" ref="R22:S22" si="26">M22*(1-$K$22/100)</f>
        <v>6.9855720000000003</v>
      </c>
      <c r="S22" s="123">
        <f t="shared" si="26"/>
        <v>18.855440999999999</v>
      </c>
      <c r="T22" s="121"/>
      <c r="U22" s="19" t="s">
        <v>215</v>
      </c>
      <c r="V22" s="2">
        <v>46.14</v>
      </c>
      <c r="W22" s="2">
        <v>7.06</v>
      </c>
      <c r="X22" s="2">
        <v>0.25</v>
      </c>
      <c r="Y22" s="2">
        <v>0.38</v>
      </c>
      <c r="Z22" s="2">
        <v>46.17</v>
      </c>
      <c r="AA22" s="2"/>
      <c r="AB22" s="122">
        <f t="shared" si="3"/>
        <v>100</v>
      </c>
      <c r="AC22" s="123">
        <v>46.14</v>
      </c>
      <c r="AD22" s="123">
        <v>7.06</v>
      </c>
      <c r="AE22" s="123">
        <v>0.25</v>
      </c>
      <c r="AF22" s="123">
        <v>0.38</v>
      </c>
      <c r="AG22" s="123">
        <v>46.17</v>
      </c>
      <c r="AH22" s="124"/>
      <c r="AJ22" s="2">
        <v>15.872</v>
      </c>
      <c r="AL22">
        <f>AM22*(Q22+R22+S22)/(Q22+R22)</f>
        <v>19.887735338345866</v>
      </c>
      <c r="AM22" s="2">
        <v>15.872</v>
      </c>
      <c r="AN22" s="3">
        <f>AM22*(Q22+R22+S22)/100</f>
        <v>14.821378513919999</v>
      </c>
      <c r="AO22" s="121">
        <v>18</v>
      </c>
    </row>
    <row r="23" spans="1:41">
      <c r="A23" s="117">
        <f t="shared" si="1"/>
        <v>22</v>
      </c>
      <c r="B23" t="s">
        <v>33</v>
      </c>
      <c r="C23" s="109">
        <v>1</v>
      </c>
      <c r="D23" s="120" t="s">
        <v>124</v>
      </c>
      <c r="E23" s="3" t="s">
        <v>107</v>
      </c>
      <c r="F23" s="3" t="s">
        <v>108</v>
      </c>
      <c r="G23" s="2"/>
      <c r="H23" s="2"/>
      <c r="I23" s="121"/>
      <c r="J23" s="121" t="s">
        <v>453</v>
      </c>
      <c r="K23" s="2">
        <v>6.49</v>
      </c>
      <c r="L23" s="2">
        <v>78.19</v>
      </c>
      <c r="M23" s="2">
        <v>12.33</v>
      </c>
      <c r="N23" s="2">
        <v>9.4700000000000006</v>
      </c>
      <c r="O23" s="122">
        <f t="shared" si="2"/>
        <v>106.47999999999999</v>
      </c>
      <c r="P23" s="123">
        <f t="shared" si="21"/>
        <v>6.49</v>
      </c>
      <c r="Q23" s="123">
        <f>L23*(1-$K$23/100)</f>
        <v>73.115469000000004</v>
      </c>
      <c r="R23" s="123">
        <f t="shared" ref="R23:S23" si="27">M23*(1-$K$23/100)</f>
        <v>11.529783</v>
      </c>
      <c r="S23" s="123">
        <f t="shared" si="27"/>
        <v>8.8553970000000017</v>
      </c>
      <c r="T23" s="121"/>
      <c r="U23" s="19" t="s">
        <v>215</v>
      </c>
      <c r="V23" s="2">
        <v>46.66</v>
      </c>
      <c r="W23" s="2">
        <v>6.25</v>
      </c>
      <c r="X23" s="2">
        <v>0.13</v>
      </c>
      <c r="Y23" s="2">
        <v>0.09</v>
      </c>
      <c r="Z23" s="2">
        <v>46.86</v>
      </c>
      <c r="AA23" s="2"/>
      <c r="AB23" s="122">
        <f t="shared" si="3"/>
        <v>99.990000000000009</v>
      </c>
      <c r="AC23" s="123">
        <v>46.66</v>
      </c>
      <c r="AD23" s="123">
        <v>6.25</v>
      </c>
      <c r="AE23" s="123">
        <v>0.13</v>
      </c>
      <c r="AF23" s="123">
        <v>0.09</v>
      </c>
      <c r="AG23" s="123">
        <v>46.86</v>
      </c>
      <c r="AH23" s="124"/>
      <c r="AJ23" s="2">
        <v>15.340999999999999</v>
      </c>
      <c r="AL23">
        <f>AM23*(Q23+R23+S23)/(Q23+R23)</f>
        <v>16.945941117984976</v>
      </c>
      <c r="AM23" s="2">
        <v>15.340999999999999</v>
      </c>
      <c r="AN23" s="3">
        <f>AM23*(Q23+R23+S23)/100</f>
        <v>14.343934563089999</v>
      </c>
      <c r="AO23" s="121">
        <v>18</v>
      </c>
    </row>
    <row r="24" spans="1:41">
      <c r="A24" s="117">
        <f t="shared" si="1"/>
        <v>23</v>
      </c>
      <c r="B24" t="s">
        <v>33</v>
      </c>
      <c r="C24" s="109">
        <v>1</v>
      </c>
      <c r="D24" s="120" t="s">
        <v>124</v>
      </c>
      <c r="E24" s="3" t="s">
        <v>107</v>
      </c>
      <c r="F24" s="3" t="s">
        <v>108</v>
      </c>
      <c r="G24" s="2"/>
      <c r="H24" s="2"/>
      <c r="I24" s="121"/>
      <c r="J24" s="121" t="s">
        <v>453</v>
      </c>
      <c r="K24" s="2">
        <v>6.05</v>
      </c>
      <c r="L24" s="2">
        <v>77.53</v>
      </c>
      <c r="M24" s="2">
        <v>12.86</v>
      </c>
      <c r="N24" s="2">
        <v>9.61</v>
      </c>
      <c r="O24" s="122">
        <f t="shared" si="2"/>
        <v>106.05</v>
      </c>
      <c r="P24" s="123">
        <f t="shared" si="21"/>
        <v>6.05</v>
      </c>
      <c r="Q24" s="123">
        <f>L24*(1-$K$24/100)</f>
        <v>72.839434999999995</v>
      </c>
      <c r="R24" s="123">
        <f t="shared" ref="R24:S24" si="28">M24*(1-$K$24/100)</f>
        <v>12.08197</v>
      </c>
      <c r="S24" s="123">
        <f t="shared" si="28"/>
        <v>9.0285949999999993</v>
      </c>
      <c r="T24" s="121"/>
      <c r="U24" s="19" t="s">
        <v>215</v>
      </c>
      <c r="V24" s="2">
        <v>47.4</v>
      </c>
      <c r="W24" s="2">
        <v>6.45</v>
      </c>
      <c r="X24" s="2">
        <v>0.12</v>
      </c>
      <c r="Y24" s="2">
        <v>7.0000000000000007E-2</v>
      </c>
      <c r="Z24" s="2">
        <v>45.97</v>
      </c>
      <c r="AA24" s="2"/>
      <c r="AB24" s="122">
        <f t="shared" si="3"/>
        <v>100.00999999999999</v>
      </c>
      <c r="AC24" s="123">
        <v>47.4</v>
      </c>
      <c r="AD24" s="123">
        <v>6.45</v>
      </c>
      <c r="AE24" s="123">
        <v>0.12</v>
      </c>
      <c r="AF24" s="123">
        <v>7.0000000000000007E-2</v>
      </c>
      <c r="AG24" s="123">
        <v>45.97</v>
      </c>
      <c r="AH24" s="124"/>
      <c r="AJ24" s="2"/>
      <c r="AL24"/>
      <c r="AM24" s="2"/>
      <c r="AN24" s="3"/>
      <c r="AO24" s="121">
        <v>18</v>
      </c>
    </row>
    <row r="25" spans="1:41">
      <c r="A25" s="117">
        <f t="shared" si="1"/>
        <v>24</v>
      </c>
      <c r="B25" t="s">
        <v>33</v>
      </c>
      <c r="C25" s="109">
        <v>1</v>
      </c>
      <c r="D25" s="120" t="s">
        <v>124</v>
      </c>
      <c r="E25" s="3" t="s">
        <v>107</v>
      </c>
      <c r="F25" s="3" t="s">
        <v>108</v>
      </c>
      <c r="G25" s="2"/>
      <c r="H25" s="2"/>
      <c r="I25" s="121"/>
      <c r="J25" s="121" t="s">
        <v>453</v>
      </c>
      <c r="K25" s="2">
        <v>6</v>
      </c>
      <c r="L25" s="2"/>
      <c r="M25" s="2"/>
      <c r="N25" s="2"/>
      <c r="O25" s="122">
        <f t="shared" si="2"/>
        <v>6</v>
      </c>
      <c r="P25" s="123"/>
      <c r="Q25" s="123"/>
      <c r="R25" s="123"/>
      <c r="S25" s="123"/>
      <c r="T25" s="121"/>
      <c r="U25" s="19" t="s">
        <v>215</v>
      </c>
      <c r="V25" s="2">
        <v>46.28</v>
      </c>
      <c r="W25" s="2">
        <v>6.38</v>
      </c>
      <c r="X25" s="2">
        <v>0.32</v>
      </c>
      <c r="Y25" s="2">
        <v>0.21</v>
      </c>
      <c r="Z25" s="2">
        <v>46.81</v>
      </c>
      <c r="AA25" s="2"/>
      <c r="AB25" s="122">
        <f t="shared" si="3"/>
        <v>100</v>
      </c>
      <c r="AC25" s="123">
        <v>46.28</v>
      </c>
      <c r="AD25" s="123">
        <v>6.38</v>
      </c>
      <c r="AE25" s="123">
        <v>0.32</v>
      </c>
      <c r="AF25" s="123">
        <v>0.21</v>
      </c>
      <c r="AG25" s="123">
        <v>46.81</v>
      </c>
      <c r="AH25" s="124"/>
      <c r="AJ25" s="2">
        <v>19.277000000000001</v>
      </c>
      <c r="AL25"/>
      <c r="AM25" s="2">
        <v>19.277000000000001</v>
      </c>
      <c r="AN25" s="3"/>
      <c r="AO25" s="121">
        <v>18</v>
      </c>
    </row>
    <row r="26" spans="1:41">
      <c r="A26" s="117">
        <f t="shared" si="1"/>
        <v>25</v>
      </c>
      <c r="B26" t="s">
        <v>33</v>
      </c>
      <c r="C26" s="109">
        <v>1</v>
      </c>
      <c r="D26" s="120" t="s">
        <v>124</v>
      </c>
      <c r="E26" s="3" t="s">
        <v>107</v>
      </c>
      <c r="F26" s="3" t="s">
        <v>108</v>
      </c>
      <c r="G26" s="2"/>
      <c r="H26" s="2"/>
      <c r="I26" s="121"/>
      <c r="J26" s="121" t="s">
        <v>453</v>
      </c>
      <c r="K26" s="2">
        <v>5.44</v>
      </c>
      <c r="L26" s="2">
        <v>66.959999999999994</v>
      </c>
      <c r="M26" s="2">
        <v>6.97</v>
      </c>
      <c r="N26" s="2">
        <v>26.08</v>
      </c>
      <c r="O26" s="122">
        <f t="shared" si="2"/>
        <v>105.44999999999999</v>
      </c>
      <c r="P26" s="123">
        <f t="shared" ref="P26:P31" si="29">K26</f>
        <v>5.44</v>
      </c>
      <c r="Q26" s="123">
        <f>L26*(1-$K$26/100)</f>
        <v>63.317375999999996</v>
      </c>
      <c r="R26" s="123">
        <f t="shared" ref="R26:S26" si="30">M26*(1-$K$26/100)</f>
        <v>6.5908319999999998</v>
      </c>
      <c r="S26" s="123">
        <f t="shared" si="30"/>
        <v>24.661247999999997</v>
      </c>
      <c r="T26" s="121"/>
      <c r="U26" s="19"/>
      <c r="V26" s="2"/>
      <c r="W26" s="2"/>
      <c r="X26" s="2"/>
      <c r="Y26" s="2"/>
      <c r="Z26" s="2"/>
      <c r="AA26" s="2"/>
      <c r="AB26" s="122"/>
      <c r="AC26" s="123"/>
      <c r="AD26" s="123"/>
      <c r="AE26" s="123"/>
      <c r="AF26" s="123"/>
      <c r="AG26" s="123"/>
      <c r="AH26" s="124"/>
      <c r="AJ26" s="2"/>
      <c r="AL26"/>
      <c r="AM26" s="2"/>
      <c r="AN26" s="3"/>
      <c r="AO26" s="121">
        <v>18</v>
      </c>
    </row>
    <row r="27" spans="1:41">
      <c r="A27" s="117">
        <f t="shared" si="1"/>
        <v>26</v>
      </c>
      <c r="B27" t="s">
        <v>33</v>
      </c>
      <c r="C27" s="109">
        <v>1</v>
      </c>
      <c r="D27" s="120" t="s">
        <v>124</v>
      </c>
      <c r="E27" s="3" t="s">
        <v>107</v>
      </c>
      <c r="F27" s="3" t="s">
        <v>108</v>
      </c>
      <c r="G27" s="2"/>
      <c r="H27" s="2"/>
      <c r="I27" s="121"/>
      <c r="J27" s="121" t="s">
        <v>453</v>
      </c>
      <c r="K27" s="2">
        <v>4.8499999999999996</v>
      </c>
      <c r="L27" s="2">
        <v>80.5</v>
      </c>
      <c r="M27" s="2">
        <v>9.4499999999999993</v>
      </c>
      <c r="N27" s="2">
        <v>10.050000000000001</v>
      </c>
      <c r="O27" s="122">
        <f t="shared" si="2"/>
        <v>104.85</v>
      </c>
      <c r="P27" s="123">
        <f t="shared" si="29"/>
        <v>4.8499999999999996</v>
      </c>
      <c r="Q27" s="123">
        <f>L27*(1-$K$27/100)</f>
        <v>76.595749999999995</v>
      </c>
      <c r="R27" s="123">
        <f t="shared" ref="R27:S27" si="31">M27*(1-$K$27/100)</f>
        <v>8.991674999999999</v>
      </c>
      <c r="S27" s="123">
        <f t="shared" si="31"/>
        <v>9.5625750000000007</v>
      </c>
      <c r="T27" s="121"/>
      <c r="U27" s="19" t="s">
        <v>215</v>
      </c>
      <c r="V27" s="2">
        <v>40.46</v>
      </c>
      <c r="W27" s="2">
        <v>6.31</v>
      </c>
      <c r="X27" s="2">
        <v>0.34</v>
      </c>
      <c r="Y27" s="2">
        <v>0.33</v>
      </c>
      <c r="Z27" s="2">
        <v>52.56</v>
      </c>
      <c r="AA27" s="2"/>
      <c r="AB27" s="122">
        <f t="shared" si="3"/>
        <v>100</v>
      </c>
      <c r="AC27" s="123">
        <v>40.46</v>
      </c>
      <c r="AD27" s="123">
        <v>6.31</v>
      </c>
      <c r="AE27" s="123">
        <v>0.34</v>
      </c>
      <c r="AF27" s="123">
        <v>0.33</v>
      </c>
      <c r="AG27" s="123">
        <v>52.56</v>
      </c>
      <c r="AH27" s="124"/>
      <c r="AJ27" s="2"/>
      <c r="AL27"/>
      <c r="AM27" s="2"/>
      <c r="AN27" s="3"/>
      <c r="AO27" s="121">
        <v>18</v>
      </c>
    </row>
    <row r="28" spans="1:41">
      <c r="A28" s="117">
        <f t="shared" si="1"/>
        <v>27</v>
      </c>
      <c r="B28" t="s">
        <v>33</v>
      </c>
      <c r="C28" s="109">
        <v>1</v>
      </c>
      <c r="D28" s="120" t="s">
        <v>124</v>
      </c>
      <c r="E28" s="3" t="s">
        <v>107</v>
      </c>
      <c r="F28" s="3" t="s">
        <v>108</v>
      </c>
      <c r="G28" s="2"/>
      <c r="H28" s="2"/>
      <c r="I28" s="121"/>
      <c r="J28" s="121" t="s">
        <v>453</v>
      </c>
      <c r="K28" s="2">
        <v>4.1100000000000003</v>
      </c>
      <c r="L28" s="2">
        <v>69.239999999999995</v>
      </c>
      <c r="M28" s="2">
        <v>7.33</v>
      </c>
      <c r="N28" s="2">
        <v>23.43</v>
      </c>
      <c r="O28" s="122">
        <f t="shared" si="2"/>
        <v>104.10999999999999</v>
      </c>
      <c r="P28" s="123">
        <f t="shared" si="29"/>
        <v>4.1100000000000003</v>
      </c>
      <c r="Q28" s="123">
        <f>L28*(1-$K$28/100)</f>
        <v>66.394235999999992</v>
      </c>
      <c r="R28" s="123">
        <f t="shared" ref="R28:S28" si="32">M28*(1-$K$28/100)</f>
        <v>7.0287369999999996</v>
      </c>
      <c r="S28" s="123">
        <f t="shared" si="32"/>
        <v>22.467026999999998</v>
      </c>
      <c r="T28" s="121"/>
      <c r="U28" s="19" t="s">
        <v>215</v>
      </c>
      <c r="V28" s="2">
        <v>49.6</v>
      </c>
      <c r="W28" s="2">
        <v>6.16</v>
      </c>
      <c r="X28" s="2">
        <v>0.61</v>
      </c>
      <c r="Y28" s="2">
        <v>0.2</v>
      </c>
      <c r="Z28" s="2">
        <v>43.43</v>
      </c>
      <c r="AA28" s="2"/>
      <c r="AB28" s="122">
        <f t="shared" si="3"/>
        <v>100</v>
      </c>
      <c r="AC28" s="123">
        <v>49.6</v>
      </c>
      <c r="AD28" s="123">
        <v>6.16</v>
      </c>
      <c r="AE28" s="123">
        <v>0.61</v>
      </c>
      <c r="AF28" s="123">
        <v>0.2</v>
      </c>
      <c r="AG28" s="123">
        <v>43.43</v>
      </c>
      <c r="AH28" s="124"/>
      <c r="AJ28" s="2"/>
      <c r="AL28"/>
      <c r="AM28" s="2"/>
      <c r="AN28" s="3"/>
      <c r="AO28" s="121">
        <v>18</v>
      </c>
    </row>
    <row r="29" spans="1:41">
      <c r="A29" s="117">
        <f t="shared" si="1"/>
        <v>28</v>
      </c>
      <c r="B29" t="s">
        <v>33</v>
      </c>
      <c r="C29" s="109">
        <v>1</v>
      </c>
      <c r="D29" s="120" t="s">
        <v>124</v>
      </c>
      <c r="E29" s="3" t="s">
        <v>107</v>
      </c>
      <c r="F29" s="3" t="s">
        <v>108</v>
      </c>
      <c r="G29" s="2"/>
      <c r="H29" s="2"/>
      <c r="I29" s="121"/>
      <c r="J29" s="121" t="s">
        <v>453</v>
      </c>
      <c r="K29" s="2">
        <v>3.82</v>
      </c>
      <c r="L29" s="2">
        <v>69.040000000000006</v>
      </c>
      <c r="M29" s="2">
        <v>9.75</v>
      </c>
      <c r="N29" s="2">
        <v>21.21</v>
      </c>
      <c r="O29" s="122">
        <f t="shared" si="2"/>
        <v>103.82</v>
      </c>
      <c r="P29" s="123">
        <f t="shared" si="29"/>
        <v>3.82</v>
      </c>
      <c r="Q29" s="123">
        <f>L29*(1-$K$29/100)</f>
        <v>66.40267200000001</v>
      </c>
      <c r="R29" s="123">
        <f t="shared" ref="R29:S29" si="33">M29*(1-$K$29/100)</f>
        <v>9.3775499999999994</v>
      </c>
      <c r="S29" s="123">
        <f t="shared" si="33"/>
        <v>20.399778000000001</v>
      </c>
      <c r="T29" s="121"/>
      <c r="U29" s="19" t="s">
        <v>215</v>
      </c>
      <c r="V29" s="2">
        <v>44.29</v>
      </c>
      <c r="W29" s="2">
        <v>5.63</v>
      </c>
      <c r="X29" s="2">
        <v>0.32</v>
      </c>
      <c r="Y29" s="2">
        <v>0</v>
      </c>
      <c r="Z29" s="2">
        <v>49.76</v>
      </c>
      <c r="AA29" s="2"/>
      <c r="AB29" s="122">
        <f t="shared" si="3"/>
        <v>100</v>
      </c>
      <c r="AC29" s="123">
        <v>44.29</v>
      </c>
      <c r="AD29" s="123">
        <v>5.63</v>
      </c>
      <c r="AE29" s="123">
        <v>0.32</v>
      </c>
      <c r="AF29" s="123">
        <v>0</v>
      </c>
      <c r="AG29" s="123">
        <v>49.76</v>
      </c>
      <c r="AH29" s="124"/>
      <c r="AJ29" s="2">
        <v>13.445</v>
      </c>
      <c r="AL29">
        <f>AM29*(Q29+R29+S29)/(Q29+R29)</f>
        <v>17.064348267546642</v>
      </c>
      <c r="AM29" s="2">
        <v>13.445</v>
      </c>
      <c r="AN29" s="3">
        <f>AM29*(Q29+R29+S29)/100</f>
        <v>12.931401000000001</v>
      </c>
      <c r="AO29" s="121">
        <v>18</v>
      </c>
    </row>
    <row r="30" spans="1:41">
      <c r="A30" s="117">
        <f t="shared" si="1"/>
        <v>29</v>
      </c>
      <c r="B30" t="s">
        <v>33</v>
      </c>
      <c r="C30" s="109">
        <v>1</v>
      </c>
      <c r="D30" s="120" t="s">
        <v>124</v>
      </c>
      <c r="E30" s="3" t="s">
        <v>107</v>
      </c>
      <c r="F30" s="3" t="s">
        <v>108</v>
      </c>
      <c r="G30" s="2"/>
      <c r="H30" s="2"/>
      <c r="I30" s="121"/>
      <c r="J30" s="121" t="s">
        <v>453</v>
      </c>
      <c r="K30" s="2">
        <v>2.64</v>
      </c>
      <c r="L30" s="2">
        <v>85.46</v>
      </c>
      <c r="M30" s="2">
        <v>8.25</v>
      </c>
      <c r="N30" s="2">
        <v>6.3</v>
      </c>
      <c r="O30" s="122">
        <f t="shared" si="2"/>
        <v>102.64999999999999</v>
      </c>
      <c r="P30" s="123">
        <f t="shared" si="29"/>
        <v>2.64</v>
      </c>
      <c r="Q30" s="123">
        <f>L30*(1-$K$30/100)</f>
        <v>83.203856000000002</v>
      </c>
      <c r="R30" s="123">
        <f t="shared" ref="R30:S30" si="34">M30*(1-$K$30/100)</f>
        <v>8.0321999999999996</v>
      </c>
      <c r="S30" s="123">
        <f t="shared" si="34"/>
        <v>6.13368</v>
      </c>
      <c r="T30" s="121"/>
      <c r="U30" s="19"/>
      <c r="V30" s="2"/>
      <c r="W30" s="2"/>
      <c r="X30" s="2"/>
      <c r="Y30" s="2"/>
      <c r="Z30" s="2"/>
      <c r="AA30" s="2"/>
      <c r="AB30" s="122"/>
      <c r="AC30" s="123"/>
      <c r="AD30" s="123"/>
      <c r="AE30" s="123"/>
      <c r="AF30" s="123"/>
      <c r="AG30" s="123"/>
      <c r="AH30" s="124"/>
      <c r="AJ30" s="2"/>
      <c r="AL30"/>
      <c r="AM30" s="2"/>
      <c r="AN30" s="3"/>
      <c r="AO30" s="121">
        <v>18</v>
      </c>
    </row>
    <row r="31" spans="1:41">
      <c r="A31" s="117">
        <f t="shared" si="1"/>
        <v>30</v>
      </c>
      <c r="B31" t="s">
        <v>33</v>
      </c>
      <c r="C31" s="109">
        <v>1</v>
      </c>
      <c r="D31" s="120" t="s">
        <v>124</v>
      </c>
      <c r="E31" s="3" t="s">
        <v>107</v>
      </c>
      <c r="F31" s="3" t="s">
        <v>108</v>
      </c>
      <c r="G31" s="2"/>
      <c r="H31" s="2"/>
      <c r="I31" s="121"/>
      <c r="J31" s="121" t="s">
        <v>453</v>
      </c>
      <c r="K31" s="2">
        <v>2.5299999999999998</v>
      </c>
      <c r="L31" s="2">
        <v>80.84</v>
      </c>
      <c r="M31" s="2">
        <v>10.039999999999999</v>
      </c>
      <c r="N31" s="2">
        <v>9.1199999999999992</v>
      </c>
      <c r="O31" s="122">
        <f t="shared" si="2"/>
        <v>102.53</v>
      </c>
      <c r="P31" s="123">
        <f t="shared" si="29"/>
        <v>2.5299999999999998</v>
      </c>
      <c r="Q31" s="123">
        <f>L31*(1-$K$31/100)</f>
        <v>78.794747999999998</v>
      </c>
      <c r="R31" s="123">
        <f t="shared" ref="R31:S31" si="35">M31*(1-$K$31/100)</f>
        <v>9.7859879999999997</v>
      </c>
      <c r="S31" s="123">
        <f t="shared" si="35"/>
        <v>8.8892639999999989</v>
      </c>
      <c r="T31" s="121"/>
      <c r="U31" s="19" t="s">
        <v>215</v>
      </c>
      <c r="V31" s="2">
        <v>43.99</v>
      </c>
      <c r="W31" s="2">
        <v>1.31</v>
      </c>
      <c r="X31" s="2">
        <v>0.03</v>
      </c>
      <c r="Y31" s="2">
        <v>0.02</v>
      </c>
      <c r="Z31" s="2">
        <v>54.54</v>
      </c>
      <c r="AA31" s="2">
        <v>0.1</v>
      </c>
      <c r="AB31" s="122">
        <f t="shared" si="3"/>
        <v>99.990000000000009</v>
      </c>
      <c r="AC31" s="123">
        <f>100*V31/$AB$31</f>
        <v>43.99439943994399</v>
      </c>
      <c r="AD31" s="123">
        <f t="shared" ref="AD31:AH31" si="36">100*W31/$AB$31</f>
        <v>1.31013101310131</v>
      </c>
      <c r="AE31" s="123">
        <f t="shared" si="36"/>
        <v>3.0003000300029999E-2</v>
      </c>
      <c r="AF31" s="123">
        <f t="shared" si="36"/>
        <v>2.000200020002E-2</v>
      </c>
      <c r="AG31" s="123">
        <f t="shared" si="36"/>
        <v>54.54545454545454</v>
      </c>
      <c r="AH31" s="124">
        <f t="shared" si="36"/>
        <v>0.1000100010001</v>
      </c>
      <c r="AJ31" s="2">
        <v>14.811</v>
      </c>
      <c r="AL31">
        <f>AM31*(Q31+R31+S31)/(Q31+R31)</f>
        <v>16.297315140845068</v>
      </c>
      <c r="AM31" s="2">
        <v>14.811</v>
      </c>
      <c r="AN31" s="3">
        <f>AM31*(Q31+R31+S31)/100</f>
        <v>14.4362817</v>
      </c>
      <c r="AO31" s="121">
        <v>18</v>
      </c>
    </row>
    <row r="32" spans="1:41">
      <c r="A32" s="117">
        <f t="shared" si="1"/>
        <v>31</v>
      </c>
      <c r="B32" t="s">
        <v>33</v>
      </c>
      <c r="C32" s="109">
        <v>1</v>
      </c>
      <c r="D32" s="120" t="s">
        <v>124</v>
      </c>
      <c r="E32" s="3" t="s">
        <v>107</v>
      </c>
      <c r="F32" s="3" t="s">
        <v>108</v>
      </c>
      <c r="G32" s="2"/>
      <c r="H32" s="2"/>
      <c r="I32" s="121"/>
      <c r="J32" s="121" t="s">
        <v>453</v>
      </c>
      <c r="K32" s="2">
        <v>2.13</v>
      </c>
      <c r="L32" s="2"/>
      <c r="M32" s="2"/>
      <c r="N32" s="2"/>
      <c r="O32" s="122">
        <f t="shared" si="2"/>
        <v>2.13</v>
      </c>
      <c r="P32" s="123"/>
      <c r="Q32" s="123"/>
      <c r="R32" s="123"/>
      <c r="S32" s="123"/>
      <c r="T32" s="121"/>
      <c r="U32" s="19" t="s">
        <v>215</v>
      </c>
      <c r="V32" s="2">
        <v>43.11</v>
      </c>
      <c r="W32" s="2">
        <v>6.12</v>
      </c>
      <c r="X32" s="2">
        <v>0.18</v>
      </c>
      <c r="Y32" s="2">
        <v>0.1</v>
      </c>
      <c r="Z32" s="2">
        <v>49.76</v>
      </c>
      <c r="AA32" s="2">
        <v>0.73</v>
      </c>
      <c r="AB32" s="122">
        <f t="shared" si="3"/>
        <v>100</v>
      </c>
      <c r="AC32" s="123">
        <f>100*V32/$AB$32</f>
        <v>43.11</v>
      </c>
      <c r="AD32" s="123">
        <f t="shared" ref="AD32:AH32" si="37">100*W32/$AB$32</f>
        <v>6.12</v>
      </c>
      <c r="AE32" s="123">
        <f t="shared" si="37"/>
        <v>0.18</v>
      </c>
      <c r="AF32" s="123">
        <f t="shared" si="37"/>
        <v>0.1</v>
      </c>
      <c r="AG32" s="123">
        <f t="shared" si="37"/>
        <v>49.76</v>
      </c>
      <c r="AH32" s="124">
        <f t="shared" si="37"/>
        <v>0.73</v>
      </c>
      <c r="AJ32" s="2"/>
      <c r="AL32"/>
      <c r="AM32" s="2"/>
      <c r="AN32" s="3"/>
      <c r="AO32" s="121">
        <v>18</v>
      </c>
    </row>
    <row r="33" spans="1:41">
      <c r="A33" s="117">
        <f t="shared" si="1"/>
        <v>32</v>
      </c>
      <c r="B33" t="s">
        <v>33</v>
      </c>
      <c r="C33" s="109">
        <v>1</v>
      </c>
      <c r="D33" s="120" t="s">
        <v>124</v>
      </c>
      <c r="E33" s="3" t="s">
        <v>107</v>
      </c>
      <c r="F33" s="3" t="s">
        <v>108</v>
      </c>
      <c r="G33" s="2"/>
      <c r="H33" s="2"/>
      <c r="I33" s="121"/>
      <c r="J33" s="121" t="s">
        <v>453</v>
      </c>
      <c r="K33" s="2">
        <v>2.11</v>
      </c>
      <c r="L33" s="2">
        <v>61.67</v>
      </c>
      <c r="M33" s="2">
        <v>3.19</v>
      </c>
      <c r="N33" s="2">
        <v>35.35</v>
      </c>
      <c r="O33" s="122">
        <f t="shared" si="2"/>
        <v>102.32</v>
      </c>
      <c r="P33" s="123">
        <f>K33</f>
        <v>2.11</v>
      </c>
      <c r="Q33" s="123">
        <f>L33*(1-$K$33/100)</f>
        <v>60.368763000000001</v>
      </c>
      <c r="R33" s="123">
        <f t="shared" ref="R33:S33" si="38">M33*(1-$K$33/100)</f>
        <v>3.1226910000000001</v>
      </c>
      <c r="S33" s="123">
        <f t="shared" si="38"/>
        <v>34.604115</v>
      </c>
      <c r="T33" s="121"/>
      <c r="U33" s="19"/>
      <c r="V33" s="2"/>
      <c r="W33" s="2"/>
      <c r="X33" s="2"/>
      <c r="Y33" s="2"/>
      <c r="Z33" s="2"/>
      <c r="AA33" s="2"/>
      <c r="AB33" s="122"/>
      <c r="AC33" s="123"/>
      <c r="AD33" s="123"/>
      <c r="AE33" s="123"/>
      <c r="AF33" s="123"/>
      <c r="AG33" s="123"/>
      <c r="AH33" s="124"/>
      <c r="AJ33" s="2"/>
      <c r="AL33"/>
      <c r="AM33" s="2"/>
      <c r="AN33" s="3"/>
      <c r="AO33" s="121">
        <v>18</v>
      </c>
    </row>
    <row r="34" spans="1:41">
      <c r="A34" s="117">
        <f t="shared" si="1"/>
        <v>33</v>
      </c>
      <c r="B34" t="s">
        <v>33</v>
      </c>
      <c r="C34" s="109">
        <v>1</v>
      </c>
      <c r="D34" s="120" t="s">
        <v>124</v>
      </c>
      <c r="E34" s="3" t="s">
        <v>107</v>
      </c>
      <c r="F34" s="3" t="s">
        <v>108</v>
      </c>
      <c r="G34" s="2"/>
      <c r="H34" s="2"/>
      <c r="I34" s="121"/>
      <c r="J34" s="121" t="s">
        <v>453</v>
      </c>
      <c r="K34" s="2">
        <v>1.39</v>
      </c>
      <c r="L34" s="2"/>
      <c r="M34" s="2"/>
      <c r="N34" s="2"/>
      <c r="O34" s="122">
        <f t="shared" si="2"/>
        <v>1.39</v>
      </c>
      <c r="P34" s="123"/>
      <c r="Q34" s="123"/>
      <c r="R34" s="123"/>
      <c r="S34" s="123"/>
      <c r="T34" s="121"/>
      <c r="U34" s="19" t="s">
        <v>215</v>
      </c>
      <c r="V34" s="2">
        <v>38.29</v>
      </c>
      <c r="W34" s="2">
        <v>6.1</v>
      </c>
      <c r="X34" s="2">
        <v>0.25</v>
      </c>
      <c r="Y34" s="2">
        <v>0.86</v>
      </c>
      <c r="Z34" s="2">
        <v>54.5</v>
      </c>
      <c r="AA34" s="2"/>
      <c r="AB34" s="122">
        <f t="shared" si="3"/>
        <v>100</v>
      </c>
      <c r="AC34" s="123">
        <v>38.29</v>
      </c>
      <c r="AD34" s="123">
        <v>6.1</v>
      </c>
      <c r="AE34" s="123">
        <v>0.25</v>
      </c>
      <c r="AF34" s="123">
        <v>0.86</v>
      </c>
      <c r="AG34" s="123">
        <v>54.5</v>
      </c>
      <c r="AH34" s="124"/>
      <c r="AJ34" s="2">
        <v>13.83</v>
      </c>
      <c r="AL34"/>
      <c r="AM34" s="2">
        <v>13.83</v>
      </c>
      <c r="AN34" s="3"/>
      <c r="AO34" s="121">
        <v>18</v>
      </c>
    </row>
    <row r="35" spans="1:41">
      <c r="A35" s="117">
        <f t="shared" si="1"/>
        <v>34</v>
      </c>
      <c r="B35" t="s">
        <v>33</v>
      </c>
      <c r="C35" s="109">
        <v>1</v>
      </c>
      <c r="D35" s="120" t="s">
        <v>124</v>
      </c>
      <c r="E35" s="3" t="s">
        <v>107</v>
      </c>
      <c r="F35" s="3" t="s">
        <v>108</v>
      </c>
      <c r="G35" s="2"/>
      <c r="H35" s="2"/>
      <c r="I35" s="121"/>
      <c r="J35" s="121"/>
      <c r="K35" s="2"/>
      <c r="L35" s="2"/>
      <c r="M35" s="2"/>
      <c r="N35" s="2"/>
      <c r="O35" s="122"/>
      <c r="P35" s="123"/>
      <c r="Q35" s="123"/>
      <c r="R35" s="123"/>
      <c r="S35" s="123"/>
      <c r="T35" s="121"/>
      <c r="U35" s="19" t="s">
        <v>215</v>
      </c>
      <c r="V35" s="2">
        <v>47.78</v>
      </c>
      <c r="W35" s="2">
        <v>6.27</v>
      </c>
      <c r="X35" s="2">
        <v>0.8</v>
      </c>
      <c r="Y35" s="2">
        <v>0</v>
      </c>
      <c r="Z35" s="2">
        <v>45.15</v>
      </c>
      <c r="AA35" s="2"/>
      <c r="AB35" s="122">
        <f t="shared" si="3"/>
        <v>100</v>
      </c>
      <c r="AC35" s="123">
        <v>47.78</v>
      </c>
      <c r="AD35" s="123">
        <v>6.27</v>
      </c>
      <c r="AE35" s="123">
        <v>0.8</v>
      </c>
      <c r="AF35" s="123">
        <v>0</v>
      </c>
      <c r="AG35" s="123">
        <v>45.15</v>
      </c>
      <c r="AH35" s="124"/>
      <c r="AJ35" s="2"/>
      <c r="AK35" s="125"/>
      <c r="AL35"/>
      <c r="AM35" s="2"/>
      <c r="AN35" s="125"/>
      <c r="AO35" s="121">
        <v>18</v>
      </c>
    </row>
    <row r="36" spans="1:41">
      <c r="A36" s="117">
        <f t="shared" si="1"/>
        <v>35</v>
      </c>
      <c r="B36" t="s">
        <v>33</v>
      </c>
      <c r="C36" s="109">
        <v>1</v>
      </c>
      <c r="D36" s="120" t="s">
        <v>124</v>
      </c>
      <c r="E36" s="3" t="s">
        <v>107</v>
      </c>
      <c r="F36" s="3" t="s">
        <v>108</v>
      </c>
      <c r="G36" s="2"/>
      <c r="H36" s="2"/>
      <c r="I36" s="121"/>
      <c r="J36" s="121"/>
      <c r="K36" s="2"/>
      <c r="L36" s="2"/>
      <c r="M36" s="2"/>
      <c r="N36" s="2"/>
      <c r="O36" s="122"/>
      <c r="P36" s="123"/>
      <c r="Q36" s="123"/>
      <c r="R36" s="123"/>
      <c r="S36" s="123"/>
      <c r="T36" s="121"/>
      <c r="U36" s="19" t="s">
        <v>215</v>
      </c>
      <c r="V36" s="2">
        <v>48.73</v>
      </c>
      <c r="W36" s="2">
        <v>7.09</v>
      </c>
      <c r="X36" s="2">
        <v>0.44</v>
      </c>
      <c r="Y36" s="2">
        <v>0.15</v>
      </c>
      <c r="Z36" s="2">
        <v>43.59</v>
      </c>
      <c r="AA36" s="2"/>
      <c r="AB36" s="122">
        <f t="shared" si="3"/>
        <v>100</v>
      </c>
      <c r="AC36" s="123">
        <v>48.73</v>
      </c>
      <c r="AD36" s="123">
        <v>7.09</v>
      </c>
      <c r="AE36" s="123">
        <v>0.44</v>
      </c>
      <c r="AF36" s="123">
        <v>0.15</v>
      </c>
      <c r="AG36" s="123">
        <v>43.59</v>
      </c>
      <c r="AH36" s="124"/>
      <c r="AJ36" s="2"/>
      <c r="AK36" s="125"/>
      <c r="AL36"/>
      <c r="AM36" s="2"/>
      <c r="AN36" s="125"/>
      <c r="AO36" s="121">
        <v>18</v>
      </c>
    </row>
    <row r="37" spans="1:41">
      <c r="A37" s="117">
        <f t="shared" si="1"/>
        <v>36</v>
      </c>
      <c r="B37" t="s">
        <v>33</v>
      </c>
      <c r="C37" s="109">
        <v>1</v>
      </c>
      <c r="D37" s="120" t="s">
        <v>124</v>
      </c>
      <c r="E37" s="3" t="s">
        <v>107</v>
      </c>
      <c r="F37" s="3" t="s">
        <v>108</v>
      </c>
      <c r="G37" s="2"/>
      <c r="H37" s="2"/>
      <c r="I37" s="121"/>
      <c r="J37" s="121" t="s">
        <v>69</v>
      </c>
      <c r="K37" s="2"/>
      <c r="L37" s="2">
        <v>77.349999999999994</v>
      </c>
      <c r="M37" s="2">
        <v>20.37</v>
      </c>
      <c r="N37" s="2">
        <v>2.2799999999999998</v>
      </c>
      <c r="O37" s="122">
        <f t="shared" si="2"/>
        <v>100</v>
      </c>
      <c r="P37" s="123">
        <v>0</v>
      </c>
      <c r="Q37" s="123">
        <v>2.2799999999999998</v>
      </c>
      <c r="R37" s="123">
        <v>20.37</v>
      </c>
      <c r="S37" s="123">
        <v>77.349999999999994</v>
      </c>
      <c r="T37" s="121"/>
      <c r="U37" s="19" t="s">
        <v>215</v>
      </c>
      <c r="V37" s="2">
        <v>43.36</v>
      </c>
      <c r="W37" s="2">
        <v>6.46</v>
      </c>
      <c r="X37" s="2">
        <v>0.37</v>
      </c>
      <c r="Y37" s="2">
        <v>0.3</v>
      </c>
      <c r="Z37" s="2">
        <v>49.51</v>
      </c>
      <c r="AA37" s="2"/>
      <c r="AB37" s="122">
        <f t="shared" si="3"/>
        <v>100</v>
      </c>
      <c r="AC37" s="123">
        <v>43.36</v>
      </c>
      <c r="AD37" s="123">
        <v>6.46</v>
      </c>
      <c r="AE37" s="123">
        <v>0.37</v>
      </c>
      <c r="AF37" s="123">
        <v>0.3</v>
      </c>
      <c r="AG37" s="123">
        <v>49.51</v>
      </c>
      <c r="AH37" s="124"/>
      <c r="AJ37" s="2"/>
      <c r="AK37" s="125"/>
      <c r="AL37"/>
      <c r="AM37" s="2"/>
      <c r="AN37" s="125"/>
      <c r="AO37" s="121">
        <v>18</v>
      </c>
    </row>
    <row r="38" spans="1:41">
      <c r="A38" s="117">
        <f t="shared" si="1"/>
        <v>37</v>
      </c>
      <c r="B38" t="s">
        <v>33</v>
      </c>
      <c r="C38" s="109">
        <v>1</v>
      </c>
      <c r="D38" s="120" t="s">
        <v>124</v>
      </c>
      <c r="E38" s="3" t="s">
        <v>107</v>
      </c>
      <c r="F38" s="3" t="s">
        <v>108</v>
      </c>
      <c r="G38" s="2"/>
      <c r="H38" s="2"/>
      <c r="I38" s="121"/>
      <c r="J38" s="121"/>
      <c r="K38" s="2"/>
      <c r="L38" s="2"/>
      <c r="M38" s="2"/>
      <c r="N38" s="2"/>
      <c r="O38" s="122"/>
      <c r="P38" s="123"/>
      <c r="Q38" s="123"/>
      <c r="R38" s="123"/>
      <c r="S38" s="123"/>
      <c r="T38" s="121"/>
      <c r="U38" s="19" t="s">
        <v>215</v>
      </c>
      <c r="V38" s="2">
        <v>46.32</v>
      </c>
      <c r="W38" s="2">
        <v>6.21</v>
      </c>
      <c r="X38" s="2">
        <v>0.32</v>
      </c>
      <c r="Y38" s="2">
        <v>0.21</v>
      </c>
      <c r="Z38" s="2">
        <v>46.95</v>
      </c>
      <c r="AA38" s="2"/>
      <c r="AB38" s="122">
        <f t="shared" si="3"/>
        <v>100.01</v>
      </c>
      <c r="AC38" s="123">
        <v>46.32</v>
      </c>
      <c r="AD38" s="123">
        <v>6.21</v>
      </c>
      <c r="AE38" s="123">
        <v>0.32</v>
      </c>
      <c r="AF38" s="123">
        <v>0.21</v>
      </c>
      <c r="AG38" s="123">
        <v>46.95</v>
      </c>
      <c r="AH38" s="124"/>
      <c r="AJ38" s="2"/>
      <c r="AK38" s="125"/>
      <c r="AL38"/>
      <c r="AM38" s="2"/>
      <c r="AN38" s="125"/>
      <c r="AO38" s="121">
        <v>18</v>
      </c>
    </row>
    <row r="39" spans="1:41">
      <c r="A39" s="117">
        <f t="shared" si="1"/>
        <v>38</v>
      </c>
      <c r="B39" t="s">
        <v>33</v>
      </c>
      <c r="C39" s="109">
        <v>1</v>
      </c>
      <c r="D39" s="120" t="s">
        <v>124</v>
      </c>
      <c r="E39" s="3" t="s">
        <v>107</v>
      </c>
      <c r="F39" s="3" t="s">
        <v>108</v>
      </c>
      <c r="G39" s="2"/>
      <c r="H39" s="2"/>
      <c r="I39" s="121"/>
      <c r="J39" s="121"/>
      <c r="K39" s="2"/>
      <c r="L39" s="2"/>
      <c r="M39" s="2"/>
      <c r="N39" s="2"/>
      <c r="O39" s="122"/>
      <c r="P39" s="123"/>
      <c r="Q39" s="123"/>
      <c r="R39" s="123"/>
      <c r="S39" s="123"/>
      <c r="T39" s="121"/>
      <c r="U39" s="19" t="s">
        <v>215</v>
      </c>
      <c r="V39" s="2">
        <v>48.4</v>
      </c>
      <c r="W39" s="2">
        <v>6.3</v>
      </c>
      <c r="X39" s="2">
        <v>0.2</v>
      </c>
      <c r="Y39" s="2">
        <v>0.1</v>
      </c>
      <c r="Z39" s="2">
        <v>44.9</v>
      </c>
      <c r="AA39" s="2">
        <v>0.1</v>
      </c>
      <c r="AB39" s="122">
        <f t="shared" si="3"/>
        <v>100</v>
      </c>
      <c r="AC39" s="123">
        <f>100*V39/$AB$39</f>
        <v>48.4</v>
      </c>
      <c r="AD39" s="123">
        <f t="shared" ref="AD39:AH39" si="39">100*W39/$AB$39</f>
        <v>6.3</v>
      </c>
      <c r="AE39" s="123">
        <f t="shared" si="39"/>
        <v>0.2</v>
      </c>
      <c r="AF39" s="123">
        <f t="shared" si="39"/>
        <v>0.1</v>
      </c>
      <c r="AG39" s="123">
        <f t="shared" si="39"/>
        <v>44.9</v>
      </c>
      <c r="AH39" s="124">
        <f t="shared" si="39"/>
        <v>0.1</v>
      </c>
      <c r="AJ39" s="2"/>
      <c r="AK39" s="125"/>
      <c r="AL39"/>
      <c r="AM39" s="2"/>
      <c r="AN39" s="125"/>
      <c r="AO39" s="121">
        <v>18</v>
      </c>
    </row>
    <row r="40" spans="1:41">
      <c r="A40" s="117">
        <f t="shared" si="1"/>
        <v>39</v>
      </c>
      <c r="B40" t="s">
        <v>33</v>
      </c>
      <c r="C40" s="109">
        <v>1</v>
      </c>
      <c r="D40" s="120" t="s">
        <v>124</v>
      </c>
      <c r="E40" s="3" t="s">
        <v>107</v>
      </c>
      <c r="F40" s="3" t="s">
        <v>108</v>
      </c>
      <c r="G40" s="2"/>
      <c r="H40" s="2"/>
      <c r="I40" s="121"/>
      <c r="J40" s="121"/>
      <c r="K40" s="2"/>
      <c r="L40" s="2"/>
      <c r="M40" s="2"/>
      <c r="N40" s="2"/>
      <c r="O40" s="122"/>
      <c r="P40" s="123"/>
      <c r="Q40" s="123"/>
      <c r="R40" s="123"/>
      <c r="S40" s="123"/>
      <c r="T40" s="121"/>
      <c r="U40" s="19" t="s">
        <v>215</v>
      </c>
      <c r="V40" s="2">
        <v>44.5</v>
      </c>
      <c r="W40" s="2">
        <v>5.97</v>
      </c>
      <c r="X40" s="2">
        <v>0.16</v>
      </c>
      <c r="Y40" s="2">
        <v>0.15</v>
      </c>
      <c r="Z40" s="2">
        <v>49.22</v>
      </c>
      <c r="AA40" s="2"/>
      <c r="AB40" s="122">
        <f t="shared" si="3"/>
        <v>100</v>
      </c>
      <c r="AC40" s="123">
        <v>44.5</v>
      </c>
      <c r="AD40" s="123">
        <v>5.97</v>
      </c>
      <c r="AE40" s="123">
        <v>0.16</v>
      </c>
      <c r="AF40" s="123">
        <v>0.15</v>
      </c>
      <c r="AG40" s="123">
        <v>49.22</v>
      </c>
      <c r="AH40" s="124"/>
      <c r="AI40" s="2"/>
      <c r="AJ40" s="2"/>
      <c r="AK40" s="125"/>
      <c r="AL40" s="2"/>
      <c r="AM40" s="2"/>
      <c r="AN40" s="125"/>
      <c r="AO40" s="121">
        <v>18</v>
      </c>
    </row>
    <row r="41" spans="1:41">
      <c r="A41" s="117">
        <f t="shared" si="1"/>
        <v>40</v>
      </c>
      <c r="B41" t="s">
        <v>33</v>
      </c>
      <c r="C41" s="109">
        <v>1</v>
      </c>
      <c r="D41" s="120" t="s">
        <v>124</v>
      </c>
      <c r="E41" s="3" t="s">
        <v>107</v>
      </c>
      <c r="F41" s="3" t="s">
        <v>108</v>
      </c>
      <c r="G41" s="2"/>
      <c r="H41" s="2"/>
      <c r="I41" s="121"/>
      <c r="J41" s="121" t="s">
        <v>69</v>
      </c>
      <c r="K41" s="2"/>
      <c r="L41" s="2">
        <v>85.19</v>
      </c>
      <c r="M41" s="2">
        <v>10.54</v>
      </c>
      <c r="N41" s="2">
        <v>4.2699999999999996</v>
      </c>
      <c r="O41" s="122">
        <f>SUM(K41:N41)</f>
        <v>99.999999999999986</v>
      </c>
      <c r="P41" s="123">
        <v>0</v>
      </c>
      <c r="Q41" s="2">
        <v>85.19</v>
      </c>
      <c r="R41" s="2">
        <v>10.54</v>
      </c>
      <c r="S41" s="2">
        <v>4.2699999999999996</v>
      </c>
      <c r="T41" s="121"/>
      <c r="U41" s="19"/>
      <c r="V41" s="2"/>
      <c r="W41" s="2"/>
      <c r="X41" s="2"/>
      <c r="Y41" s="2"/>
      <c r="Z41" s="2"/>
      <c r="AA41" s="2"/>
      <c r="AB41" s="122"/>
      <c r="AC41" s="123"/>
      <c r="AD41" s="123"/>
      <c r="AE41" s="123"/>
      <c r="AF41" s="123"/>
      <c r="AG41" s="123"/>
      <c r="AH41" s="124"/>
      <c r="AI41" s="2"/>
      <c r="AJ41" s="2"/>
      <c r="AK41" s="125"/>
      <c r="AL41" s="2"/>
      <c r="AM41" s="2"/>
      <c r="AN41" s="125"/>
      <c r="AO41" s="121">
        <v>18</v>
      </c>
    </row>
    <row r="42" spans="1:41">
      <c r="A42" s="117">
        <f t="shared" si="1"/>
        <v>41</v>
      </c>
      <c r="B42" t="s">
        <v>33</v>
      </c>
      <c r="C42" s="109">
        <v>1</v>
      </c>
      <c r="D42" s="120" t="s">
        <v>124</v>
      </c>
      <c r="E42" s="3" t="s">
        <v>107</v>
      </c>
      <c r="F42" s="3" t="s">
        <v>108</v>
      </c>
      <c r="G42" s="2"/>
      <c r="H42" s="2"/>
      <c r="I42" s="121"/>
      <c r="J42" s="121" t="s">
        <v>69</v>
      </c>
      <c r="K42" s="2"/>
      <c r="L42" s="2">
        <v>71.849999999999994</v>
      </c>
      <c r="M42" s="2">
        <v>16.2</v>
      </c>
      <c r="N42" s="2">
        <v>11.95</v>
      </c>
      <c r="O42" s="122">
        <f>SUM(K42:N42)</f>
        <v>100</v>
      </c>
      <c r="P42" s="123">
        <v>0</v>
      </c>
      <c r="Q42" s="2">
        <v>71.849999999999994</v>
      </c>
      <c r="R42" s="2">
        <v>16.2</v>
      </c>
      <c r="S42" s="2">
        <v>11.95</v>
      </c>
      <c r="T42" s="121"/>
      <c r="U42" s="19"/>
      <c r="V42" s="2"/>
      <c r="W42" s="2"/>
      <c r="X42" s="2"/>
      <c r="Y42" s="2"/>
      <c r="Z42" s="2"/>
      <c r="AA42" s="2"/>
      <c r="AB42" s="122"/>
      <c r="AC42" s="123"/>
      <c r="AD42" s="123"/>
      <c r="AE42" s="123"/>
      <c r="AF42" s="123"/>
      <c r="AG42" s="123"/>
      <c r="AH42" s="124"/>
      <c r="AI42" s="2"/>
      <c r="AJ42" s="2">
        <v>14.874000000000001</v>
      </c>
      <c r="AK42" s="125"/>
      <c r="AL42">
        <f>AM42*(Q42+R42+S42)/(Q42+R42)</f>
        <v>16.892674616695061</v>
      </c>
      <c r="AM42" s="2">
        <v>14.874000000000001</v>
      </c>
      <c r="AN42" s="125"/>
      <c r="AO42" s="121">
        <v>18</v>
      </c>
    </row>
    <row r="43" spans="1:41">
      <c r="A43" s="117">
        <f t="shared" si="1"/>
        <v>42</v>
      </c>
      <c r="B43" t="s">
        <v>33</v>
      </c>
      <c r="C43" s="109">
        <v>1</v>
      </c>
      <c r="D43" s="120" t="s">
        <v>124</v>
      </c>
      <c r="E43" s="3" t="s">
        <v>107</v>
      </c>
      <c r="F43" s="3" t="s">
        <v>108</v>
      </c>
      <c r="G43" s="2"/>
      <c r="H43" s="2"/>
      <c r="I43" s="121"/>
      <c r="J43" s="121" t="s">
        <v>69</v>
      </c>
      <c r="K43" s="2"/>
      <c r="L43" s="2">
        <v>84.36</v>
      </c>
      <c r="M43" s="2">
        <v>2.94</v>
      </c>
      <c r="N43" s="2">
        <v>12.7</v>
      </c>
      <c r="O43" s="122">
        <f>SUM(K43:N43)</f>
        <v>100</v>
      </c>
      <c r="P43" s="123">
        <v>0</v>
      </c>
      <c r="Q43" s="2">
        <v>84.36</v>
      </c>
      <c r="R43" s="2">
        <v>2.94</v>
      </c>
      <c r="S43" s="2">
        <v>12.7</v>
      </c>
      <c r="T43" s="121"/>
      <c r="U43" s="19"/>
      <c r="V43" s="2"/>
      <c r="W43" s="2"/>
      <c r="X43" s="2"/>
      <c r="Y43" s="2"/>
      <c r="Z43" s="2"/>
      <c r="AA43" s="2"/>
      <c r="AB43" s="122"/>
      <c r="AC43" s="123"/>
      <c r="AD43" s="123"/>
      <c r="AE43" s="123"/>
      <c r="AF43" s="123"/>
      <c r="AG43" s="123"/>
      <c r="AH43" s="124"/>
      <c r="AI43" s="2"/>
      <c r="AJ43" s="2"/>
      <c r="AK43" s="125"/>
      <c r="AL43" s="2"/>
      <c r="AM43" s="2"/>
      <c r="AN43" s="125"/>
      <c r="AO43" s="121">
        <v>18</v>
      </c>
    </row>
    <row r="44" spans="1:41">
      <c r="A44" s="117">
        <f t="shared" si="1"/>
        <v>43</v>
      </c>
      <c r="B44" t="s">
        <v>33</v>
      </c>
      <c r="C44" s="109">
        <v>1</v>
      </c>
      <c r="D44" s="120" t="s">
        <v>124</v>
      </c>
      <c r="E44" s="3" t="s">
        <v>107</v>
      </c>
      <c r="F44" s="3" t="s">
        <v>108</v>
      </c>
      <c r="G44" s="2"/>
      <c r="H44" s="2"/>
      <c r="I44" s="121"/>
      <c r="J44" s="121" t="s">
        <v>70</v>
      </c>
      <c r="K44" s="2">
        <v>3</v>
      </c>
      <c r="L44" s="2">
        <v>76</v>
      </c>
      <c r="M44" s="2">
        <v>9</v>
      </c>
      <c r="N44" s="2">
        <v>12</v>
      </c>
      <c r="O44" s="122">
        <f t="shared" si="2"/>
        <v>100</v>
      </c>
      <c r="P44" s="123">
        <v>3</v>
      </c>
      <c r="Q44" s="123">
        <v>76</v>
      </c>
      <c r="R44" s="123">
        <v>9</v>
      </c>
      <c r="S44" s="123">
        <v>12</v>
      </c>
      <c r="T44" s="121"/>
      <c r="U44" s="19" t="s">
        <v>70</v>
      </c>
      <c r="V44" s="2">
        <v>35.6</v>
      </c>
      <c r="W44" s="2">
        <v>4.5999999999999996</v>
      </c>
      <c r="X44" s="2">
        <v>0.6</v>
      </c>
      <c r="Y44" s="2">
        <v>0</v>
      </c>
      <c r="Z44" s="2">
        <v>43.3</v>
      </c>
      <c r="AA44" s="2">
        <v>0.9</v>
      </c>
      <c r="AB44" s="122">
        <f t="shared" si="3"/>
        <v>85</v>
      </c>
      <c r="AC44" s="123">
        <f>100*V44/$AB$44</f>
        <v>41.882352941176471</v>
      </c>
      <c r="AD44" s="123">
        <f t="shared" ref="AD44:AG44" si="40">100*W44/$AB$44</f>
        <v>5.4117647058823524</v>
      </c>
      <c r="AE44" s="123">
        <f t="shared" si="40"/>
        <v>0.70588235294117652</v>
      </c>
      <c r="AF44" s="123">
        <f t="shared" si="40"/>
        <v>0</v>
      </c>
      <c r="AG44" s="123">
        <f t="shared" si="40"/>
        <v>50.941176470588232</v>
      </c>
      <c r="AH44" s="124">
        <f>100*AA44/$AB$44</f>
        <v>1.0588235294117647</v>
      </c>
      <c r="AJ44" s="2"/>
      <c r="AK44" s="125"/>
      <c r="AL44"/>
      <c r="AM44" s="2"/>
      <c r="AN44" s="125"/>
      <c r="AO44" s="121">
        <v>19</v>
      </c>
    </row>
    <row r="45" spans="1:41">
      <c r="A45" s="117">
        <f t="shared" si="1"/>
        <v>44</v>
      </c>
      <c r="B45" t="s">
        <v>33</v>
      </c>
      <c r="C45" s="109">
        <v>1</v>
      </c>
      <c r="D45" s="120" t="s">
        <v>124</v>
      </c>
      <c r="E45" s="3" t="s">
        <v>107</v>
      </c>
      <c r="F45" s="3" t="s">
        <v>108</v>
      </c>
      <c r="G45" s="29"/>
      <c r="H45" s="29"/>
      <c r="I45" s="19"/>
      <c r="J45" s="121" t="s">
        <v>453</v>
      </c>
      <c r="K45" s="29">
        <v>4</v>
      </c>
      <c r="L45" s="29">
        <v>76</v>
      </c>
      <c r="M45" s="29">
        <v>12.8</v>
      </c>
      <c r="N45" s="29">
        <v>11.2</v>
      </c>
      <c r="O45" s="122">
        <f t="shared" si="2"/>
        <v>104</v>
      </c>
      <c r="P45" s="123">
        <f t="shared" ref="P45" si="41">K45</f>
        <v>4</v>
      </c>
      <c r="Q45" s="123">
        <f>L45*(1-$K$45/100)</f>
        <v>72.959999999999994</v>
      </c>
      <c r="R45" s="123">
        <f t="shared" ref="R45:S45" si="42">M45*(1-$K$45/100)</f>
        <v>12.288</v>
      </c>
      <c r="S45" s="123">
        <f t="shared" si="42"/>
        <v>10.751999999999999</v>
      </c>
      <c r="T45" s="121"/>
      <c r="U45" s="19" t="s">
        <v>69</v>
      </c>
      <c r="V45" s="29">
        <v>36</v>
      </c>
      <c r="W45" s="29">
        <v>5</v>
      </c>
      <c r="X45" s="29">
        <v>0.1</v>
      </c>
      <c r="Y45" s="29">
        <v>0</v>
      </c>
      <c r="Z45" s="29">
        <v>48.1</v>
      </c>
      <c r="AA45" s="29"/>
      <c r="AB45" s="122">
        <f t="shared" si="3"/>
        <v>89.2</v>
      </c>
      <c r="AC45" s="123">
        <f>100*V45/$AB$45</f>
        <v>40.358744394618832</v>
      </c>
      <c r="AD45" s="123">
        <f t="shared" ref="AD45:AG45" si="43">100*W45/$AB$45</f>
        <v>5.6053811659192823</v>
      </c>
      <c r="AE45" s="123">
        <f t="shared" si="43"/>
        <v>0.11210762331838564</v>
      </c>
      <c r="AF45" s="123">
        <f t="shared" si="43"/>
        <v>0</v>
      </c>
      <c r="AG45" s="123">
        <f t="shared" si="43"/>
        <v>53.923766816143498</v>
      </c>
      <c r="AH45" s="124"/>
      <c r="AJ45" s="2"/>
      <c r="AK45" s="125"/>
      <c r="AL45"/>
      <c r="AM45" s="2"/>
      <c r="AN45" s="125"/>
      <c r="AO45" s="19">
        <v>20</v>
      </c>
    </row>
    <row r="46" spans="1:41">
      <c r="A46" s="117">
        <f t="shared" si="1"/>
        <v>45</v>
      </c>
      <c r="B46" t="s">
        <v>33</v>
      </c>
      <c r="C46" s="109">
        <v>1</v>
      </c>
      <c r="D46" s="120" t="s">
        <v>124</v>
      </c>
      <c r="E46" s="3" t="s">
        <v>107</v>
      </c>
      <c r="F46" s="3" t="s">
        <v>108</v>
      </c>
      <c r="G46" s="29"/>
      <c r="H46" s="29"/>
      <c r="I46" s="19"/>
      <c r="J46" s="121" t="s">
        <v>70</v>
      </c>
      <c r="K46" s="29">
        <v>6.51</v>
      </c>
      <c r="L46" s="29">
        <v>76.31</v>
      </c>
      <c r="M46" s="29">
        <v>11.15</v>
      </c>
      <c r="N46" s="29">
        <v>6.03</v>
      </c>
      <c r="O46" s="122">
        <f t="shared" si="2"/>
        <v>100.00000000000001</v>
      </c>
      <c r="P46" s="33">
        <v>6.51</v>
      </c>
      <c r="Q46" s="33">
        <v>76.31</v>
      </c>
      <c r="R46" s="33">
        <v>11.15</v>
      </c>
      <c r="S46" s="33">
        <v>6.03</v>
      </c>
      <c r="T46" s="121"/>
      <c r="U46" s="19" t="s">
        <v>215</v>
      </c>
      <c r="V46" s="29">
        <v>39.71</v>
      </c>
      <c r="W46" s="29">
        <v>7.14</v>
      </c>
      <c r="X46" s="29">
        <v>0</v>
      </c>
      <c r="Y46" s="29">
        <v>0</v>
      </c>
      <c r="Z46" s="29">
        <v>53.15</v>
      </c>
      <c r="AA46" s="29"/>
      <c r="AB46" s="122">
        <f t="shared" si="3"/>
        <v>100</v>
      </c>
      <c r="AC46" s="123">
        <v>39.71</v>
      </c>
      <c r="AD46" s="123">
        <v>7.14</v>
      </c>
      <c r="AE46" s="123">
        <v>0</v>
      </c>
      <c r="AF46" s="123">
        <v>0</v>
      </c>
      <c r="AG46" s="123">
        <v>53.15</v>
      </c>
      <c r="AH46" s="124"/>
      <c r="AJ46" s="2"/>
      <c r="AK46" s="125">
        <v>17.100000000000001</v>
      </c>
      <c r="AL46" s="127">
        <f>AN46*100/(Q46+R46)</f>
        <v>19.551795106334325</v>
      </c>
      <c r="AM46" s="128">
        <f>AN46*100/(Q46+R46+S46)</f>
        <v>18.290726280885657</v>
      </c>
      <c r="AN46" s="125">
        <v>17.100000000000001</v>
      </c>
      <c r="AO46" s="19">
        <v>21</v>
      </c>
    </row>
    <row r="47" spans="1:41">
      <c r="A47" s="117">
        <f t="shared" si="1"/>
        <v>46</v>
      </c>
      <c r="B47" t="s">
        <v>33</v>
      </c>
      <c r="C47" s="109">
        <v>1</v>
      </c>
      <c r="D47" s="120" t="s">
        <v>124</v>
      </c>
      <c r="E47" s="3" t="s">
        <v>107</v>
      </c>
      <c r="F47" s="3" t="s">
        <v>108</v>
      </c>
      <c r="G47" s="29"/>
      <c r="H47" s="29"/>
      <c r="I47" s="19"/>
      <c r="J47" s="121" t="s">
        <v>69</v>
      </c>
      <c r="K47" s="29">
        <v>8.2100000000000009</v>
      </c>
      <c r="L47" s="29"/>
      <c r="M47" s="29"/>
      <c r="N47" s="29">
        <v>6.72</v>
      </c>
      <c r="O47" s="122">
        <f t="shared" si="2"/>
        <v>14.93</v>
      </c>
      <c r="P47" s="123"/>
      <c r="Q47" s="123"/>
      <c r="R47" s="123"/>
      <c r="S47" s="123"/>
      <c r="T47" s="121"/>
      <c r="U47" s="19" t="s">
        <v>69</v>
      </c>
      <c r="V47" s="29">
        <v>41.44</v>
      </c>
      <c r="W47" s="29">
        <v>8.19</v>
      </c>
      <c r="X47" s="29">
        <v>0.11</v>
      </c>
      <c r="Y47" s="29">
        <v>0.34</v>
      </c>
      <c r="Z47" s="29">
        <v>43.2</v>
      </c>
      <c r="AA47" s="29"/>
      <c r="AB47" s="122">
        <f t="shared" si="3"/>
        <v>93.28</v>
      </c>
      <c r="AC47" s="123">
        <f>100*V47/$AB$47</f>
        <v>44.4253859348199</v>
      </c>
      <c r="AD47" s="123">
        <f t="shared" ref="AD47:AG47" si="44">100*W47/$AB$47</f>
        <v>8.7800171526586617</v>
      </c>
      <c r="AE47" s="123">
        <f t="shared" si="44"/>
        <v>0.11792452830188679</v>
      </c>
      <c r="AF47" s="123">
        <f t="shared" si="44"/>
        <v>0.36449399656946824</v>
      </c>
      <c r="AG47" s="123">
        <f t="shared" si="44"/>
        <v>46.312178387650086</v>
      </c>
      <c r="AH47" s="124"/>
      <c r="AK47" s="121">
        <v>16.23</v>
      </c>
      <c r="AL47"/>
      <c r="AM47"/>
      <c r="AN47" s="121">
        <v>16.23</v>
      </c>
      <c r="AO47" s="19">
        <v>22</v>
      </c>
    </row>
    <row r="48" spans="1:41">
      <c r="A48" s="117">
        <f t="shared" si="1"/>
        <v>47</v>
      </c>
      <c r="B48" t="s">
        <v>33</v>
      </c>
      <c r="C48" s="109">
        <v>1</v>
      </c>
      <c r="D48" s="120" t="s">
        <v>124</v>
      </c>
      <c r="E48" s="3" t="s">
        <v>107</v>
      </c>
      <c r="F48" s="3" t="s">
        <v>108</v>
      </c>
      <c r="G48" s="29"/>
      <c r="H48" s="29"/>
      <c r="I48" s="19"/>
      <c r="J48" s="121" t="s">
        <v>70</v>
      </c>
      <c r="K48" s="29">
        <v>5.95</v>
      </c>
      <c r="L48" s="29">
        <v>78.55</v>
      </c>
      <c r="M48" s="29">
        <v>7.57</v>
      </c>
      <c r="N48" s="29">
        <v>7.93</v>
      </c>
      <c r="O48" s="122">
        <f t="shared" si="2"/>
        <v>100</v>
      </c>
      <c r="P48" s="33">
        <v>5.95</v>
      </c>
      <c r="Q48" s="33">
        <v>78.55</v>
      </c>
      <c r="R48" s="33">
        <v>7.57</v>
      </c>
      <c r="S48" s="33">
        <v>7.93</v>
      </c>
      <c r="T48" s="121"/>
      <c r="U48" s="19" t="s">
        <v>215</v>
      </c>
      <c r="V48" s="29">
        <v>41.43</v>
      </c>
      <c r="W48" s="29">
        <v>6.87</v>
      </c>
      <c r="X48" s="29">
        <v>1.01</v>
      </c>
      <c r="Y48" s="29">
        <v>0.86</v>
      </c>
      <c r="Z48" s="29">
        <v>49.83</v>
      </c>
      <c r="AA48" s="29"/>
      <c r="AB48" s="122">
        <f t="shared" si="3"/>
        <v>100</v>
      </c>
      <c r="AC48" s="123">
        <v>41.43</v>
      </c>
      <c r="AD48" s="123">
        <v>6.87</v>
      </c>
      <c r="AE48" s="123">
        <v>1.01</v>
      </c>
      <c r="AF48" s="123">
        <v>0.86</v>
      </c>
      <c r="AG48" s="123">
        <v>49.83</v>
      </c>
      <c r="AH48" s="124"/>
      <c r="AK48" s="121"/>
      <c r="AL48"/>
      <c r="AM48"/>
      <c r="AN48" s="121"/>
      <c r="AO48" s="19">
        <v>23</v>
      </c>
    </row>
    <row r="49" spans="1:41">
      <c r="A49" s="117">
        <f t="shared" si="1"/>
        <v>48</v>
      </c>
      <c r="B49" t="s">
        <v>33</v>
      </c>
      <c r="C49" s="109">
        <v>1</v>
      </c>
      <c r="D49" s="120" t="s">
        <v>124</v>
      </c>
      <c r="E49" s="3" t="s">
        <v>124</v>
      </c>
      <c r="F49" s="3" t="s">
        <v>125</v>
      </c>
      <c r="G49" s="29"/>
      <c r="H49" s="29"/>
      <c r="I49" s="19"/>
      <c r="J49" s="121"/>
      <c r="K49" s="29"/>
      <c r="L49" s="29"/>
      <c r="M49" s="29"/>
      <c r="N49" s="29"/>
      <c r="O49" s="122"/>
      <c r="P49" s="123"/>
      <c r="Q49" s="123"/>
      <c r="R49" s="123"/>
      <c r="S49" s="123"/>
      <c r="T49" s="121"/>
      <c r="U49" s="19" t="s">
        <v>215</v>
      </c>
      <c r="V49" s="29">
        <v>43.4</v>
      </c>
      <c r="W49" s="29">
        <v>5.8</v>
      </c>
      <c r="X49" s="29">
        <v>0.3</v>
      </c>
      <c r="Y49" s="29">
        <v>0.2</v>
      </c>
      <c r="Z49" s="29">
        <v>50.3</v>
      </c>
      <c r="AA49" s="29"/>
      <c r="AB49" s="122">
        <f t="shared" si="3"/>
        <v>100</v>
      </c>
      <c r="AC49" s="29">
        <v>43.4</v>
      </c>
      <c r="AD49" s="29">
        <v>5.8</v>
      </c>
      <c r="AE49" s="29">
        <v>0.3</v>
      </c>
      <c r="AF49" s="29">
        <v>0.2</v>
      </c>
      <c r="AG49" s="29">
        <v>50.3</v>
      </c>
      <c r="AH49" s="124"/>
      <c r="AI49" s="2">
        <v>16.2</v>
      </c>
      <c r="AK49" s="121"/>
      <c r="AL49" s="2">
        <v>16.2</v>
      </c>
      <c r="AM49"/>
      <c r="AN49" s="121"/>
      <c r="AO49" s="19">
        <v>29</v>
      </c>
    </row>
    <row r="50" spans="1:41">
      <c r="A50" s="117">
        <f t="shared" si="1"/>
        <v>49</v>
      </c>
      <c r="B50" t="s">
        <v>33</v>
      </c>
      <c r="C50" s="109">
        <v>1</v>
      </c>
      <c r="D50" s="120" t="s">
        <v>124</v>
      </c>
      <c r="E50" s="3" t="s">
        <v>107</v>
      </c>
      <c r="F50" s="3" t="s">
        <v>108</v>
      </c>
      <c r="G50" s="29"/>
      <c r="H50" s="29"/>
      <c r="I50" s="19"/>
      <c r="J50" s="121" t="s">
        <v>69</v>
      </c>
      <c r="K50" s="29"/>
      <c r="L50" s="29"/>
      <c r="M50" s="29"/>
      <c r="N50" s="29">
        <v>5.78</v>
      </c>
      <c r="O50" s="122">
        <f t="shared" si="2"/>
        <v>5.78</v>
      </c>
      <c r="P50" s="123"/>
      <c r="Q50" s="123"/>
      <c r="R50" s="123"/>
      <c r="S50" s="123"/>
      <c r="T50" s="121"/>
      <c r="U50" s="19" t="s">
        <v>69</v>
      </c>
      <c r="V50" s="29">
        <v>42.94</v>
      </c>
      <c r="W50" s="29">
        <v>6.85</v>
      </c>
      <c r="X50" s="29">
        <v>0.14000000000000001</v>
      </c>
      <c r="Y50" s="29">
        <v>7.0000000000000007E-2</v>
      </c>
      <c r="Z50" s="29">
        <v>44.22</v>
      </c>
      <c r="AA50" s="29"/>
      <c r="AB50" s="122">
        <f t="shared" si="3"/>
        <v>94.22</v>
      </c>
      <c r="AC50" s="123">
        <f>100*V50/$AB$50</f>
        <v>45.574188070473362</v>
      </c>
      <c r="AD50" s="123">
        <f t="shared" ref="AD50:AG50" si="45">100*W50/$AB$50</f>
        <v>7.2702186372320101</v>
      </c>
      <c r="AE50" s="123">
        <f t="shared" si="45"/>
        <v>0.14858841010401191</v>
      </c>
      <c r="AF50" s="123">
        <f t="shared" si="45"/>
        <v>7.4294205052005957E-2</v>
      </c>
      <c r="AG50" s="123">
        <f t="shared" si="45"/>
        <v>46.932710677138616</v>
      </c>
      <c r="AH50" s="124"/>
      <c r="AK50" s="121"/>
      <c r="AL50"/>
      <c r="AM50"/>
      <c r="AN50" s="121"/>
      <c r="AO50" s="19">
        <v>24</v>
      </c>
    </row>
    <row r="51" spans="1:41">
      <c r="A51" s="117">
        <f t="shared" si="1"/>
        <v>50</v>
      </c>
      <c r="B51" t="s">
        <v>33</v>
      </c>
      <c r="C51" s="109">
        <v>1</v>
      </c>
      <c r="D51" s="120" t="s">
        <v>124</v>
      </c>
      <c r="E51" s="3" t="s">
        <v>107</v>
      </c>
      <c r="F51" s="3" t="s">
        <v>108</v>
      </c>
      <c r="G51" s="29"/>
      <c r="H51" s="29"/>
      <c r="I51" s="19"/>
      <c r="J51" s="121" t="s">
        <v>69</v>
      </c>
      <c r="K51" s="29"/>
      <c r="L51" s="29"/>
      <c r="M51" s="29"/>
      <c r="N51" s="29">
        <v>4.99</v>
      </c>
      <c r="O51" s="122">
        <f t="shared" si="2"/>
        <v>4.99</v>
      </c>
      <c r="P51" s="123"/>
      <c r="Q51" s="123"/>
      <c r="R51" s="123"/>
      <c r="S51" s="123"/>
      <c r="T51" s="121"/>
      <c r="U51" s="19" t="s">
        <v>69</v>
      </c>
      <c r="V51" s="29">
        <v>43.28</v>
      </c>
      <c r="W51" s="29">
        <v>6.83</v>
      </c>
      <c r="X51" s="29">
        <v>0.16</v>
      </c>
      <c r="Y51" s="29">
        <v>0.09</v>
      </c>
      <c r="Z51" s="29">
        <v>44.95</v>
      </c>
      <c r="AA51" s="29"/>
      <c r="AB51" s="122">
        <f t="shared" si="3"/>
        <v>95.31</v>
      </c>
      <c r="AC51" s="123">
        <f>100*V51/$AB$51</f>
        <v>45.409715664673172</v>
      </c>
      <c r="AD51" s="123">
        <f t="shared" ref="AD51:AG51" si="46">100*W51/$AB$51</f>
        <v>7.1660896023502252</v>
      </c>
      <c r="AE51" s="123">
        <f t="shared" si="46"/>
        <v>0.16787325569195258</v>
      </c>
      <c r="AF51" s="123">
        <f t="shared" si="46"/>
        <v>9.4428706326723316E-2</v>
      </c>
      <c r="AG51" s="123">
        <f t="shared" si="46"/>
        <v>47.161892770957927</v>
      </c>
      <c r="AH51" s="124"/>
      <c r="AK51" s="121">
        <v>16.2</v>
      </c>
      <c r="AL51"/>
      <c r="AM51"/>
      <c r="AN51" s="121">
        <v>16.2</v>
      </c>
      <c r="AO51" s="19">
        <v>25</v>
      </c>
    </row>
    <row r="52" spans="1:41">
      <c r="A52" s="117">
        <f t="shared" si="1"/>
        <v>51</v>
      </c>
      <c r="B52" t="s">
        <v>33</v>
      </c>
      <c r="C52" s="109">
        <v>1</v>
      </c>
      <c r="D52" s="120" t="s">
        <v>124</v>
      </c>
      <c r="E52" s="3" t="s">
        <v>107</v>
      </c>
      <c r="F52" s="3" t="s">
        <v>126</v>
      </c>
      <c r="G52" s="29"/>
      <c r="H52" s="29"/>
      <c r="I52" s="19"/>
      <c r="J52" s="19"/>
      <c r="K52" s="2"/>
      <c r="L52" s="29"/>
      <c r="M52" s="29"/>
      <c r="N52" s="29"/>
      <c r="O52" s="122"/>
      <c r="P52" s="123"/>
      <c r="Q52" s="123"/>
      <c r="R52" s="123"/>
      <c r="S52" s="123"/>
      <c r="T52" s="121"/>
      <c r="U52" s="19" t="s">
        <v>215</v>
      </c>
      <c r="V52" s="29">
        <v>43</v>
      </c>
      <c r="W52" s="29">
        <v>6</v>
      </c>
      <c r="X52" s="29">
        <v>0.4</v>
      </c>
      <c r="Y52" s="29">
        <v>0.2</v>
      </c>
      <c r="Z52" s="29">
        <v>50.5</v>
      </c>
      <c r="AA52" s="29"/>
      <c r="AB52" s="122">
        <f t="shared" si="3"/>
        <v>100.1</v>
      </c>
      <c r="AC52" s="123">
        <f>100*V52/$AB$52</f>
        <v>42.957042957042958</v>
      </c>
      <c r="AD52" s="123">
        <f t="shared" ref="AD52:AG52" si="47">100*W52/$AB$52</f>
        <v>5.9940059940059944</v>
      </c>
      <c r="AE52" s="123">
        <f t="shared" si="47"/>
        <v>0.39960039960039961</v>
      </c>
      <c r="AF52" s="123">
        <f t="shared" si="47"/>
        <v>0.19980019980019981</v>
      </c>
      <c r="AG52" s="123">
        <f t="shared" si="47"/>
        <v>50.449550449550451</v>
      </c>
      <c r="AH52" s="124"/>
      <c r="AI52" s="2">
        <v>17.7</v>
      </c>
      <c r="AK52" s="121"/>
      <c r="AL52" s="2">
        <v>17.7</v>
      </c>
      <c r="AM52"/>
      <c r="AN52" s="121"/>
      <c r="AO52" s="19">
        <v>29</v>
      </c>
    </row>
    <row r="53" spans="1:41">
      <c r="A53" s="117">
        <f t="shared" si="1"/>
        <v>52</v>
      </c>
      <c r="B53" t="s">
        <v>33</v>
      </c>
      <c r="C53" s="109">
        <v>1</v>
      </c>
      <c r="D53" s="120" t="s">
        <v>124</v>
      </c>
      <c r="E53" s="3" t="s">
        <v>107</v>
      </c>
      <c r="F53" s="3" t="s">
        <v>127</v>
      </c>
      <c r="G53" s="29"/>
      <c r="H53" s="29"/>
      <c r="I53" s="19"/>
      <c r="J53" s="19"/>
      <c r="K53" s="2"/>
      <c r="L53" s="29"/>
      <c r="M53" s="29"/>
      <c r="N53" s="29"/>
      <c r="O53" s="122"/>
      <c r="P53" s="123"/>
      <c r="Q53" s="123"/>
      <c r="R53" s="123"/>
      <c r="S53" s="123"/>
      <c r="T53" s="121"/>
      <c r="U53" s="19" t="s">
        <v>215</v>
      </c>
      <c r="V53" s="29">
        <v>42.1</v>
      </c>
      <c r="W53" s="29">
        <v>5.9</v>
      </c>
      <c r="X53" s="29">
        <v>0.4</v>
      </c>
      <c r="Y53" s="29">
        <v>0.3</v>
      </c>
      <c r="Z53" s="29">
        <v>51.4</v>
      </c>
      <c r="AA53" s="29"/>
      <c r="AB53" s="122">
        <f t="shared" si="3"/>
        <v>100.1</v>
      </c>
      <c r="AC53" s="123">
        <f>100*V53/$AB$53</f>
        <v>42.057942057942057</v>
      </c>
      <c r="AD53" s="123">
        <f t="shared" ref="AD53:AG53" si="48">100*W53/$AB$53</f>
        <v>5.8941058941058948</v>
      </c>
      <c r="AE53" s="123">
        <f t="shared" si="48"/>
        <v>0.39960039960039961</v>
      </c>
      <c r="AF53" s="123">
        <f t="shared" si="48"/>
        <v>0.29970029970029971</v>
      </c>
      <c r="AG53" s="123">
        <f t="shared" si="48"/>
        <v>51.348651348651352</v>
      </c>
      <c r="AH53" s="124"/>
      <c r="AI53" s="29">
        <v>12.8</v>
      </c>
      <c r="AK53" s="19"/>
      <c r="AL53" s="29">
        <v>12.8</v>
      </c>
      <c r="AM53"/>
      <c r="AN53" s="19"/>
      <c r="AO53" s="19">
        <v>29</v>
      </c>
    </row>
    <row r="54" spans="1:41">
      <c r="A54" s="117">
        <f t="shared" si="1"/>
        <v>53</v>
      </c>
      <c r="B54" t="s">
        <v>33</v>
      </c>
      <c r="C54" s="109">
        <v>1</v>
      </c>
      <c r="D54" s="120" t="s">
        <v>124</v>
      </c>
      <c r="E54" s="3" t="s">
        <v>107</v>
      </c>
      <c r="F54" s="3" t="s">
        <v>128</v>
      </c>
      <c r="G54" s="29"/>
      <c r="H54" s="29"/>
      <c r="I54" s="19"/>
      <c r="J54" s="19"/>
      <c r="K54" s="2"/>
      <c r="L54" s="29"/>
      <c r="M54" s="29"/>
      <c r="N54" s="29"/>
      <c r="O54" s="122"/>
      <c r="P54" s="123"/>
      <c r="Q54" s="123"/>
      <c r="R54" s="123"/>
      <c r="S54" s="123"/>
      <c r="T54" s="121"/>
      <c r="U54" s="19" t="s">
        <v>215</v>
      </c>
      <c r="V54" s="29">
        <v>42.7</v>
      </c>
      <c r="W54" s="29">
        <v>6.1</v>
      </c>
      <c r="X54" s="29">
        <v>0.5</v>
      </c>
      <c r="Y54" s="29">
        <v>0.1</v>
      </c>
      <c r="Z54" s="29">
        <v>50.6</v>
      </c>
      <c r="AA54" s="29"/>
      <c r="AB54" s="122">
        <f t="shared" si="3"/>
        <v>100</v>
      </c>
      <c r="AC54" s="29">
        <v>42.7</v>
      </c>
      <c r="AD54" s="29">
        <v>6.1</v>
      </c>
      <c r="AE54" s="29">
        <v>0.5</v>
      </c>
      <c r="AF54" s="29">
        <v>0.1</v>
      </c>
      <c r="AG54" s="29">
        <v>50.6</v>
      </c>
      <c r="AH54" s="124"/>
      <c r="AI54" s="29">
        <v>17.600000000000001</v>
      </c>
      <c r="AK54" s="19"/>
      <c r="AL54" s="29">
        <v>17.600000000000001</v>
      </c>
      <c r="AM54"/>
      <c r="AN54" s="19"/>
      <c r="AO54" s="19">
        <v>29</v>
      </c>
    </row>
    <row r="55" spans="1:41">
      <c r="A55" s="117">
        <f t="shared" si="1"/>
        <v>54</v>
      </c>
      <c r="B55" t="s">
        <v>33</v>
      </c>
      <c r="C55" s="109">
        <v>1</v>
      </c>
      <c r="D55" s="120" t="s">
        <v>124</v>
      </c>
      <c r="E55" s="3" t="s">
        <v>107</v>
      </c>
      <c r="F55" s="3" t="s">
        <v>129</v>
      </c>
      <c r="G55" s="29"/>
      <c r="H55" s="29"/>
      <c r="I55" s="19"/>
      <c r="J55" s="19"/>
      <c r="K55" s="2"/>
      <c r="L55" s="29"/>
      <c r="M55" s="29"/>
      <c r="N55" s="29"/>
      <c r="O55" s="122"/>
      <c r="P55" s="123"/>
      <c r="Q55" s="123"/>
      <c r="R55" s="123"/>
      <c r="S55" s="123"/>
      <c r="T55" s="121"/>
      <c r="U55" s="19" t="s">
        <v>215</v>
      </c>
      <c r="V55" s="29">
        <v>39.700000000000003</v>
      </c>
      <c r="W55" s="29">
        <v>7.1</v>
      </c>
      <c r="X55" s="29">
        <v>0</v>
      </c>
      <c r="Y55" s="29">
        <v>0</v>
      </c>
      <c r="Z55" s="29">
        <v>53.2</v>
      </c>
      <c r="AA55" s="29"/>
      <c r="AB55" s="122">
        <f t="shared" si="3"/>
        <v>100</v>
      </c>
      <c r="AC55" s="29">
        <v>39.700000000000003</v>
      </c>
      <c r="AD55" s="29">
        <v>7.1</v>
      </c>
      <c r="AE55" s="29">
        <v>0</v>
      </c>
      <c r="AF55" s="29">
        <v>0</v>
      </c>
      <c r="AG55" s="29">
        <v>53.2</v>
      </c>
      <c r="AH55" s="124"/>
      <c r="AI55" s="29">
        <v>17.100000000000001</v>
      </c>
      <c r="AK55" s="19"/>
      <c r="AL55" s="29">
        <v>17.100000000000001</v>
      </c>
      <c r="AM55"/>
      <c r="AN55" s="19"/>
      <c r="AO55" s="19">
        <v>29</v>
      </c>
    </row>
    <row r="56" spans="1:41">
      <c r="A56" s="117">
        <f t="shared" si="1"/>
        <v>55</v>
      </c>
      <c r="B56" t="s">
        <v>33</v>
      </c>
      <c r="C56" s="109">
        <v>1</v>
      </c>
      <c r="D56" s="120" t="s">
        <v>124</v>
      </c>
      <c r="E56" s="3" t="s">
        <v>107</v>
      </c>
      <c r="F56" s="3" t="s">
        <v>130</v>
      </c>
      <c r="G56" s="29"/>
      <c r="H56" s="29"/>
      <c r="I56" s="19"/>
      <c r="J56" s="19"/>
      <c r="K56" s="2"/>
      <c r="L56" s="29"/>
      <c r="M56" s="29"/>
      <c r="N56" s="29"/>
      <c r="O56" s="122"/>
      <c r="P56" s="123"/>
      <c r="Q56" s="123"/>
      <c r="R56" s="123"/>
      <c r="S56" s="123"/>
      <c r="T56" s="121"/>
      <c r="U56" s="19" t="s">
        <v>215</v>
      </c>
      <c r="V56" s="29">
        <v>45.6</v>
      </c>
      <c r="W56" s="29">
        <v>6</v>
      </c>
      <c r="X56" s="29">
        <v>0.3</v>
      </c>
      <c r="Y56" s="29">
        <v>0.2</v>
      </c>
      <c r="Z56" s="29">
        <v>47.8</v>
      </c>
      <c r="AA56" s="29"/>
      <c r="AB56" s="122">
        <f t="shared" si="3"/>
        <v>99.9</v>
      </c>
      <c r="AC56" s="123">
        <f>100*V56/$AB$56</f>
        <v>45.645645645645644</v>
      </c>
      <c r="AD56" s="123">
        <f t="shared" ref="AD56:AG56" si="49">100*W56/$AB$56</f>
        <v>6.0060060060060056</v>
      </c>
      <c r="AE56" s="123">
        <f t="shared" si="49"/>
        <v>0.3003003003003003</v>
      </c>
      <c r="AF56" s="123">
        <f t="shared" si="49"/>
        <v>0.20020020020020018</v>
      </c>
      <c r="AG56" s="123">
        <f t="shared" si="49"/>
        <v>47.847847847847845</v>
      </c>
      <c r="AH56" s="124"/>
      <c r="AI56" s="29">
        <v>15.9</v>
      </c>
      <c r="AK56" s="19"/>
      <c r="AL56" s="29">
        <v>15.9</v>
      </c>
      <c r="AM56"/>
      <c r="AN56" s="19"/>
      <c r="AO56" s="19">
        <v>29</v>
      </c>
    </row>
    <row r="57" spans="1:41">
      <c r="A57" s="117">
        <f t="shared" si="1"/>
        <v>56</v>
      </c>
      <c r="B57" t="s">
        <v>33</v>
      </c>
      <c r="C57" s="109">
        <v>1</v>
      </c>
      <c r="D57" s="120" t="s">
        <v>124</v>
      </c>
      <c r="E57" s="3" t="s">
        <v>107</v>
      </c>
      <c r="F57" s="3" t="s">
        <v>108</v>
      </c>
      <c r="G57" s="29"/>
      <c r="H57" s="29"/>
      <c r="I57" s="19"/>
      <c r="J57" s="121"/>
      <c r="K57" s="29"/>
      <c r="L57" s="29"/>
      <c r="M57" s="29"/>
      <c r="N57" s="29"/>
      <c r="O57" s="122"/>
      <c r="P57" s="123"/>
      <c r="Q57" s="123"/>
      <c r="R57" s="123"/>
      <c r="S57" s="123"/>
      <c r="T57" s="121"/>
      <c r="U57" s="19" t="s">
        <v>69</v>
      </c>
      <c r="V57" s="29">
        <v>40.35</v>
      </c>
      <c r="W57" s="29">
        <v>5.55</v>
      </c>
      <c r="X57" s="29">
        <v>0.68</v>
      </c>
      <c r="Y57" s="29">
        <v>0.65</v>
      </c>
      <c r="Z57" s="29">
        <v>40.799999999999997</v>
      </c>
      <c r="AA57" s="29"/>
      <c r="AB57" s="122">
        <f t="shared" si="3"/>
        <v>88.03</v>
      </c>
      <c r="AC57" s="123">
        <f>100*V57/$AB$57</f>
        <v>45.836646597750764</v>
      </c>
      <c r="AD57" s="123">
        <f t="shared" ref="AD57:AG57" si="50">100*W57/$AB$57</f>
        <v>6.3046688628876515</v>
      </c>
      <c r="AE57" s="123">
        <f t="shared" si="50"/>
        <v>0.77246393275019876</v>
      </c>
      <c r="AF57" s="123">
        <f t="shared" si="50"/>
        <v>0.73838464159945472</v>
      </c>
      <c r="AG57" s="123">
        <f t="shared" si="50"/>
        <v>46.347835965011924</v>
      </c>
      <c r="AH57" s="124"/>
      <c r="AJ57" s="2"/>
      <c r="AK57" s="121"/>
      <c r="AL57"/>
      <c r="AM57" s="2"/>
      <c r="AN57" s="121"/>
      <c r="AO57" s="19">
        <v>26</v>
      </c>
    </row>
    <row r="58" spans="1:41" s="6" customFormat="1">
      <c r="A58" s="129">
        <f t="shared" si="1"/>
        <v>57</v>
      </c>
      <c r="B58" s="6" t="s">
        <v>33</v>
      </c>
      <c r="C58" s="130">
        <v>2</v>
      </c>
      <c r="D58" s="6" t="s">
        <v>170</v>
      </c>
      <c r="E58" s="7" t="s">
        <v>170</v>
      </c>
      <c r="F58" s="7" t="s">
        <v>44</v>
      </c>
      <c r="G58" s="6">
        <v>0.625</v>
      </c>
      <c r="H58" s="6">
        <v>8.0799999999999997E-2</v>
      </c>
      <c r="I58" s="7">
        <v>1.65</v>
      </c>
      <c r="J58" s="7" t="s">
        <v>1033</v>
      </c>
      <c r="N58" s="6">
        <v>13.65</v>
      </c>
      <c r="O58" s="131">
        <f t="shared" si="2"/>
        <v>13.65</v>
      </c>
      <c r="P58" s="132"/>
      <c r="Q58" s="132"/>
      <c r="R58" s="132"/>
      <c r="S58" s="132"/>
      <c r="T58" s="131"/>
      <c r="U58" s="7"/>
      <c r="AB58" s="133"/>
      <c r="AC58" s="132"/>
      <c r="AD58" s="132"/>
      <c r="AE58" s="132"/>
      <c r="AF58" s="132"/>
      <c r="AG58" s="132"/>
      <c r="AH58" s="134"/>
      <c r="AK58" s="7"/>
      <c r="AN58" s="7"/>
      <c r="AO58" s="7">
        <v>5</v>
      </c>
    </row>
    <row r="59" spans="1:41">
      <c r="A59" s="117">
        <f t="shared" si="1"/>
        <v>58</v>
      </c>
      <c r="B59" t="s">
        <v>33</v>
      </c>
      <c r="C59" s="109">
        <v>2</v>
      </c>
      <c r="D59" t="s">
        <v>170</v>
      </c>
      <c r="E59" s="3" t="s">
        <v>170</v>
      </c>
      <c r="F59" s="3" t="s">
        <v>34</v>
      </c>
      <c r="G59">
        <v>0.68600000000000005</v>
      </c>
      <c r="H59">
        <v>8.0799999999999997E-2</v>
      </c>
      <c r="J59" s="3" t="s">
        <v>1033</v>
      </c>
      <c r="N59">
        <v>7.18</v>
      </c>
      <c r="O59" s="121">
        <f t="shared" si="2"/>
        <v>7.18</v>
      </c>
      <c r="P59" s="123"/>
      <c r="Q59" s="123"/>
      <c r="R59" s="123"/>
      <c r="S59" s="123"/>
      <c r="T59" s="121"/>
      <c r="AB59" s="122"/>
      <c r="AC59" s="123"/>
      <c r="AD59" s="123"/>
      <c r="AE59" s="123"/>
      <c r="AF59" s="123"/>
      <c r="AG59" s="123"/>
      <c r="AH59" s="124"/>
      <c r="AL59"/>
      <c r="AM59"/>
      <c r="AN59" s="3"/>
      <c r="AO59" s="3">
        <v>5</v>
      </c>
    </row>
    <row r="60" spans="1:41">
      <c r="A60" s="117">
        <f t="shared" si="1"/>
        <v>59</v>
      </c>
      <c r="B60" t="s">
        <v>33</v>
      </c>
      <c r="C60" s="109">
        <v>2</v>
      </c>
      <c r="D60" t="s">
        <v>170</v>
      </c>
      <c r="E60" s="3" t="s">
        <v>170</v>
      </c>
      <c r="F60" s="3" t="s">
        <v>34</v>
      </c>
      <c r="G60">
        <v>0.73499999999999999</v>
      </c>
      <c r="H60">
        <v>7.3999999999999996E-2</v>
      </c>
      <c r="J60" s="3" t="s">
        <v>1033</v>
      </c>
      <c r="N60">
        <v>11.66</v>
      </c>
      <c r="O60" s="121">
        <f t="shared" si="2"/>
        <v>11.66</v>
      </c>
      <c r="P60" s="123"/>
      <c r="Q60" s="123"/>
      <c r="R60" s="123"/>
      <c r="S60" s="123"/>
      <c r="T60" s="121"/>
      <c r="AB60" s="122"/>
      <c r="AC60" s="123"/>
      <c r="AD60" s="123"/>
      <c r="AE60" s="123"/>
      <c r="AF60" s="123"/>
      <c r="AG60" s="123"/>
      <c r="AH60" s="124"/>
      <c r="AL60"/>
      <c r="AM60"/>
      <c r="AN60" s="3"/>
      <c r="AO60" s="3">
        <v>5</v>
      </c>
    </row>
    <row r="61" spans="1:41">
      <c r="A61" s="117">
        <f t="shared" si="1"/>
        <v>60</v>
      </c>
      <c r="B61" t="s">
        <v>33</v>
      </c>
      <c r="C61" s="109">
        <v>2</v>
      </c>
      <c r="D61" t="s">
        <v>170</v>
      </c>
      <c r="E61" s="3" t="s">
        <v>170</v>
      </c>
      <c r="F61" s="3" t="s">
        <v>34</v>
      </c>
      <c r="G61">
        <v>0.74099999999999999</v>
      </c>
      <c r="H61">
        <v>9.5299999999999996E-2</v>
      </c>
      <c r="J61" s="3" t="s">
        <v>1033</v>
      </c>
      <c r="N61">
        <v>14.56</v>
      </c>
      <c r="O61" s="121">
        <f t="shared" si="2"/>
        <v>14.56</v>
      </c>
      <c r="P61" s="123"/>
      <c r="Q61" s="123"/>
      <c r="R61" s="123"/>
      <c r="S61" s="123"/>
      <c r="T61" s="121"/>
      <c r="AB61" s="122"/>
      <c r="AC61" s="123"/>
      <c r="AD61" s="123"/>
      <c r="AE61" s="123"/>
      <c r="AF61" s="123"/>
      <c r="AG61" s="123"/>
      <c r="AH61" s="124"/>
      <c r="AL61"/>
      <c r="AM61"/>
      <c r="AN61" s="3"/>
      <c r="AO61" s="3">
        <v>5</v>
      </c>
    </row>
    <row r="62" spans="1:41">
      <c r="A62" s="117">
        <f t="shared" si="1"/>
        <v>61</v>
      </c>
      <c r="B62" t="s">
        <v>33</v>
      </c>
      <c r="C62" s="109">
        <v>2</v>
      </c>
      <c r="D62" t="s">
        <v>170</v>
      </c>
      <c r="E62" s="3" t="s">
        <v>170</v>
      </c>
      <c r="F62" s="3" t="s">
        <v>34</v>
      </c>
      <c r="G62">
        <v>0.747</v>
      </c>
      <c r="H62">
        <v>8.4900000000000003E-2</v>
      </c>
      <c r="J62" s="3" t="s">
        <v>1033</v>
      </c>
      <c r="N62">
        <v>6.38</v>
      </c>
      <c r="O62" s="121">
        <f t="shared" si="2"/>
        <v>6.38</v>
      </c>
      <c r="P62" s="123"/>
      <c r="Q62" s="123"/>
      <c r="R62" s="123"/>
      <c r="S62" s="123"/>
      <c r="T62" s="121"/>
      <c r="AB62" s="122"/>
      <c r="AC62" s="123"/>
      <c r="AD62" s="123"/>
      <c r="AE62" s="123"/>
      <c r="AF62" s="123"/>
      <c r="AG62" s="123"/>
      <c r="AH62" s="124"/>
      <c r="AL62"/>
      <c r="AM62"/>
      <c r="AN62" s="3"/>
      <c r="AO62" s="3">
        <v>5</v>
      </c>
    </row>
    <row r="63" spans="1:41">
      <c r="A63" s="117">
        <f t="shared" si="1"/>
        <v>62</v>
      </c>
      <c r="B63" t="s">
        <v>33</v>
      </c>
      <c r="C63" s="109">
        <v>2</v>
      </c>
      <c r="D63" t="s">
        <v>170</v>
      </c>
      <c r="E63" s="3" t="s">
        <v>170</v>
      </c>
      <c r="F63" s="3" t="s">
        <v>34</v>
      </c>
      <c r="G63">
        <v>0.747</v>
      </c>
      <c r="H63">
        <v>9.1600000000000001E-2</v>
      </c>
      <c r="J63" s="3" t="s">
        <v>1033</v>
      </c>
      <c r="N63">
        <v>20.5</v>
      </c>
      <c r="O63" s="121">
        <f t="shared" si="2"/>
        <v>20.5</v>
      </c>
      <c r="P63" s="123"/>
      <c r="Q63" s="123"/>
      <c r="R63" s="123"/>
      <c r="S63" s="123"/>
      <c r="T63" s="121"/>
      <c r="AB63" s="122"/>
      <c r="AC63" s="123"/>
      <c r="AD63" s="123"/>
      <c r="AE63" s="123"/>
      <c r="AF63" s="123"/>
      <c r="AG63" s="123"/>
      <c r="AH63" s="124"/>
      <c r="AL63"/>
      <c r="AM63"/>
      <c r="AN63" s="3"/>
      <c r="AO63" s="3">
        <v>5</v>
      </c>
    </row>
    <row r="64" spans="1:41">
      <c r="A64" s="117">
        <f t="shared" si="1"/>
        <v>63</v>
      </c>
      <c r="B64" t="s">
        <v>33</v>
      </c>
      <c r="C64" s="109">
        <v>2</v>
      </c>
      <c r="D64" t="s">
        <v>170</v>
      </c>
      <c r="E64" s="3" t="s">
        <v>170</v>
      </c>
      <c r="F64" s="3" t="s">
        <v>34</v>
      </c>
      <c r="G64">
        <v>0.75700000000000001</v>
      </c>
      <c r="H64">
        <v>8.6999999999999994E-2</v>
      </c>
      <c r="J64" s="3" t="s">
        <v>1033</v>
      </c>
      <c r="N64">
        <v>23.75</v>
      </c>
      <c r="O64" s="121">
        <f t="shared" si="2"/>
        <v>23.75</v>
      </c>
      <c r="P64" s="123"/>
      <c r="Q64" s="123"/>
      <c r="R64" s="123"/>
      <c r="S64" s="123"/>
      <c r="T64" s="121"/>
      <c r="AB64" s="122"/>
      <c r="AC64" s="123"/>
      <c r="AD64" s="123"/>
      <c r="AE64" s="123"/>
      <c r="AF64" s="123"/>
      <c r="AG64" s="123"/>
      <c r="AH64" s="124"/>
      <c r="AL64"/>
      <c r="AM64"/>
      <c r="AN64" s="3"/>
      <c r="AO64" s="3">
        <v>5</v>
      </c>
    </row>
    <row r="65" spans="1:41">
      <c r="A65" s="117">
        <f t="shared" si="1"/>
        <v>64</v>
      </c>
      <c r="B65" t="s">
        <v>33</v>
      </c>
      <c r="C65" s="109">
        <v>2</v>
      </c>
      <c r="D65" t="s">
        <v>170</v>
      </c>
      <c r="E65" s="3" t="s">
        <v>170</v>
      </c>
      <c r="F65" s="3" t="s">
        <v>34</v>
      </c>
      <c r="G65">
        <v>0.76</v>
      </c>
      <c r="H65">
        <v>9.2799999999999994E-2</v>
      </c>
      <c r="J65" s="3" t="s">
        <v>1033</v>
      </c>
      <c r="N65">
        <v>21.06</v>
      </c>
      <c r="O65" s="121">
        <f t="shared" si="2"/>
        <v>21.06</v>
      </c>
      <c r="P65" s="123"/>
      <c r="Q65" s="123"/>
      <c r="R65" s="123"/>
      <c r="S65" s="123"/>
      <c r="T65" s="121"/>
      <c r="AB65" s="122"/>
      <c r="AC65" s="123"/>
      <c r="AD65" s="123"/>
      <c r="AE65" s="123"/>
      <c r="AF65" s="123"/>
      <c r="AG65" s="123"/>
      <c r="AH65" s="124"/>
      <c r="AL65"/>
      <c r="AM65"/>
      <c r="AN65" s="3"/>
      <c r="AO65" s="3">
        <v>5</v>
      </c>
    </row>
    <row r="66" spans="1:41">
      <c r="A66" s="117">
        <f t="shared" si="1"/>
        <v>65</v>
      </c>
      <c r="B66" t="s">
        <v>33</v>
      </c>
      <c r="C66" s="109">
        <v>2</v>
      </c>
      <c r="D66" t="s">
        <v>170</v>
      </c>
      <c r="E66" s="3" t="s">
        <v>170</v>
      </c>
      <c r="F66" s="3" t="s">
        <v>34</v>
      </c>
      <c r="G66">
        <v>0.76300000000000001</v>
      </c>
      <c r="H66">
        <v>8.4599999999999995E-2</v>
      </c>
      <c r="J66" s="3" t="s">
        <v>1033</v>
      </c>
      <c r="N66">
        <v>17.05</v>
      </c>
      <c r="O66" s="121">
        <f t="shared" si="2"/>
        <v>17.05</v>
      </c>
      <c r="P66" s="123"/>
      <c r="Q66" s="123"/>
      <c r="R66" s="123"/>
      <c r="S66" s="123"/>
      <c r="T66" s="121"/>
      <c r="AB66" s="122"/>
      <c r="AC66" s="123"/>
      <c r="AD66" s="123"/>
      <c r="AE66" s="123"/>
      <c r="AF66" s="123"/>
      <c r="AG66" s="123"/>
      <c r="AH66" s="124"/>
      <c r="AL66"/>
      <c r="AM66"/>
      <c r="AN66" s="3"/>
      <c r="AO66" s="3">
        <v>5</v>
      </c>
    </row>
    <row r="67" spans="1:41">
      <c r="A67" s="117">
        <f t="shared" si="1"/>
        <v>66</v>
      </c>
      <c r="B67" t="s">
        <v>33</v>
      </c>
      <c r="C67" s="109">
        <v>2</v>
      </c>
      <c r="D67" t="s">
        <v>170</v>
      </c>
      <c r="E67" s="3" t="s">
        <v>170</v>
      </c>
      <c r="F67" s="3" t="s">
        <v>34</v>
      </c>
      <c r="G67">
        <v>0.76300000000000001</v>
      </c>
      <c r="H67">
        <v>9.11E-2</v>
      </c>
      <c r="J67" s="3" t="s">
        <v>1033</v>
      </c>
      <c r="N67">
        <v>18.29</v>
      </c>
      <c r="O67" s="121">
        <f t="shared" si="2"/>
        <v>18.29</v>
      </c>
      <c r="P67" s="123"/>
      <c r="Q67" s="123"/>
      <c r="R67" s="123"/>
      <c r="S67" s="123"/>
      <c r="T67" s="121"/>
      <c r="AB67" s="122"/>
      <c r="AC67" s="123"/>
      <c r="AD67" s="123"/>
      <c r="AE67" s="123"/>
      <c r="AF67" s="123"/>
      <c r="AG67" s="123"/>
      <c r="AH67" s="124"/>
      <c r="AL67"/>
      <c r="AM67"/>
      <c r="AN67" s="3"/>
      <c r="AO67" s="3">
        <v>5</v>
      </c>
    </row>
    <row r="68" spans="1:41">
      <c r="A68" s="117">
        <f t="shared" ref="A68:A131" si="51">A67+1</f>
        <v>67</v>
      </c>
      <c r="B68" t="s">
        <v>33</v>
      </c>
      <c r="C68" s="109">
        <v>2</v>
      </c>
      <c r="D68" t="s">
        <v>170</v>
      </c>
      <c r="E68" s="3" t="s">
        <v>170</v>
      </c>
      <c r="F68" s="3" t="s">
        <v>34</v>
      </c>
      <c r="G68">
        <v>0.76700000000000002</v>
      </c>
      <c r="H68">
        <v>8.7599999999999997E-2</v>
      </c>
      <c r="J68" s="3" t="s">
        <v>1033</v>
      </c>
      <c r="N68">
        <v>10.65</v>
      </c>
      <c r="O68" s="121">
        <f t="shared" si="2"/>
        <v>10.65</v>
      </c>
      <c r="P68" s="123"/>
      <c r="Q68" s="123"/>
      <c r="R68" s="123"/>
      <c r="S68" s="123"/>
      <c r="T68" s="121"/>
      <c r="AB68" s="122"/>
      <c r="AC68" s="123"/>
      <c r="AD68" s="123"/>
      <c r="AE68" s="123"/>
      <c r="AF68" s="123"/>
      <c r="AG68" s="123"/>
      <c r="AH68" s="124"/>
      <c r="AL68"/>
      <c r="AM68"/>
      <c r="AN68" s="3"/>
      <c r="AO68" s="3">
        <v>5</v>
      </c>
    </row>
    <row r="69" spans="1:41">
      <c r="A69" s="117">
        <f t="shared" si="51"/>
        <v>68</v>
      </c>
      <c r="B69" t="s">
        <v>33</v>
      </c>
      <c r="C69" s="109">
        <v>2</v>
      </c>
      <c r="D69" t="s">
        <v>170</v>
      </c>
      <c r="E69" s="3" t="s">
        <v>170</v>
      </c>
      <c r="F69" s="3" t="s">
        <v>34</v>
      </c>
      <c r="G69">
        <v>0.77200000000000002</v>
      </c>
      <c r="H69">
        <v>9.3700000000000006E-2</v>
      </c>
      <c r="J69" s="3" t="s">
        <v>1033</v>
      </c>
      <c r="N69">
        <v>15.3</v>
      </c>
      <c r="O69" s="121">
        <f t="shared" si="2"/>
        <v>15.3</v>
      </c>
      <c r="P69" s="123"/>
      <c r="Q69" s="123"/>
      <c r="R69" s="123"/>
      <c r="S69" s="123"/>
      <c r="T69" s="121"/>
      <c r="AB69" s="122"/>
      <c r="AC69" s="123"/>
      <c r="AD69" s="123"/>
      <c r="AE69" s="123"/>
      <c r="AF69" s="123"/>
      <c r="AG69" s="123"/>
      <c r="AH69" s="124"/>
      <c r="AL69"/>
      <c r="AM69"/>
      <c r="AN69" s="3"/>
      <c r="AO69" s="3">
        <v>5</v>
      </c>
    </row>
    <row r="70" spans="1:41">
      <c r="A70" s="117">
        <f t="shared" si="51"/>
        <v>69</v>
      </c>
      <c r="B70" t="s">
        <v>33</v>
      </c>
      <c r="C70" s="109">
        <v>2</v>
      </c>
      <c r="D70" t="s">
        <v>170</v>
      </c>
      <c r="E70" s="3" t="s">
        <v>170</v>
      </c>
      <c r="F70" s="3" t="s">
        <v>45</v>
      </c>
      <c r="G70">
        <v>0.77300000000000002</v>
      </c>
      <c r="H70">
        <v>0.1094</v>
      </c>
      <c r="I70" s="3">
        <v>1.55</v>
      </c>
      <c r="J70" s="3" t="s">
        <v>1033</v>
      </c>
      <c r="N70">
        <v>15.02</v>
      </c>
      <c r="O70" s="121">
        <f t="shared" si="2"/>
        <v>15.02</v>
      </c>
      <c r="P70" s="123"/>
      <c r="Q70" s="123"/>
      <c r="R70" s="123"/>
      <c r="S70" s="123"/>
      <c r="T70" s="121"/>
      <c r="AB70" s="122"/>
      <c r="AC70" s="123"/>
      <c r="AD70" s="123"/>
      <c r="AE70" s="123"/>
      <c r="AF70" s="123"/>
      <c r="AG70" s="123"/>
      <c r="AH70" s="124"/>
      <c r="AL70"/>
      <c r="AM70"/>
      <c r="AN70" s="3"/>
      <c r="AO70" s="3">
        <v>5</v>
      </c>
    </row>
    <row r="71" spans="1:41">
      <c r="A71" s="117">
        <f t="shared" si="51"/>
        <v>70</v>
      </c>
      <c r="B71" t="s">
        <v>33</v>
      </c>
      <c r="C71" s="109">
        <v>2</v>
      </c>
      <c r="D71" t="s">
        <v>170</v>
      </c>
      <c r="E71" s="3" t="s">
        <v>170</v>
      </c>
      <c r="F71" s="3" t="s">
        <v>34</v>
      </c>
      <c r="G71">
        <v>0.77500000000000002</v>
      </c>
      <c r="H71">
        <v>8.4400000000000003E-2</v>
      </c>
      <c r="J71" s="3" t="s">
        <v>1033</v>
      </c>
      <c r="N71">
        <v>18.649999999999999</v>
      </c>
      <c r="O71" s="121">
        <f t="shared" ref="O71:O123" si="52">SUM(K71:N71)</f>
        <v>18.649999999999999</v>
      </c>
      <c r="P71" s="123"/>
      <c r="Q71" s="123"/>
      <c r="R71" s="123"/>
      <c r="S71" s="123"/>
      <c r="T71" s="121"/>
      <c r="AB71" s="122"/>
      <c r="AC71" s="123"/>
      <c r="AD71" s="123"/>
      <c r="AE71" s="123"/>
      <c r="AF71" s="123"/>
      <c r="AG71" s="123"/>
      <c r="AH71" s="124"/>
      <c r="AL71"/>
      <c r="AM71"/>
      <c r="AN71" s="3"/>
      <c r="AO71" s="3">
        <v>5</v>
      </c>
    </row>
    <row r="72" spans="1:41">
      <c r="A72" s="117">
        <f t="shared" si="51"/>
        <v>71</v>
      </c>
      <c r="B72" t="s">
        <v>33</v>
      </c>
      <c r="C72" s="109">
        <v>2</v>
      </c>
      <c r="D72" t="s">
        <v>170</v>
      </c>
      <c r="E72" s="3" t="s">
        <v>170</v>
      </c>
      <c r="F72" s="3" t="s">
        <v>34</v>
      </c>
      <c r="G72">
        <v>0.78</v>
      </c>
      <c r="H72">
        <v>9.2499999999999999E-2</v>
      </c>
      <c r="J72" s="3" t="s">
        <v>1033</v>
      </c>
      <c r="N72">
        <v>21.3</v>
      </c>
      <c r="O72" s="121">
        <f t="shared" si="52"/>
        <v>21.3</v>
      </c>
      <c r="P72" s="123"/>
      <c r="Q72" s="123"/>
      <c r="R72" s="123"/>
      <c r="S72" s="123"/>
      <c r="T72" s="121"/>
      <c r="AB72" s="122"/>
      <c r="AC72" s="123"/>
      <c r="AD72" s="123"/>
      <c r="AE72" s="123"/>
      <c r="AF72" s="123"/>
      <c r="AG72" s="123"/>
      <c r="AH72" s="124"/>
      <c r="AL72"/>
      <c r="AM72"/>
      <c r="AN72" s="3"/>
      <c r="AO72" s="3">
        <v>5</v>
      </c>
    </row>
    <row r="73" spans="1:41">
      <c r="A73" s="117">
        <f t="shared" si="51"/>
        <v>72</v>
      </c>
      <c r="B73" t="s">
        <v>33</v>
      </c>
      <c r="C73" s="109">
        <v>2</v>
      </c>
      <c r="D73" t="s">
        <v>170</v>
      </c>
      <c r="E73" s="3" t="s">
        <v>170</v>
      </c>
      <c r="F73" s="3" t="s">
        <v>34</v>
      </c>
      <c r="G73">
        <v>0.78</v>
      </c>
      <c r="H73">
        <v>8.9800000000000005E-2</v>
      </c>
      <c r="J73" s="3" t="s">
        <v>1033</v>
      </c>
      <c r="N73">
        <v>22.51</v>
      </c>
      <c r="O73" s="121">
        <f t="shared" si="52"/>
        <v>22.51</v>
      </c>
      <c r="P73" s="123"/>
      <c r="Q73" s="123"/>
      <c r="R73" s="123"/>
      <c r="S73" s="123"/>
      <c r="T73" s="121"/>
      <c r="AB73" s="122"/>
      <c r="AC73" s="123"/>
      <c r="AD73" s="123"/>
      <c r="AE73" s="123"/>
      <c r="AF73" s="123"/>
      <c r="AG73" s="123"/>
      <c r="AH73" s="124"/>
      <c r="AL73"/>
      <c r="AM73"/>
      <c r="AN73" s="3"/>
      <c r="AO73" s="3">
        <v>5</v>
      </c>
    </row>
    <row r="74" spans="1:41">
      <c r="A74" s="117">
        <f t="shared" si="51"/>
        <v>73</v>
      </c>
      <c r="B74" t="s">
        <v>33</v>
      </c>
      <c r="C74" s="109">
        <v>2</v>
      </c>
      <c r="D74" t="s">
        <v>170</v>
      </c>
      <c r="E74" s="3" t="s">
        <v>170</v>
      </c>
      <c r="F74" s="3" t="s">
        <v>34</v>
      </c>
      <c r="G74">
        <v>0.78100000000000003</v>
      </c>
      <c r="H74">
        <v>8.5599999999999996E-2</v>
      </c>
      <c r="J74" s="3" t="s">
        <v>1033</v>
      </c>
      <c r="N74">
        <v>18.16</v>
      </c>
      <c r="O74" s="121">
        <f t="shared" si="52"/>
        <v>18.16</v>
      </c>
      <c r="P74" s="123"/>
      <c r="Q74" s="123"/>
      <c r="R74" s="123"/>
      <c r="S74" s="123"/>
      <c r="T74" s="121"/>
      <c r="AB74" s="122"/>
      <c r="AC74" s="123"/>
      <c r="AD74" s="123"/>
      <c r="AE74" s="123"/>
      <c r="AF74" s="123"/>
      <c r="AG74" s="123"/>
      <c r="AH74" s="124"/>
      <c r="AL74"/>
      <c r="AM74"/>
      <c r="AN74" s="3"/>
      <c r="AO74" s="3">
        <v>5</v>
      </c>
    </row>
    <row r="75" spans="1:41">
      <c r="A75" s="117">
        <f t="shared" si="51"/>
        <v>74</v>
      </c>
      <c r="B75" t="s">
        <v>33</v>
      </c>
      <c r="C75" s="109">
        <v>2</v>
      </c>
      <c r="D75" t="s">
        <v>170</v>
      </c>
      <c r="E75" s="3" t="s">
        <v>170</v>
      </c>
      <c r="F75" s="3" t="s">
        <v>34</v>
      </c>
      <c r="G75">
        <v>0.78400000000000003</v>
      </c>
      <c r="H75">
        <v>9.06E-2</v>
      </c>
      <c r="J75" s="3" t="s">
        <v>1033</v>
      </c>
      <c r="N75">
        <v>21.07</v>
      </c>
      <c r="O75" s="121">
        <f t="shared" si="52"/>
        <v>21.07</v>
      </c>
      <c r="P75" s="123"/>
      <c r="Q75" s="123"/>
      <c r="R75" s="123"/>
      <c r="S75" s="123"/>
      <c r="T75" s="121"/>
      <c r="AB75" s="122"/>
      <c r="AC75" s="123"/>
      <c r="AD75" s="123"/>
      <c r="AE75" s="123"/>
      <c r="AF75" s="123"/>
      <c r="AG75" s="123"/>
      <c r="AH75" s="124"/>
      <c r="AL75"/>
      <c r="AM75"/>
      <c r="AN75" s="3"/>
      <c r="AO75" s="3">
        <v>5</v>
      </c>
    </row>
    <row r="76" spans="1:41">
      <c r="A76" s="117">
        <f t="shared" si="51"/>
        <v>75</v>
      </c>
      <c r="B76" t="s">
        <v>33</v>
      </c>
      <c r="C76" s="109">
        <v>2</v>
      </c>
      <c r="D76" t="s">
        <v>170</v>
      </c>
      <c r="E76" s="3" t="s">
        <v>170</v>
      </c>
      <c r="F76" s="3" t="s">
        <v>34</v>
      </c>
      <c r="G76">
        <v>0.78500000000000003</v>
      </c>
      <c r="H76">
        <v>8.7800000000000003E-2</v>
      </c>
      <c r="J76" s="3" t="s">
        <v>1033</v>
      </c>
      <c r="N76">
        <v>23.57</v>
      </c>
      <c r="O76" s="121">
        <f t="shared" si="52"/>
        <v>23.57</v>
      </c>
      <c r="P76" s="123"/>
      <c r="Q76" s="123"/>
      <c r="R76" s="123"/>
      <c r="S76" s="123"/>
      <c r="T76" s="121"/>
      <c r="AB76" s="122"/>
      <c r="AC76" s="123"/>
      <c r="AD76" s="123"/>
      <c r="AE76" s="123"/>
      <c r="AF76" s="123"/>
      <c r="AG76" s="123"/>
      <c r="AH76" s="124"/>
      <c r="AL76"/>
      <c r="AM76"/>
      <c r="AN76" s="3"/>
      <c r="AO76" s="3">
        <v>5</v>
      </c>
    </row>
    <row r="77" spans="1:41">
      <c r="A77" s="117">
        <f t="shared" si="51"/>
        <v>76</v>
      </c>
      <c r="B77" t="s">
        <v>33</v>
      </c>
      <c r="C77" s="109">
        <v>2</v>
      </c>
      <c r="D77" t="s">
        <v>170</v>
      </c>
      <c r="E77" s="3" t="s">
        <v>170</v>
      </c>
      <c r="F77" s="3" t="s">
        <v>34</v>
      </c>
      <c r="G77">
        <v>0.78500000000000003</v>
      </c>
      <c r="H77">
        <v>9.3700000000000006E-2</v>
      </c>
      <c r="J77" s="3" t="s">
        <v>1033</v>
      </c>
      <c r="N77">
        <v>20.41</v>
      </c>
      <c r="O77" s="121">
        <f t="shared" si="52"/>
        <v>20.41</v>
      </c>
      <c r="P77" s="123"/>
      <c r="Q77" s="123"/>
      <c r="R77" s="123"/>
      <c r="S77" s="123"/>
      <c r="T77" s="121"/>
      <c r="AB77" s="122"/>
      <c r="AC77" s="123"/>
      <c r="AD77" s="123"/>
      <c r="AE77" s="123"/>
      <c r="AF77" s="123"/>
      <c r="AG77" s="123"/>
      <c r="AH77" s="124"/>
      <c r="AL77"/>
      <c r="AM77"/>
      <c r="AN77" s="3"/>
      <c r="AO77" s="3">
        <v>5</v>
      </c>
    </row>
    <row r="78" spans="1:41">
      <c r="A78" s="117">
        <f t="shared" si="51"/>
        <v>77</v>
      </c>
      <c r="B78" t="s">
        <v>33</v>
      </c>
      <c r="C78" s="109">
        <v>2</v>
      </c>
      <c r="D78" t="s">
        <v>170</v>
      </c>
      <c r="E78" s="3" t="s">
        <v>170</v>
      </c>
      <c r="F78" s="3" t="s">
        <v>34</v>
      </c>
      <c r="G78">
        <v>0.78600000000000003</v>
      </c>
      <c r="H78">
        <v>9.1700000000000004E-2</v>
      </c>
      <c r="J78" s="3" t="s">
        <v>1033</v>
      </c>
      <c r="N78">
        <v>17.63</v>
      </c>
      <c r="O78" s="121">
        <f t="shared" si="52"/>
        <v>17.63</v>
      </c>
      <c r="P78" s="123"/>
      <c r="Q78" s="123"/>
      <c r="R78" s="123"/>
      <c r="S78" s="123"/>
      <c r="T78" s="121"/>
      <c r="AB78" s="122"/>
      <c r="AC78" s="123"/>
      <c r="AD78" s="123"/>
      <c r="AE78" s="123"/>
      <c r="AF78" s="123"/>
      <c r="AG78" s="123"/>
      <c r="AH78" s="124"/>
      <c r="AL78"/>
      <c r="AM78"/>
      <c r="AN78" s="3"/>
      <c r="AO78" s="3">
        <v>5</v>
      </c>
    </row>
    <row r="79" spans="1:41">
      <c r="A79" s="117">
        <f t="shared" si="51"/>
        <v>78</v>
      </c>
      <c r="B79" t="s">
        <v>33</v>
      </c>
      <c r="C79" s="109">
        <v>2</v>
      </c>
      <c r="D79" t="s">
        <v>170</v>
      </c>
      <c r="E79" s="3" t="s">
        <v>170</v>
      </c>
      <c r="F79" s="3" t="s">
        <v>34</v>
      </c>
      <c r="G79">
        <v>0.78700000000000003</v>
      </c>
      <c r="H79">
        <v>8.5199999999999998E-2</v>
      </c>
      <c r="J79" s="3" t="s">
        <v>1033</v>
      </c>
      <c r="N79">
        <v>18.940000000000001</v>
      </c>
      <c r="O79" s="121">
        <f t="shared" si="52"/>
        <v>18.940000000000001</v>
      </c>
      <c r="P79" s="123"/>
      <c r="Q79" s="123"/>
      <c r="R79" s="123"/>
      <c r="S79" s="123"/>
      <c r="T79" s="121"/>
      <c r="AB79" s="122"/>
      <c r="AC79" s="123"/>
      <c r="AD79" s="123"/>
      <c r="AE79" s="123"/>
      <c r="AF79" s="123"/>
      <c r="AG79" s="123"/>
      <c r="AH79" s="124"/>
      <c r="AL79"/>
      <c r="AM79"/>
      <c r="AN79" s="3"/>
      <c r="AO79" s="3">
        <v>5</v>
      </c>
    </row>
    <row r="80" spans="1:41">
      <c r="A80" s="117">
        <f t="shared" si="51"/>
        <v>79</v>
      </c>
      <c r="B80" t="s">
        <v>33</v>
      </c>
      <c r="C80" s="109">
        <v>2</v>
      </c>
      <c r="D80" t="s">
        <v>170</v>
      </c>
      <c r="E80" s="3" t="s">
        <v>170</v>
      </c>
      <c r="F80" s="3" t="s">
        <v>34</v>
      </c>
      <c r="G80">
        <v>0.78900000000000003</v>
      </c>
      <c r="H80">
        <v>8.1199999999999994E-2</v>
      </c>
      <c r="J80" s="3" t="s">
        <v>1033</v>
      </c>
      <c r="N80">
        <v>20.98</v>
      </c>
      <c r="O80" s="121">
        <f t="shared" si="52"/>
        <v>20.98</v>
      </c>
      <c r="P80" s="123"/>
      <c r="Q80" s="123"/>
      <c r="R80" s="123"/>
      <c r="S80" s="123"/>
      <c r="T80" s="121"/>
      <c r="AB80" s="122"/>
      <c r="AC80" s="123"/>
      <c r="AD80" s="123"/>
      <c r="AE80" s="123"/>
      <c r="AF80" s="123"/>
      <c r="AG80" s="123"/>
      <c r="AH80" s="124"/>
      <c r="AL80"/>
      <c r="AM80"/>
      <c r="AN80" s="3"/>
      <c r="AO80" s="3">
        <v>5</v>
      </c>
    </row>
    <row r="81" spans="1:41">
      <c r="A81" s="117">
        <f t="shared" si="51"/>
        <v>80</v>
      </c>
      <c r="B81" t="s">
        <v>33</v>
      </c>
      <c r="C81" s="109">
        <v>2</v>
      </c>
      <c r="D81" t="s">
        <v>170</v>
      </c>
      <c r="E81" s="3" t="s">
        <v>170</v>
      </c>
      <c r="F81" s="3" t="s">
        <v>45</v>
      </c>
      <c r="G81">
        <v>0.79</v>
      </c>
      <c r="H81">
        <v>9.0700000000000003E-2</v>
      </c>
      <c r="I81" s="3">
        <v>1.47</v>
      </c>
      <c r="J81" s="3" t="s">
        <v>1033</v>
      </c>
      <c r="N81">
        <v>12.03</v>
      </c>
      <c r="O81" s="121">
        <f t="shared" si="52"/>
        <v>12.03</v>
      </c>
      <c r="P81" s="123"/>
      <c r="Q81" s="123"/>
      <c r="R81" s="123"/>
      <c r="S81" s="123"/>
      <c r="T81" s="121"/>
      <c r="AB81" s="122"/>
      <c r="AC81" s="123"/>
      <c r="AD81" s="123"/>
      <c r="AE81" s="123"/>
      <c r="AF81" s="123"/>
      <c r="AG81" s="123"/>
      <c r="AH81" s="124"/>
      <c r="AL81"/>
      <c r="AM81"/>
      <c r="AN81" s="3"/>
      <c r="AO81" s="3">
        <v>5</v>
      </c>
    </row>
    <row r="82" spans="1:41">
      <c r="A82" s="117">
        <f t="shared" si="51"/>
        <v>81</v>
      </c>
      <c r="B82" t="s">
        <v>33</v>
      </c>
      <c r="C82" s="109">
        <v>2</v>
      </c>
      <c r="D82" t="s">
        <v>170</v>
      </c>
      <c r="E82" s="3" t="s">
        <v>170</v>
      </c>
      <c r="F82" s="3" t="s">
        <v>34</v>
      </c>
      <c r="G82">
        <v>0.79400000000000004</v>
      </c>
      <c r="H82">
        <v>9.8400000000000001E-2</v>
      </c>
      <c r="J82" s="3" t="s">
        <v>1033</v>
      </c>
      <c r="N82">
        <v>17.84</v>
      </c>
      <c r="O82" s="121">
        <f t="shared" si="52"/>
        <v>17.84</v>
      </c>
      <c r="P82" s="123"/>
      <c r="Q82" s="123"/>
      <c r="R82" s="123"/>
      <c r="S82" s="123"/>
      <c r="T82" s="121"/>
      <c r="AB82" s="122"/>
      <c r="AC82" s="123"/>
      <c r="AD82" s="123"/>
      <c r="AE82" s="123"/>
      <c r="AF82" s="123"/>
      <c r="AG82" s="123"/>
      <c r="AH82" s="124"/>
      <c r="AL82"/>
      <c r="AM82"/>
      <c r="AN82" s="3"/>
      <c r="AO82" s="3">
        <v>5</v>
      </c>
    </row>
    <row r="83" spans="1:41">
      <c r="A83" s="117">
        <f t="shared" si="51"/>
        <v>82</v>
      </c>
      <c r="B83" t="s">
        <v>33</v>
      </c>
      <c r="C83" s="109">
        <v>2</v>
      </c>
      <c r="D83" t="s">
        <v>170</v>
      </c>
      <c r="E83" s="3" t="s">
        <v>170</v>
      </c>
      <c r="F83" s="3" t="s">
        <v>34</v>
      </c>
      <c r="G83">
        <v>0.79600000000000004</v>
      </c>
      <c r="H83">
        <v>9.1899999999999996E-2</v>
      </c>
      <c r="J83" s="3" t="s">
        <v>1033</v>
      </c>
      <c r="N83">
        <v>23.04</v>
      </c>
      <c r="O83" s="121">
        <f t="shared" si="52"/>
        <v>23.04</v>
      </c>
      <c r="P83" s="123"/>
      <c r="Q83" s="123"/>
      <c r="R83" s="123"/>
      <c r="S83" s="123"/>
      <c r="T83" s="121"/>
      <c r="AB83" s="122"/>
      <c r="AC83" s="123"/>
      <c r="AD83" s="123"/>
      <c r="AE83" s="123"/>
      <c r="AF83" s="123"/>
      <c r="AG83" s="123"/>
      <c r="AH83" s="124"/>
      <c r="AL83"/>
      <c r="AM83"/>
      <c r="AN83" s="3"/>
      <c r="AO83" s="3">
        <v>5</v>
      </c>
    </row>
    <row r="84" spans="1:41">
      <c r="A84" s="117">
        <f t="shared" si="51"/>
        <v>83</v>
      </c>
      <c r="B84" t="s">
        <v>33</v>
      </c>
      <c r="C84" s="109">
        <v>2</v>
      </c>
      <c r="D84" t="s">
        <v>170</v>
      </c>
      <c r="E84" s="3" t="s">
        <v>170</v>
      </c>
      <c r="F84" s="3" t="s">
        <v>45</v>
      </c>
      <c r="G84">
        <v>0.80700000000000005</v>
      </c>
      <c r="H84">
        <v>0.10199999999999999</v>
      </c>
      <c r="I84" s="3">
        <v>1.34</v>
      </c>
      <c r="J84" s="3" t="s">
        <v>1033</v>
      </c>
      <c r="N84">
        <v>26.15</v>
      </c>
      <c r="O84" s="121">
        <f t="shared" si="52"/>
        <v>26.15</v>
      </c>
      <c r="P84" s="123"/>
      <c r="Q84" s="123"/>
      <c r="R84" s="123"/>
      <c r="S84" s="123"/>
      <c r="T84" s="121"/>
      <c r="AB84" s="122"/>
      <c r="AC84" s="123"/>
      <c r="AD84" s="123"/>
      <c r="AE84" s="123"/>
      <c r="AF84" s="123"/>
      <c r="AG84" s="123"/>
      <c r="AH84" s="124"/>
      <c r="AL84"/>
      <c r="AM84"/>
      <c r="AN84" s="3"/>
      <c r="AO84" s="3">
        <v>5</v>
      </c>
    </row>
    <row r="85" spans="1:41">
      <c r="A85" s="117">
        <f t="shared" si="51"/>
        <v>84</v>
      </c>
      <c r="B85" t="s">
        <v>33</v>
      </c>
      <c r="C85" s="109">
        <v>2</v>
      </c>
      <c r="D85" t="s">
        <v>170</v>
      </c>
      <c r="E85" s="3" t="s">
        <v>170</v>
      </c>
      <c r="F85" s="3" t="s">
        <v>34</v>
      </c>
      <c r="G85">
        <v>0.80900000000000005</v>
      </c>
      <c r="H85">
        <v>9.6000000000000002E-2</v>
      </c>
      <c r="J85" s="3" t="s">
        <v>1033</v>
      </c>
      <c r="N85">
        <v>19.68</v>
      </c>
      <c r="O85" s="121">
        <f t="shared" si="52"/>
        <v>19.68</v>
      </c>
      <c r="P85" s="123"/>
      <c r="Q85" s="123"/>
      <c r="R85" s="123"/>
      <c r="S85" s="123"/>
      <c r="T85" s="121"/>
      <c r="AB85" s="122"/>
      <c r="AC85" s="123"/>
      <c r="AD85" s="123"/>
      <c r="AE85" s="123"/>
      <c r="AF85" s="123"/>
      <c r="AG85" s="123"/>
      <c r="AH85" s="124"/>
      <c r="AL85"/>
      <c r="AM85"/>
      <c r="AN85" s="3"/>
      <c r="AO85" s="3">
        <v>5</v>
      </c>
    </row>
    <row r="86" spans="1:41">
      <c r="A86" s="117">
        <f t="shared" si="51"/>
        <v>85</v>
      </c>
      <c r="B86" t="s">
        <v>33</v>
      </c>
      <c r="C86" s="109">
        <v>2</v>
      </c>
      <c r="D86" t="s">
        <v>170</v>
      </c>
      <c r="E86" s="3" t="s">
        <v>170</v>
      </c>
      <c r="F86" s="3" t="s">
        <v>34</v>
      </c>
      <c r="G86">
        <v>0.80900000000000005</v>
      </c>
      <c r="H86">
        <v>0.1036</v>
      </c>
      <c r="J86" s="3" t="s">
        <v>1033</v>
      </c>
      <c r="N86">
        <v>19.149999999999999</v>
      </c>
      <c r="O86" s="121">
        <f t="shared" si="52"/>
        <v>19.149999999999999</v>
      </c>
      <c r="P86" s="123"/>
      <c r="Q86" s="123"/>
      <c r="R86" s="123"/>
      <c r="S86" s="123"/>
      <c r="T86" s="121"/>
      <c r="AB86" s="122"/>
      <c r="AC86" s="123"/>
      <c r="AD86" s="123"/>
      <c r="AE86" s="123"/>
      <c r="AF86" s="123"/>
      <c r="AG86" s="123"/>
      <c r="AH86" s="124"/>
      <c r="AL86"/>
      <c r="AM86"/>
      <c r="AN86" s="3"/>
      <c r="AO86" s="3">
        <v>5</v>
      </c>
    </row>
    <row r="87" spans="1:41">
      <c r="A87" s="117">
        <f t="shared" si="51"/>
        <v>86</v>
      </c>
      <c r="B87" t="s">
        <v>33</v>
      </c>
      <c r="C87" s="109">
        <v>2</v>
      </c>
      <c r="D87" t="s">
        <v>170</v>
      </c>
      <c r="E87" s="3" t="s">
        <v>170</v>
      </c>
      <c r="F87" s="3" t="s">
        <v>34</v>
      </c>
      <c r="G87">
        <v>0.81399999999999995</v>
      </c>
      <c r="H87">
        <v>9.3200000000000005E-2</v>
      </c>
      <c r="J87" s="3" t="s">
        <v>1033</v>
      </c>
      <c r="N87">
        <v>21.67</v>
      </c>
      <c r="O87" s="121">
        <f t="shared" si="52"/>
        <v>21.67</v>
      </c>
      <c r="P87" s="123"/>
      <c r="Q87" s="123"/>
      <c r="R87" s="123"/>
      <c r="S87" s="123"/>
      <c r="T87" s="121"/>
      <c r="AB87" s="122"/>
      <c r="AC87" s="123"/>
      <c r="AD87" s="123"/>
      <c r="AE87" s="123"/>
      <c r="AF87" s="123"/>
      <c r="AG87" s="123"/>
      <c r="AH87" s="124"/>
      <c r="AL87"/>
      <c r="AM87"/>
      <c r="AN87" s="3"/>
      <c r="AO87" s="3">
        <v>5</v>
      </c>
    </row>
    <row r="88" spans="1:41">
      <c r="A88" s="117">
        <f t="shared" si="51"/>
        <v>87</v>
      </c>
      <c r="B88" t="s">
        <v>33</v>
      </c>
      <c r="C88" s="109">
        <v>2</v>
      </c>
      <c r="D88" t="s">
        <v>170</v>
      </c>
      <c r="E88" s="3" t="s">
        <v>170</v>
      </c>
      <c r="F88" s="3" t="s">
        <v>34</v>
      </c>
      <c r="G88">
        <v>0.81699999999999995</v>
      </c>
      <c r="H88">
        <v>9.2899999999999996E-2</v>
      </c>
      <c r="J88" s="3" t="s">
        <v>1033</v>
      </c>
      <c r="N88">
        <v>21.64</v>
      </c>
      <c r="O88" s="121">
        <f t="shared" si="52"/>
        <v>21.64</v>
      </c>
      <c r="P88" s="123"/>
      <c r="Q88" s="123"/>
      <c r="R88" s="123"/>
      <c r="S88" s="123"/>
      <c r="T88" s="121"/>
      <c r="AB88" s="122"/>
      <c r="AC88" s="123"/>
      <c r="AD88" s="123"/>
      <c r="AE88" s="123"/>
      <c r="AF88" s="123"/>
      <c r="AG88" s="123"/>
      <c r="AH88" s="124"/>
      <c r="AL88"/>
      <c r="AM88"/>
      <c r="AN88" s="3"/>
      <c r="AO88" s="3">
        <v>5</v>
      </c>
    </row>
    <row r="89" spans="1:41">
      <c r="A89" s="117">
        <f t="shared" si="51"/>
        <v>88</v>
      </c>
      <c r="B89" t="s">
        <v>33</v>
      </c>
      <c r="C89" s="109">
        <v>2</v>
      </c>
      <c r="D89" t="s">
        <v>170</v>
      </c>
      <c r="E89" s="3" t="s">
        <v>170</v>
      </c>
      <c r="F89" s="3" t="s">
        <v>45</v>
      </c>
      <c r="G89">
        <v>0.81799999999999995</v>
      </c>
      <c r="H89">
        <v>9.0399999999999994E-2</v>
      </c>
      <c r="I89" s="3">
        <v>1.26</v>
      </c>
      <c r="J89" s="3" t="s">
        <v>1033</v>
      </c>
      <c r="N89">
        <v>21.62</v>
      </c>
      <c r="O89" s="121">
        <f t="shared" si="52"/>
        <v>21.62</v>
      </c>
      <c r="P89" s="123"/>
      <c r="Q89" s="123"/>
      <c r="R89" s="123"/>
      <c r="S89" s="123"/>
      <c r="T89" s="121"/>
      <c r="AB89" s="122"/>
      <c r="AC89" s="123"/>
      <c r="AD89" s="123"/>
      <c r="AE89" s="123"/>
      <c r="AF89" s="123"/>
      <c r="AG89" s="123"/>
      <c r="AH89" s="124"/>
      <c r="AL89"/>
      <c r="AM89"/>
      <c r="AN89" s="3"/>
      <c r="AO89" s="3">
        <v>5</v>
      </c>
    </row>
    <row r="90" spans="1:41">
      <c r="A90" s="117">
        <f t="shared" si="51"/>
        <v>89</v>
      </c>
      <c r="B90" t="s">
        <v>33</v>
      </c>
      <c r="C90" s="109">
        <v>2</v>
      </c>
      <c r="D90" t="s">
        <v>170</v>
      </c>
      <c r="E90" s="3" t="s">
        <v>170</v>
      </c>
      <c r="F90" s="3" t="s">
        <v>34</v>
      </c>
      <c r="G90">
        <v>0.81899999999999995</v>
      </c>
      <c r="H90">
        <v>9.5899999999999999E-2</v>
      </c>
      <c r="J90" s="3" t="s">
        <v>1033</v>
      </c>
      <c r="N90">
        <v>22.82</v>
      </c>
      <c r="O90" s="121">
        <f t="shared" si="52"/>
        <v>22.82</v>
      </c>
      <c r="P90" s="123"/>
      <c r="Q90" s="123"/>
      <c r="R90" s="123"/>
      <c r="S90" s="123"/>
      <c r="T90" s="121"/>
      <c r="AB90" s="122"/>
      <c r="AC90" s="123"/>
      <c r="AD90" s="123"/>
      <c r="AE90" s="123"/>
      <c r="AF90" s="123"/>
      <c r="AG90" s="123"/>
      <c r="AH90" s="124"/>
      <c r="AL90"/>
      <c r="AM90"/>
      <c r="AN90" s="3"/>
      <c r="AO90" s="3">
        <v>5</v>
      </c>
    </row>
    <row r="91" spans="1:41">
      <c r="A91" s="117">
        <f t="shared" si="51"/>
        <v>90</v>
      </c>
      <c r="B91" t="s">
        <v>33</v>
      </c>
      <c r="C91" s="109">
        <v>2</v>
      </c>
      <c r="D91" t="s">
        <v>170</v>
      </c>
      <c r="E91" s="3" t="s">
        <v>170</v>
      </c>
      <c r="F91" s="3" t="s">
        <v>34</v>
      </c>
      <c r="G91">
        <v>0.82499999999999996</v>
      </c>
      <c r="H91">
        <v>9.2200000000000004E-2</v>
      </c>
      <c r="J91" s="3" t="s">
        <v>1033</v>
      </c>
      <c r="N91">
        <v>18.899999999999999</v>
      </c>
      <c r="O91" s="121">
        <f t="shared" si="52"/>
        <v>18.899999999999999</v>
      </c>
      <c r="P91" s="123"/>
      <c r="Q91" s="123"/>
      <c r="R91" s="123"/>
      <c r="S91" s="123"/>
      <c r="T91" s="121"/>
      <c r="AB91" s="122"/>
      <c r="AC91" s="123"/>
      <c r="AD91" s="123"/>
      <c r="AE91" s="123"/>
      <c r="AF91" s="123"/>
      <c r="AG91" s="123"/>
      <c r="AH91" s="124"/>
      <c r="AL91"/>
      <c r="AM91"/>
      <c r="AN91" s="3"/>
      <c r="AO91" s="3">
        <v>5</v>
      </c>
    </row>
    <row r="92" spans="1:41">
      <c r="A92" s="117">
        <f t="shared" si="51"/>
        <v>91</v>
      </c>
      <c r="B92" t="s">
        <v>33</v>
      </c>
      <c r="C92" s="109">
        <v>2</v>
      </c>
      <c r="D92" t="s">
        <v>170</v>
      </c>
      <c r="E92" s="3" t="s">
        <v>170</v>
      </c>
      <c r="F92" s="3" t="s">
        <v>45</v>
      </c>
      <c r="G92">
        <v>0.83</v>
      </c>
      <c r="H92">
        <v>0.1067</v>
      </c>
      <c r="I92" s="3">
        <v>1.4</v>
      </c>
      <c r="J92" s="3" t="s">
        <v>1033</v>
      </c>
      <c r="N92">
        <v>21.86</v>
      </c>
      <c r="O92" s="121">
        <f t="shared" si="52"/>
        <v>21.86</v>
      </c>
      <c r="P92" s="123"/>
      <c r="Q92" s="123"/>
      <c r="R92" s="123"/>
      <c r="S92" s="123"/>
      <c r="T92" s="121"/>
      <c r="AB92" s="122"/>
      <c r="AC92" s="123"/>
      <c r="AD92" s="123"/>
      <c r="AE92" s="123"/>
      <c r="AF92" s="123"/>
      <c r="AG92" s="123"/>
      <c r="AH92" s="124"/>
      <c r="AL92"/>
      <c r="AM92"/>
      <c r="AN92" s="3"/>
      <c r="AO92" s="3">
        <v>5</v>
      </c>
    </row>
    <row r="93" spans="1:41">
      <c r="A93" s="117">
        <f t="shared" si="51"/>
        <v>92</v>
      </c>
      <c r="B93" t="s">
        <v>33</v>
      </c>
      <c r="C93" s="109">
        <v>2</v>
      </c>
      <c r="D93" t="s">
        <v>170</v>
      </c>
      <c r="E93" s="3" t="s">
        <v>170</v>
      </c>
      <c r="F93" s="3" t="s">
        <v>46</v>
      </c>
      <c r="G93">
        <v>0.83899999999999997</v>
      </c>
      <c r="H93">
        <v>8.5800000000000001E-2</v>
      </c>
      <c r="I93" s="3">
        <v>1.1499999999999999</v>
      </c>
      <c r="J93" s="3" t="s">
        <v>1033</v>
      </c>
      <c r="N93">
        <v>26.61</v>
      </c>
      <c r="O93" s="121">
        <f t="shared" si="52"/>
        <v>26.61</v>
      </c>
      <c r="P93" s="123"/>
      <c r="Q93" s="123"/>
      <c r="R93" s="123"/>
      <c r="S93" s="123"/>
      <c r="T93" s="121"/>
      <c r="AB93" s="122"/>
      <c r="AC93" s="123"/>
      <c r="AD93" s="123"/>
      <c r="AE93" s="123"/>
      <c r="AF93" s="123"/>
      <c r="AG93" s="123"/>
      <c r="AH93" s="124"/>
      <c r="AL93"/>
      <c r="AM93"/>
      <c r="AN93" s="3"/>
      <c r="AO93" s="3">
        <v>5</v>
      </c>
    </row>
    <row r="94" spans="1:41">
      <c r="A94" s="117">
        <f t="shared" si="51"/>
        <v>93</v>
      </c>
      <c r="B94" t="s">
        <v>33</v>
      </c>
      <c r="C94" s="109">
        <v>2</v>
      </c>
      <c r="D94" t="s">
        <v>170</v>
      </c>
      <c r="E94" s="3" t="s">
        <v>170</v>
      </c>
      <c r="F94" s="3" t="s">
        <v>34</v>
      </c>
      <c r="G94">
        <v>0.86799999999999999</v>
      </c>
      <c r="H94">
        <v>0.1018</v>
      </c>
      <c r="J94" s="3" t="s">
        <v>1033</v>
      </c>
      <c r="N94">
        <v>21.43</v>
      </c>
      <c r="O94" s="121">
        <f t="shared" si="52"/>
        <v>21.43</v>
      </c>
      <c r="P94" s="123"/>
      <c r="Q94" s="123"/>
      <c r="R94" s="123"/>
      <c r="S94" s="123"/>
      <c r="T94" s="121"/>
      <c r="AB94" s="122"/>
      <c r="AC94" s="123"/>
      <c r="AD94" s="123"/>
      <c r="AE94" s="123"/>
      <c r="AF94" s="123"/>
      <c r="AG94" s="123"/>
      <c r="AH94" s="124"/>
      <c r="AL94"/>
      <c r="AM94"/>
      <c r="AN94" s="3"/>
      <c r="AO94" s="3">
        <v>5</v>
      </c>
    </row>
    <row r="95" spans="1:41">
      <c r="A95" s="117">
        <f t="shared" si="51"/>
        <v>94</v>
      </c>
      <c r="B95" t="s">
        <v>33</v>
      </c>
      <c r="C95" s="109">
        <v>2</v>
      </c>
      <c r="D95" t="s">
        <v>170</v>
      </c>
      <c r="E95" s="3" t="s">
        <v>170</v>
      </c>
      <c r="F95" s="3" t="s">
        <v>34</v>
      </c>
      <c r="G95">
        <v>0.875</v>
      </c>
      <c r="H95">
        <v>0.1159</v>
      </c>
      <c r="J95" s="3" t="s">
        <v>1033</v>
      </c>
      <c r="N95">
        <v>22.43</v>
      </c>
      <c r="O95" s="121">
        <f t="shared" si="52"/>
        <v>22.43</v>
      </c>
      <c r="P95" s="123"/>
      <c r="Q95" s="123"/>
      <c r="R95" s="123"/>
      <c r="S95" s="123"/>
      <c r="T95" s="121"/>
      <c r="AB95" s="122"/>
      <c r="AC95" s="123"/>
      <c r="AD95" s="123"/>
      <c r="AE95" s="123"/>
      <c r="AF95" s="123"/>
      <c r="AG95" s="123"/>
      <c r="AH95" s="124"/>
      <c r="AL95"/>
      <c r="AM95"/>
      <c r="AN95" s="3"/>
      <c r="AO95" s="3">
        <v>5</v>
      </c>
    </row>
    <row r="96" spans="1:41">
      <c r="A96" s="117">
        <f t="shared" si="51"/>
        <v>95</v>
      </c>
      <c r="B96" t="s">
        <v>33</v>
      </c>
      <c r="C96" s="109">
        <v>2</v>
      </c>
      <c r="D96" t="s">
        <v>170</v>
      </c>
      <c r="E96" s="3" t="s">
        <v>170</v>
      </c>
      <c r="F96" s="3" t="s">
        <v>34</v>
      </c>
      <c r="G96">
        <v>0.88500000000000001</v>
      </c>
      <c r="H96">
        <v>0.1106</v>
      </c>
      <c r="J96" s="3" t="s">
        <v>1033</v>
      </c>
      <c r="N96">
        <v>20.82</v>
      </c>
      <c r="O96" s="121">
        <f t="shared" si="52"/>
        <v>20.82</v>
      </c>
      <c r="P96" s="123"/>
      <c r="Q96" s="123"/>
      <c r="R96" s="123"/>
      <c r="S96" s="123"/>
      <c r="T96" s="121"/>
      <c r="AB96" s="122"/>
      <c r="AC96" s="123"/>
      <c r="AD96" s="123"/>
      <c r="AE96" s="123"/>
      <c r="AF96" s="123"/>
      <c r="AG96" s="123"/>
      <c r="AH96" s="124"/>
      <c r="AL96"/>
      <c r="AM96"/>
      <c r="AN96" s="3"/>
      <c r="AO96" s="3">
        <v>5</v>
      </c>
    </row>
    <row r="97" spans="1:41">
      <c r="A97" s="117">
        <f t="shared" si="51"/>
        <v>96</v>
      </c>
      <c r="B97" t="s">
        <v>33</v>
      </c>
      <c r="C97" s="109">
        <v>2</v>
      </c>
      <c r="D97" t="s">
        <v>170</v>
      </c>
      <c r="E97" s="3" t="s">
        <v>170</v>
      </c>
      <c r="F97" s="3" t="s">
        <v>34</v>
      </c>
      <c r="G97">
        <v>0.89</v>
      </c>
      <c r="H97">
        <v>0.1157</v>
      </c>
      <c r="J97" s="3" t="s">
        <v>1033</v>
      </c>
      <c r="N97">
        <v>24.86</v>
      </c>
      <c r="O97" s="121">
        <f t="shared" si="52"/>
        <v>24.86</v>
      </c>
      <c r="P97" s="123"/>
      <c r="Q97" s="123"/>
      <c r="R97" s="123"/>
      <c r="S97" s="123"/>
      <c r="T97" s="121"/>
      <c r="AB97" s="122"/>
      <c r="AC97" s="123"/>
      <c r="AD97" s="123"/>
      <c r="AE97" s="123"/>
      <c r="AF97" s="123"/>
      <c r="AG97" s="123"/>
      <c r="AH97" s="124"/>
      <c r="AL97"/>
      <c r="AM97"/>
      <c r="AN97" s="3"/>
      <c r="AO97" s="3">
        <v>5</v>
      </c>
    </row>
    <row r="98" spans="1:41">
      <c r="A98" s="117">
        <f t="shared" si="51"/>
        <v>97</v>
      </c>
      <c r="B98" t="s">
        <v>33</v>
      </c>
      <c r="C98" s="109">
        <v>2</v>
      </c>
      <c r="D98" t="s">
        <v>170</v>
      </c>
      <c r="E98" s="3" t="s">
        <v>170</v>
      </c>
      <c r="F98" s="3" t="s">
        <v>34</v>
      </c>
      <c r="G98">
        <v>0.90500000000000003</v>
      </c>
      <c r="H98">
        <v>0.1089</v>
      </c>
      <c r="J98" s="3" t="s">
        <v>1033</v>
      </c>
      <c r="N98">
        <v>19.04</v>
      </c>
      <c r="O98" s="121">
        <f t="shared" si="52"/>
        <v>19.04</v>
      </c>
      <c r="P98" s="123"/>
      <c r="Q98" s="123"/>
      <c r="R98" s="123"/>
      <c r="S98" s="123"/>
      <c r="T98" s="121"/>
      <c r="AB98" s="122"/>
      <c r="AC98" s="123"/>
      <c r="AD98" s="123"/>
      <c r="AE98" s="123"/>
      <c r="AF98" s="123"/>
      <c r="AG98" s="123"/>
      <c r="AH98" s="124"/>
      <c r="AL98"/>
      <c r="AM98"/>
      <c r="AN98" s="3"/>
      <c r="AO98" s="3">
        <v>5</v>
      </c>
    </row>
    <row r="99" spans="1:41">
      <c r="A99" s="117">
        <f t="shared" si="51"/>
        <v>98</v>
      </c>
      <c r="B99" t="s">
        <v>33</v>
      </c>
      <c r="C99" s="109">
        <v>2</v>
      </c>
      <c r="D99" t="s">
        <v>170</v>
      </c>
      <c r="E99" s="3" t="s">
        <v>170</v>
      </c>
      <c r="F99" s="3" t="s">
        <v>34</v>
      </c>
      <c r="G99">
        <v>0.92300000000000004</v>
      </c>
      <c r="H99">
        <v>0.11940000000000001</v>
      </c>
      <c r="J99" s="3" t="s">
        <v>1033</v>
      </c>
      <c r="N99">
        <v>22.14</v>
      </c>
      <c r="O99" s="121">
        <f t="shared" si="52"/>
        <v>22.14</v>
      </c>
      <c r="P99" s="123"/>
      <c r="Q99" s="123"/>
      <c r="R99" s="123"/>
      <c r="S99" s="123"/>
      <c r="T99" s="121"/>
      <c r="AB99" s="122"/>
      <c r="AC99" s="123"/>
      <c r="AD99" s="123"/>
      <c r="AE99" s="123"/>
      <c r="AF99" s="123"/>
      <c r="AG99" s="123"/>
      <c r="AH99" s="124"/>
      <c r="AL99"/>
      <c r="AM99"/>
      <c r="AN99" s="3"/>
      <c r="AO99" s="3">
        <v>5</v>
      </c>
    </row>
    <row r="100" spans="1:41">
      <c r="A100" s="117">
        <f t="shared" si="51"/>
        <v>99</v>
      </c>
      <c r="B100" t="s">
        <v>33</v>
      </c>
      <c r="C100" s="109">
        <v>2</v>
      </c>
      <c r="D100" t="s">
        <v>170</v>
      </c>
      <c r="E100" s="3" t="s">
        <v>170</v>
      </c>
      <c r="F100" s="3" t="s">
        <v>34</v>
      </c>
      <c r="G100">
        <v>0.92400000000000004</v>
      </c>
      <c r="H100">
        <v>0.1154</v>
      </c>
      <c r="J100" s="3" t="s">
        <v>1033</v>
      </c>
      <c r="N100">
        <v>22.25</v>
      </c>
      <c r="O100" s="121">
        <f t="shared" si="52"/>
        <v>22.25</v>
      </c>
      <c r="P100" s="123"/>
      <c r="Q100" s="123"/>
      <c r="R100" s="123"/>
      <c r="S100" s="123"/>
      <c r="T100" s="121"/>
      <c r="AB100" s="122"/>
      <c r="AC100" s="123"/>
      <c r="AD100" s="123"/>
      <c r="AE100" s="123"/>
      <c r="AF100" s="123"/>
      <c r="AG100" s="123"/>
      <c r="AH100" s="124"/>
      <c r="AL100"/>
      <c r="AM100"/>
      <c r="AN100" s="3"/>
      <c r="AO100" s="3">
        <v>5</v>
      </c>
    </row>
    <row r="101" spans="1:41">
      <c r="A101" s="117">
        <f t="shared" si="51"/>
        <v>100</v>
      </c>
      <c r="B101" t="s">
        <v>33</v>
      </c>
      <c r="C101" s="109">
        <v>2</v>
      </c>
      <c r="D101" t="s">
        <v>170</v>
      </c>
      <c r="E101" s="3" t="s">
        <v>170</v>
      </c>
      <c r="F101" s="3" t="s">
        <v>34</v>
      </c>
      <c r="G101">
        <v>0.94</v>
      </c>
      <c r="H101">
        <v>0.1135</v>
      </c>
      <c r="J101" s="3" t="s">
        <v>1033</v>
      </c>
      <c r="N101">
        <v>19.43</v>
      </c>
      <c r="O101" s="121">
        <f t="shared" si="52"/>
        <v>19.43</v>
      </c>
      <c r="P101" s="123"/>
      <c r="Q101" s="123"/>
      <c r="R101" s="123"/>
      <c r="S101" s="123"/>
      <c r="T101" s="121"/>
      <c r="AB101" s="122"/>
      <c r="AC101" s="123"/>
      <c r="AD101" s="123"/>
      <c r="AE101" s="123"/>
      <c r="AF101" s="123"/>
      <c r="AG101" s="123"/>
      <c r="AH101" s="124"/>
      <c r="AL101"/>
      <c r="AM101"/>
      <c r="AN101" s="3"/>
      <c r="AO101" s="3">
        <v>5</v>
      </c>
    </row>
    <row r="102" spans="1:41">
      <c r="A102" s="117">
        <f t="shared" si="51"/>
        <v>101</v>
      </c>
      <c r="B102" t="s">
        <v>33</v>
      </c>
      <c r="C102" s="109">
        <v>2</v>
      </c>
      <c r="D102" t="s">
        <v>170</v>
      </c>
      <c r="E102" s="3" t="s">
        <v>170</v>
      </c>
      <c r="F102" s="3" t="s">
        <v>34</v>
      </c>
      <c r="G102">
        <v>0.94</v>
      </c>
      <c r="H102">
        <v>0.1163</v>
      </c>
      <c r="J102" s="3" t="s">
        <v>1033</v>
      </c>
      <c r="N102">
        <v>20.8</v>
      </c>
      <c r="O102" s="121">
        <f t="shared" si="52"/>
        <v>20.8</v>
      </c>
      <c r="P102" s="123"/>
      <c r="Q102" s="123"/>
      <c r="R102" s="123"/>
      <c r="S102" s="123"/>
      <c r="T102" s="121"/>
      <c r="AB102" s="122"/>
      <c r="AC102" s="123"/>
      <c r="AD102" s="123"/>
      <c r="AE102" s="123"/>
      <c r="AF102" s="123"/>
      <c r="AG102" s="123"/>
      <c r="AH102" s="124"/>
      <c r="AL102"/>
      <c r="AM102"/>
      <c r="AN102" s="3"/>
      <c r="AO102" s="3">
        <v>5</v>
      </c>
    </row>
    <row r="103" spans="1:41">
      <c r="A103" s="117">
        <f t="shared" si="51"/>
        <v>102</v>
      </c>
      <c r="B103" t="s">
        <v>33</v>
      </c>
      <c r="C103" s="109">
        <v>2</v>
      </c>
      <c r="D103" t="s">
        <v>170</v>
      </c>
      <c r="E103" s="3" t="s">
        <v>170</v>
      </c>
      <c r="F103" s="3" t="s">
        <v>34</v>
      </c>
      <c r="G103">
        <v>0.95699999999999996</v>
      </c>
      <c r="H103">
        <v>0.12520000000000001</v>
      </c>
      <c r="J103" s="3" t="s">
        <v>1033</v>
      </c>
      <c r="N103">
        <v>23.86</v>
      </c>
      <c r="O103" s="121">
        <f t="shared" si="52"/>
        <v>23.86</v>
      </c>
      <c r="P103" s="123"/>
      <c r="Q103" s="123"/>
      <c r="R103" s="123"/>
      <c r="S103" s="123"/>
      <c r="T103" s="121"/>
      <c r="AB103" s="122"/>
      <c r="AC103" s="123"/>
      <c r="AD103" s="123"/>
      <c r="AE103" s="123"/>
      <c r="AF103" s="123"/>
      <c r="AG103" s="123"/>
      <c r="AH103" s="124"/>
      <c r="AL103"/>
      <c r="AM103"/>
      <c r="AN103" s="3"/>
      <c r="AO103" s="3">
        <v>5</v>
      </c>
    </row>
    <row r="104" spans="1:41">
      <c r="A104" s="117">
        <f t="shared" si="51"/>
        <v>103</v>
      </c>
      <c r="B104" t="s">
        <v>33</v>
      </c>
      <c r="C104" s="109">
        <v>2</v>
      </c>
      <c r="D104" t="s">
        <v>170</v>
      </c>
      <c r="E104" s="3" t="s">
        <v>170</v>
      </c>
      <c r="F104" s="3" t="s">
        <v>34</v>
      </c>
      <c r="G104">
        <v>0.97299999999999998</v>
      </c>
      <c r="H104">
        <v>0.1206</v>
      </c>
      <c r="J104" s="3" t="s">
        <v>1033</v>
      </c>
      <c r="N104">
        <v>19.8</v>
      </c>
      <c r="O104" s="121">
        <f t="shared" si="52"/>
        <v>19.8</v>
      </c>
      <c r="P104" s="123"/>
      <c r="Q104" s="123"/>
      <c r="R104" s="123"/>
      <c r="S104" s="123"/>
      <c r="T104" s="121"/>
      <c r="AB104" s="122"/>
      <c r="AC104" s="123"/>
      <c r="AD104" s="123"/>
      <c r="AE104" s="123"/>
      <c r="AF104" s="123"/>
      <c r="AG104" s="123"/>
      <c r="AH104" s="124"/>
      <c r="AL104"/>
      <c r="AM104"/>
      <c r="AN104" s="3"/>
      <c r="AO104" s="3">
        <v>5</v>
      </c>
    </row>
    <row r="105" spans="1:41">
      <c r="A105" s="117">
        <f t="shared" si="51"/>
        <v>104</v>
      </c>
      <c r="B105" t="s">
        <v>33</v>
      </c>
      <c r="C105" s="109">
        <v>2</v>
      </c>
      <c r="D105" t="s">
        <v>170</v>
      </c>
      <c r="E105" s="3" t="s">
        <v>170</v>
      </c>
      <c r="F105" s="3" t="s">
        <v>34</v>
      </c>
      <c r="G105">
        <v>0.97299999999999998</v>
      </c>
      <c r="H105">
        <v>0.1321</v>
      </c>
      <c r="J105" s="3" t="s">
        <v>1033</v>
      </c>
      <c r="N105">
        <v>28.78</v>
      </c>
      <c r="O105" s="121">
        <f t="shared" si="52"/>
        <v>28.78</v>
      </c>
      <c r="P105" s="123"/>
      <c r="Q105" s="123"/>
      <c r="R105" s="123"/>
      <c r="S105" s="123"/>
      <c r="T105" s="121"/>
      <c r="AB105" s="122"/>
      <c r="AC105" s="123"/>
      <c r="AD105" s="123"/>
      <c r="AE105" s="123"/>
      <c r="AF105" s="123"/>
      <c r="AG105" s="123"/>
      <c r="AH105" s="124"/>
      <c r="AL105"/>
      <c r="AM105"/>
      <c r="AN105" s="3"/>
      <c r="AO105" s="3">
        <v>5</v>
      </c>
    </row>
    <row r="106" spans="1:41">
      <c r="A106" s="117">
        <f t="shared" si="51"/>
        <v>105</v>
      </c>
      <c r="B106" t="s">
        <v>33</v>
      </c>
      <c r="C106" s="109">
        <v>2</v>
      </c>
      <c r="D106" t="s">
        <v>170</v>
      </c>
      <c r="E106" s="3" t="s">
        <v>170</v>
      </c>
      <c r="F106" s="3" t="s">
        <v>34</v>
      </c>
      <c r="G106">
        <v>0.97599999999999998</v>
      </c>
      <c r="H106">
        <v>0.11310000000000001</v>
      </c>
      <c r="J106" s="3" t="s">
        <v>1033</v>
      </c>
      <c r="N106">
        <v>18.27</v>
      </c>
      <c r="O106" s="121">
        <f t="shared" si="52"/>
        <v>18.27</v>
      </c>
      <c r="P106" s="123"/>
      <c r="Q106" s="123"/>
      <c r="R106" s="123"/>
      <c r="S106" s="123"/>
      <c r="T106" s="121"/>
      <c r="AB106" s="122"/>
      <c r="AC106" s="123"/>
      <c r="AD106" s="123"/>
      <c r="AE106" s="123"/>
      <c r="AF106" s="123"/>
      <c r="AG106" s="123"/>
      <c r="AH106" s="124"/>
      <c r="AL106"/>
      <c r="AM106"/>
      <c r="AN106" s="3"/>
      <c r="AO106" s="3">
        <v>5</v>
      </c>
    </row>
    <row r="107" spans="1:41">
      <c r="A107" s="117">
        <f t="shared" si="51"/>
        <v>106</v>
      </c>
      <c r="B107" t="s">
        <v>33</v>
      </c>
      <c r="C107" s="109">
        <v>2</v>
      </c>
      <c r="D107" t="s">
        <v>170</v>
      </c>
      <c r="E107" s="3" t="s">
        <v>170</v>
      </c>
      <c r="F107" s="3" t="s">
        <v>34</v>
      </c>
      <c r="G107">
        <v>0.98099999999999998</v>
      </c>
      <c r="H107">
        <v>0.13350000000000001</v>
      </c>
      <c r="J107" s="3" t="s">
        <v>1033</v>
      </c>
      <c r="N107">
        <v>28.28</v>
      </c>
      <c r="O107" s="121">
        <f t="shared" si="52"/>
        <v>28.28</v>
      </c>
      <c r="P107" s="123"/>
      <c r="Q107" s="123"/>
      <c r="R107" s="123"/>
      <c r="S107" s="123"/>
      <c r="T107" s="121"/>
      <c r="AB107" s="122"/>
      <c r="AC107" s="123"/>
      <c r="AD107" s="123"/>
      <c r="AE107" s="123"/>
      <c r="AF107" s="123"/>
      <c r="AG107" s="123"/>
      <c r="AH107" s="124"/>
      <c r="AL107"/>
      <c r="AM107"/>
      <c r="AN107" s="3"/>
      <c r="AO107" s="3">
        <v>5</v>
      </c>
    </row>
    <row r="108" spans="1:41">
      <c r="A108" s="117">
        <f t="shared" si="51"/>
        <v>107</v>
      </c>
      <c r="B108" t="s">
        <v>33</v>
      </c>
      <c r="C108" s="109">
        <v>2</v>
      </c>
      <c r="D108" t="s">
        <v>170</v>
      </c>
      <c r="E108" s="3" t="s">
        <v>170</v>
      </c>
      <c r="F108" s="3" t="s">
        <v>34</v>
      </c>
      <c r="G108">
        <v>1.0820000000000001</v>
      </c>
      <c r="H108">
        <v>0.14119999999999999</v>
      </c>
      <c r="J108" s="3" t="s">
        <v>1033</v>
      </c>
      <c r="N108">
        <v>20.399999999999999</v>
      </c>
      <c r="O108" s="121">
        <f t="shared" si="52"/>
        <v>20.399999999999999</v>
      </c>
      <c r="P108" s="123"/>
      <c r="Q108" s="123"/>
      <c r="R108" s="123"/>
      <c r="S108" s="123"/>
      <c r="T108" s="121"/>
      <c r="AB108" s="122"/>
      <c r="AC108" s="123"/>
      <c r="AD108" s="123"/>
      <c r="AE108" s="123"/>
      <c r="AF108" s="123"/>
      <c r="AG108" s="123"/>
      <c r="AH108" s="124"/>
      <c r="AL108"/>
      <c r="AM108"/>
      <c r="AN108" s="3"/>
      <c r="AO108" s="3">
        <v>5</v>
      </c>
    </row>
    <row r="109" spans="1:41">
      <c r="A109" s="117">
        <f t="shared" si="51"/>
        <v>108</v>
      </c>
      <c r="B109" t="s">
        <v>33</v>
      </c>
      <c r="C109" s="109">
        <v>2</v>
      </c>
      <c r="D109" t="s">
        <v>170</v>
      </c>
      <c r="E109" s="3" t="s">
        <v>170</v>
      </c>
      <c r="F109" s="3" t="s">
        <v>34</v>
      </c>
      <c r="G109">
        <v>1.087</v>
      </c>
      <c r="H109">
        <v>0.14879999999999999</v>
      </c>
      <c r="J109" s="3" t="s">
        <v>1033</v>
      </c>
      <c r="N109">
        <v>21.79</v>
      </c>
      <c r="O109" s="121">
        <f t="shared" si="52"/>
        <v>21.79</v>
      </c>
      <c r="P109" s="123"/>
      <c r="Q109" s="123"/>
      <c r="R109" s="123"/>
      <c r="S109" s="123"/>
      <c r="T109" s="121"/>
      <c r="AB109" s="122"/>
      <c r="AC109" s="123"/>
      <c r="AD109" s="123"/>
      <c r="AE109" s="123"/>
      <c r="AF109" s="123"/>
      <c r="AG109" s="123"/>
      <c r="AH109" s="124"/>
      <c r="AL109"/>
      <c r="AM109"/>
      <c r="AN109" s="3"/>
      <c r="AO109" s="3">
        <v>5</v>
      </c>
    </row>
    <row r="110" spans="1:41">
      <c r="A110" s="117">
        <f t="shared" si="51"/>
        <v>109</v>
      </c>
      <c r="B110" t="s">
        <v>33</v>
      </c>
      <c r="C110" s="109">
        <v>2</v>
      </c>
      <c r="D110" t="s">
        <v>170</v>
      </c>
      <c r="E110" s="3" t="s">
        <v>170</v>
      </c>
      <c r="F110" s="3" t="s">
        <v>34</v>
      </c>
      <c r="G110">
        <v>1.1220000000000001</v>
      </c>
      <c r="H110">
        <v>0.15440000000000001</v>
      </c>
      <c r="J110" s="3" t="s">
        <v>1033</v>
      </c>
      <c r="N110">
        <v>18.91</v>
      </c>
      <c r="O110" s="121">
        <f t="shared" si="52"/>
        <v>18.91</v>
      </c>
      <c r="P110" s="123"/>
      <c r="Q110" s="123"/>
      <c r="R110" s="123"/>
      <c r="S110" s="123"/>
      <c r="T110" s="121"/>
      <c r="AB110" s="122"/>
      <c r="AC110" s="123"/>
      <c r="AD110" s="123"/>
      <c r="AE110" s="123"/>
      <c r="AF110" s="123"/>
      <c r="AG110" s="123"/>
      <c r="AH110" s="124"/>
      <c r="AL110"/>
      <c r="AM110"/>
      <c r="AN110" s="3"/>
      <c r="AO110" s="3">
        <v>5</v>
      </c>
    </row>
    <row r="111" spans="1:41">
      <c r="A111" s="117">
        <f t="shared" si="51"/>
        <v>110</v>
      </c>
      <c r="B111" t="s">
        <v>33</v>
      </c>
      <c r="C111" s="109">
        <v>2</v>
      </c>
      <c r="D111" t="s">
        <v>170</v>
      </c>
      <c r="E111" s="3" t="s">
        <v>170</v>
      </c>
      <c r="F111" s="3" t="s">
        <v>34</v>
      </c>
      <c r="G111">
        <v>1.135</v>
      </c>
      <c r="H111">
        <v>0.1328</v>
      </c>
      <c r="J111" s="3" t="s">
        <v>1033</v>
      </c>
      <c r="N111">
        <v>24.06</v>
      </c>
      <c r="O111" s="121">
        <f t="shared" si="52"/>
        <v>24.06</v>
      </c>
      <c r="P111" s="123"/>
      <c r="Q111" s="123"/>
      <c r="R111" s="123"/>
      <c r="S111" s="123"/>
      <c r="T111" s="121"/>
      <c r="AB111" s="122"/>
      <c r="AC111" s="123"/>
      <c r="AD111" s="123"/>
      <c r="AE111" s="123"/>
      <c r="AF111" s="123"/>
      <c r="AG111" s="123"/>
      <c r="AH111" s="124"/>
      <c r="AL111"/>
      <c r="AM111"/>
      <c r="AN111" s="3"/>
      <c r="AO111" s="3">
        <v>5</v>
      </c>
    </row>
    <row r="112" spans="1:41">
      <c r="A112" s="117">
        <f t="shared" si="51"/>
        <v>111</v>
      </c>
      <c r="B112" t="s">
        <v>33</v>
      </c>
      <c r="C112" s="109">
        <v>2</v>
      </c>
      <c r="D112" t="s">
        <v>170</v>
      </c>
      <c r="E112" s="3" t="s">
        <v>170</v>
      </c>
      <c r="F112" s="3" t="s">
        <v>34</v>
      </c>
      <c r="G112">
        <v>1.169</v>
      </c>
      <c r="H112">
        <v>0.1552</v>
      </c>
      <c r="J112" s="3" t="s">
        <v>1033</v>
      </c>
      <c r="N112">
        <v>16.12</v>
      </c>
      <c r="O112" s="121">
        <f t="shared" si="52"/>
        <v>16.12</v>
      </c>
      <c r="P112" s="123"/>
      <c r="Q112" s="123"/>
      <c r="R112" s="123"/>
      <c r="S112" s="123"/>
      <c r="T112" s="121"/>
      <c r="AB112" s="122"/>
      <c r="AC112" s="123"/>
      <c r="AD112" s="123"/>
      <c r="AE112" s="123"/>
      <c r="AF112" s="123"/>
      <c r="AG112" s="123"/>
      <c r="AH112" s="124"/>
      <c r="AL112"/>
      <c r="AM112"/>
      <c r="AN112" s="3"/>
      <c r="AO112" s="3">
        <v>5</v>
      </c>
    </row>
    <row r="113" spans="1:41">
      <c r="A113" s="117">
        <f t="shared" si="51"/>
        <v>112</v>
      </c>
      <c r="B113" t="s">
        <v>33</v>
      </c>
      <c r="C113" s="109">
        <v>2</v>
      </c>
      <c r="D113" t="s">
        <v>170</v>
      </c>
      <c r="E113" s="3" t="s">
        <v>170</v>
      </c>
      <c r="F113" s="3" t="s">
        <v>47</v>
      </c>
      <c r="G113">
        <v>1.19</v>
      </c>
      <c r="H113">
        <v>0.17560000000000001</v>
      </c>
      <c r="I113" s="3">
        <v>1.25</v>
      </c>
      <c r="J113" s="3" t="s">
        <v>1033</v>
      </c>
      <c r="N113">
        <v>24.79</v>
      </c>
      <c r="O113" s="121">
        <f t="shared" si="52"/>
        <v>24.79</v>
      </c>
      <c r="P113" s="123"/>
      <c r="Q113" s="123"/>
      <c r="R113" s="123"/>
      <c r="S113" s="123"/>
      <c r="T113" s="121"/>
      <c r="AB113" s="122"/>
      <c r="AC113" s="123"/>
      <c r="AD113" s="123"/>
      <c r="AE113" s="123"/>
      <c r="AF113" s="123"/>
      <c r="AG113" s="123"/>
      <c r="AH113" s="124"/>
      <c r="AL113"/>
      <c r="AM113"/>
      <c r="AN113" s="3"/>
      <c r="AO113" s="3">
        <v>5</v>
      </c>
    </row>
    <row r="114" spans="1:41">
      <c r="A114" s="117">
        <f t="shared" si="51"/>
        <v>113</v>
      </c>
      <c r="B114" t="s">
        <v>33</v>
      </c>
      <c r="C114" s="109">
        <v>2</v>
      </c>
      <c r="D114" t="s">
        <v>170</v>
      </c>
      <c r="E114" s="3" t="s">
        <v>170</v>
      </c>
      <c r="F114" s="3" t="s">
        <v>34</v>
      </c>
      <c r="G114">
        <v>1.26</v>
      </c>
      <c r="H114">
        <v>0.18160000000000001</v>
      </c>
      <c r="J114" s="3" t="s">
        <v>1033</v>
      </c>
      <c r="N114">
        <v>38.409999999999997</v>
      </c>
      <c r="O114" s="121">
        <f t="shared" si="52"/>
        <v>38.409999999999997</v>
      </c>
      <c r="P114" s="123"/>
      <c r="Q114" s="123"/>
      <c r="R114" s="123"/>
      <c r="S114" s="123"/>
      <c r="T114" s="121"/>
      <c r="AB114" s="122"/>
      <c r="AC114" s="123"/>
      <c r="AD114" s="123"/>
      <c r="AE114" s="123"/>
      <c r="AF114" s="123"/>
      <c r="AG114" s="123"/>
      <c r="AH114" s="124"/>
      <c r="AL114"/>
      <c r="AM114"/>
      <c r="AN114" s="3"/>
      <c r="AO114" s="3">
        <v>5</v>
      </c>
    </row>
    <row r="115" spans="1:41">
      <c r="A115" s="117">
        <f t="shared" si="51"/>
        <v>114</v>
      </c>
      <c r="B115" t="s">
        <v>33</v>
      </c>
      <c r="C115" s="109">
        <v>2</v>
      </c>
      <c r="D115" t="s">
        <v>170</v>
      </c>
      <c r="E115" s="3" t="s">
        <v>170</v>
      </c>
      <c r="F115" s="3" t="s">
        <v>56</v>
      </c>
      <c r="J115" s="3" t="s">
        <v>79</v>
      </c>
      <c r="N115">
        <v>21.31</v>
      </c>
      <c r="O115" s="121">
        <f t="shared" si="52"/>
        <v>21.31</v>
      </c>
      <c r="P115" s="123"/>
      <c r="Q115" s="123"/>
      <c r="R115" s="123"/>
      <c r="S115" s="123"/>
      <c r="T115" s="121"/>
      <c r="U115" s="3" t="s">
        <v>221</v>
      </c>
      <c r="V115">
        <v>36.86</v>
      </c>
      <c r="W115">
        <v>4.49</v>
      </c>
      <c r="X115">
        <v>0.09</v>
      </c>
      <c r="Y115">
        <v>0.03</v>
      </c>
      <c r="Z115">
        <v>37.22</v>
      </c>
      <c r="AB115" s="122">
        <f t="shared" ref="AB115:AB123" si="53">SUM(V115:AA115)</f>
        <v>78.69</v>
      </c>
      <c r="AC115" s="123">
        <f>100*V115/$AB$115</f>
        <v>46.842038378447072</v>
      </c>
      <c r="AD115" s="123">
        <f t="shared" ref="AD115:AG115" si="54">100*W115/$AB$115</f>
        <v>5.7059346803914091</v>
      </c>
      <c r="AE115" s="123">
        <f t="shared" si="54"/>
        <v>0.1143728555089592</v>
      </c>
      <c r="AF115" s="123">
        <f t="shared" si="54"/>
        <v>3.812428516965307E-2</v>
      </c>
      <c r="AG115" s="123">
        <f t="shared" si="54"/>
        <v>47.299529800482908</v>
      </c>
      <c r="AH115" s="124"/>
      <c r="AJ115">
        <v>13.77</v>
      </c>
      <c r="AL115"/>
      <c r="AM115">
        <v>13.77</v>
      </c>
      <c r="AN115" s="3"/>
      <c r="AO115" s="3">
        <v>7</v>
      </c>
    </row>
    <row r="116" spans="1:41">
      <c r="A116" s="117">
        <f t="shared" si="51"/>
        <v>115</v>
      </c>
      <c r="B116" t="s">
        <v>33</v>
      </c>
      <c r="C116" s="109">
        <v>2</v>
      </c>
      <c r="D116" t="s">
        <v>170</v>
      </c>
      <c r="E116" s="19" t="s">
        <v>170</v>
      </c>
      <c r="F116" s="19" t="s">
        <v>169</v>
      </c>
      <c r="G116" s="29"/>
      <c r="H116" s="29"/>
      <c r="I116" s="19"/>
      <c r="J116" s="19" t="s">
        <v>69</v>
      </c>
      <c r="K116" s="29">
        <v>0</v>
      </c>
      <c r="L116" s="29">
        <v>87.65</v>
      </c>
      <c r="M116" s="29">
        <v>0.04</v>
      </c>
      <c r="N116" s="29">
        <v>12.03</v>
      </c>
      <c r="O116" s="121">
        <f t="shared" si="52"/>
        <v>99.720000000000013</v>
      </c>
      <c r="P116" s="123">
        <f>100-SUM(L116:N116)</f>
        <v>0.27999999999998693</v>
      </c>
      <c r="Q116" s="29">
        <v>87.65</v>
      </c>
      <c r="R116" s="29">
        <v>0.04</v>
      </c>
      <c r="S116" s="29">
        <v>12.03</v>
      </c>
      <c r="T116" s="121"/>
      <c r="U116" s="19" t="s">
        <v>215</v>
      </c>
      <c r="V116" s="29">
        <v>44.93</v>
      </c>
      <c r="W116" s="29">
        <v>4.55</v>
      </c>
      <c r="X116" s="29">
        <v>0.09</v>
      </c>
      <c r="Y116" s="29">
        <v>0</v>
      </c>
      <c r="Z116" s="29">
        <v>50.43</v>
      </c>
      <c r="AA116" s="29"/>
      <c r="AB116" s="122">
        <f t="shared" si="53"/>
        <v>100</v>
      </c>
      <c r="AC116" s="123">
        <v>44.93</v>
      </c>
      <c r="AD116" s="123">
        <v>4.55</v>
      </c>
      <c r="AE116" s="123">
        <v>0.09</v>
      </c>
      <c r="AF116" s="123">
        <v>0</v>
      </c>
      <c r="AG116" s="123">
        <v>50.43</v>
      </c>
      <c r="AH116" s="124"/>
      <c r="AJ116" s="2">
        <v>14.236000000000001</v>
      </c>
      <c r="AL116">
        <f>AM116*(Q116+R116+S116)/(Q116+R116)</f>
        <v>16.189005815942526</v>
      </c>
      <c r="AM116" s="2">
        <v>14.236000000000001</v>
      </c>
      <c r="AN116" s="3">
        <f>AM116*(Q116+R116+S116)/100</f>
        <v>14.196139200000003</v>
      </c>
      <c r="AO116" s="19">
        <v>31</v>
      </c>
    </row>
    <row r="117" spans="1:41">
      <c r="A117" s="117">
        <f t="shared" si="51"/>
        <v>116</v>
      </c>
      <c r="B117" t="s">
        <v>33</v>
      </c>
      <c r="C117" s="109">
        <v>2</v>
      </c>
      <c r="D117" t="s">
        <v>170</v>
      </c>
      <c r="E117" s="19" t="s">
        <v>170</v>
      </c>
      <c r="F117" s="19" t="s">
        <v>169</v>
      </c>
      <c r="G117" s="29"/>
      <c r="H117" s="29"/>
      <c r="I117" s="19"/>
      <c r="J117" s="19"/>
      <c r="K117" s="29"/>
      <c r="L117" s="29"/>
      <c r="M117" s="29"/>
      <c r="N117" s="29"/>
      <c r="O117" s="121"/>
      <c r="P117" s="123"/>
      <c r="Q117" s="123"/>
      <c r="R117" s="123"/>
      <c r="S117" s="123"/>
      <c r="T117" s="121"/>
      <c r="U117" s="19" t="s">
        <v>215</v>
      </c>
      <c r="V117" s="29">
        <v>44.59</v>
      </c>
      <c r="W117" s="29">
        <v>6.03</v>
      </c>
      <c r="X117" s="29">
        <v>0.1</v>
      </c>
      <c r="Y117" s="29">
        <v>0.08</v>
      </c>
      <c r="Z117" s="29">
        <v>49.2</v>
      </c>
      <c r="AA117" s="29"/>
      <c r="AB117" s="122">
        <f t="shared" si="53"/>
        <v>100</v>
      </c>
      <c r="AC117" s="123">
        <v>44.59</v>
      </c>
      <c r="AD117" s="123">
        <v>6.03</v>
      </c>
      <c r="AE117" s="123">
        <v>0.1</v>
      </c>
      <c r="AF117" s="123">
        <v>0.08</v>
      </c>
      <c r="AG117" s="123">
        <v>49.2</v>
      </c>
      <c r="AH117" s="124"/>
      <c r="AI117" s="2"/>
      <c r="AJ117" s="2">
        <v>16.146000000000001</v>
      </c>
      <c r="AK117" s="121"/>
      <c r="AL117" s="2"/>
      <c r="AM117" s="2">
        <v>16.146000000000001</v>
      </c>
      <c r="AN117" s="121"/>
      <c r="AO117" s="19">
        <v>31</v>
      </c>
    </row>
    <row r="118" spans="1:41">
      <c r="A118" s="117">
        <f t="shared" si="51"/>
        <v>117</v>
      </c>
      <c r="B118" t="s">
        <v>33</v>
      </c>
      <c r="C118" s="109">
        <v>2</v>
      </c>
      <c r="D118" t="s">
        <v>170</v>
      </c>
      <c r="E118" s="19" t="s">
        <v>170</v>
      </c>
      <c r="F118" s="19" t="s">
        <v>168</v>
      </c>
      <c r="G118" s="29"/>
      <c r="H118" s="29"/>
      <c r="I118" s="19"/>
      <c r="J118" s="19"/>
      <c r="K118" s="29"/>
      <c r="L118" s="29"/>
      <c r="M118" s="29"/>
      <c r="N118" s="29"/>
      <c r="O118" s="121"/>
      <c r="P118" s="123"/>
      <c r="Q118" s="123"/>
      <c r="R118" s="123"/>
      <c r="S118" s="123"/>
      <c r="T118" s="121"/>
      <c r="U118" s="19" t="s">
        <v>215</v>
      </c>
      <c r="V118" s="29">
        <v>43.66</v>
      </c>
      <c r="W118" s="29">
        <v>5.84</v>
      </c>
      <c r="X118" s="29">
        <v>0.16</v>
      </c>
      <c r="Y118" s="29">
        <v>0.18</v>
      </c>
      <c r="Z118" s="29">
        <v>50.16</v>
      </c>
      <c r="AA118" s="29"/>
      <c r="AB118" s="122">
        <f t="shared" si="53"/>
        <v>100</v>
      </c>
      <c r="AC118" s="123">
        <v>43.66</v>
      </c>
      <c r="AD118" s="123">
        <v>5.84</v>
      </c>
      <c r="AE118" s="123">
        <v>0.16</v>
      </c>
      <c r="AF118" s="123">
        <v>0.18</v>
      </c>
      <c r="AG118" s="123">
        <v>50.16</v>
      </c>
      <c r="AH118" s="124"/>
      <c r="AI118" s="2"/>
      <c r="AJ118" s="2">
        <v>13.69</v>
      </c>
      <c r="AK118" s="121"/>
      <c r="AL118" s="2"/>
      <c r="AM118" s="2">
        <v>13.69</v>
      </c>
      <c r="AN118" s="121"/>
      <c r="AO118" s="19">
        <v>31</v>
      </c>
    </row>
    <row r="119" spans="1:41">
      <c r="A119" s="117">
        <f t="shared" si="51"/>
        <v>118</v>
      </c>
      <c r="B119" t="s">
        <v>33</v>
      </c>
      <c r="C119" s="109">
        <v>2</v>
      </c>
      <c r="D119" t="s">
        <v>170</v>
      </c>
      <c r="E119" s="19" t="s">
        <v>170</v>
      </c>
      <c r="F119" s="19" t="s">
        <v>168</v>
      </c>
      <c r="G119" s="29"/>
      <c r="H119" s="29"/>
      <c r="I119" s="19"/>
      <c r="J119" s="19" t="s">
        <v>70</v>
      </c>
      <c r="K119" s="29">
        <v>6.42</v>
      </c>
      <c r="L119" s="29">
        <v>75.13</v>
      </c>
      <c r="M119" s="29">
        <v>6.68</v>
      </c>
      <c r="N119" s="29">
        <v>11.77</v>
      </c>
      <c r="O119" s="121">
        <f t="shared" si="52"/>
        <v>99.999999999999986</v>
      </c>
      <c r="P119" s="33">
        <v>6.42</v>
      </c>
      <c r="Q119" s="33">
        <v>75.13</v>
      </c>
      <c r="R119" s="33">
        <v>6.68</v>
      </c>
      <c r="S119" s="33">
        <v>11.77</v>
      </c>
      <c r="T119" s="121"/>
      <c r="U119" s="19" t="s">
        <v>70</v>
      </c>
      <c r="V119" s="29">
        <v>34.96</v>
      </c>
      <c r="W119" s="29">
        <v>4.5999999999999996</v>
      </c>
      <c r="X119" s="29">
        <v>0.08</v>
      </c>
      <c r="Y119" s="29">
        <v>0.08</v>
      </c>
      <c r="Z119" s="29">
        <v>48.51</v>
      </c>
      <c r="AA119" s="29">
        <v>0.02</v>
      </c>
      <c r="AB119" s="122">
        <f t="shared" si="53"/>
        <v>88.249999999999986</v>
      </c>
      <c r="AC119" s="123">
        <f>100*V119/$AB$119</f>
        <v>39.614730878186975</v>
      </c>
      <c r="AD119" s="123">
        <f t="shared" ref="AD119:AH119" si="55">100*W119/$AB$119</f>
        <v>5.212464589235128</v>
      </c>
      <c r="AE119" s="123">
        <f t="shared" si="55"/>
        <v>9.0651558073654409E-2</v>
      </c>
      <c r="AF119" s="123">
        <f t="shared" si="55"/>
        <v>9.0651558073654409E-2</v>
      </c>
      <c r="AG119" s="123">
        <f t="shared" si="55"/>
        <v>54.968838526912187</v>
      </c>
      <c r="AH119" s="124">
        <f t="shared" si="55"/>
        <v>2.2662889518413602E-2</v>
      </c>
      <c r="AJ119" s="2">
        <v>12.548</v>
      </c>
      <c r="AL119">
        <f>AM119*(Q119+R119+S119)/(Q119+R119)</f>
        <v>14.35328003911502</v>
      </c>
      <c r="AM119" s="2">
        <v>12.548</v>
      </c>
      <c r="AN119" s="3">
        <f>AM119*(Q119+R119+S119)/100</f>
        <v>11.742418399999998</v>
      </c>
      <c r="AO119" s="19">
        <v>38</v>
      </c>
    </row>
    <row r="120" spans="1:41">
      <c r="A120" s="117">
        <f t="shared" si="51"/>
        <v>119</v>
      </c>
      <c r="B120" t="s">
        <v>33</v>
      </c>
      <c r="C120" s="109">
        <v>2</v>
      </c>
      <c r="D120" t="s">
        <v>170</v>
      </c>
      <c r="E120" s="3" t="s">
        <v>170</v>
      </c>
      <c r="F120" s="3" t="s">
        <v>54</v>
      </c>
      <c r="J120" s="3" t="s">
        <v>55</v>
      </c>
      <c r="N120">
        <v>13.17</v>
      </c>
      <c r="O120" s="121">
        <f t="shared" si="52"/>
        <v>13.17</v>
      </c>
      <c r="P120" s="123"/>
      <c r="Q120" s="123"/>
      <c r="R120" s="123"/>
      <c r="S120" s="123"/>
      <c r="T120" s="121"/>
      <c r="U120" s="19" t="s">
        <v>69</v>
      </c>
      <c r="V120">
        <v>37.729999999999997</v>
      </c>
      <c r="W120">
        <v>4.84</v>
      </c>
      <c r="X120">
        <v>0.06</v>
      </c>
      <c r="Y120">
        <v>0.04</v>
      </c>
      <c r="Z120">
        <v>44.15</v>
      </c>
      <c r="AB120" s="122">
        <f t="shared" si="53"/>
        <v>86.82</v>
      </c>
      <c r="AC120" s="123">
        <f>100*V120/$AB$120</f>
        <v>43.457728633955305</v>
      </c>
      <c r="AD120" s="123">
        <f t="shared" ref="AD120:AG120" si="56">100*W120/$AB$120</f>
        <v>5.5747523612070955</v>
      </c>
      <c r="AE120" s="123">
        <f t="shared" si="56"/>
        <v>6.9108500345542501E-2</v>
      </c>
      <c r="AF120" s="123">
        <f t="shared" si="56"/>
        <v>4.6072333563695007E-2</v>
      </c>
      <c r="AG120" s="123">
        <f t="shared" si="56"/>
        <v>50.852338170928363</v>
      </c>
      <c r="AH120" s="124"/>
      <c r="AJ120" s="2">
        <v>13.49</v>
      </c>
      <c r="AL120"/>
      <c r="AM120" s="2">
        <v>13.49</v>
      </c>
      <c r="AN120" s="3"/>
      <c r="AO120" s="3">
        <v>7</v>
      </c>
    </row>
    <row r="121" spans="1:41">
      <c r="A121" s="117">
        <f t="shared" si="51"/>
        <v>120</v>
      </c>
      <c r="B121" t="s">
        <v>33</v>
      </c>
      <c r="C121" s="109">
        <v>2</v>
      </c>
      <c r="D121" t="s">
        <v>170</v>
      </c>
      <c r="E121" s="19" t="s">
        <v>170</v>
      </c>
      <c r="F121" s="19" t="s">
        <v>54</v>
      </c>
      <c r="G121" s="29"/>
      <c r="H121" s="29"/>
      <c r="I121" s="19"/>
      <c r="J121" s="19" t="s">
        <v>69</v>
      </c>
      <c r="K121" s="29">
        <v>0</v>
      </c>
      <c r="L121" s="29">
        <v>79.33</v>
      </c>
      <c r="M121" s="29">
        <v>9.98</v>
      </c>
      <c r="N121" s="29">
        <v>10.69</v>
      </c>
      <c r="O121" s="121">
        <f t="shared" si="52"/>
        <v>100</v>
      </c>
      <c r="P121" s="123">
        <v>0</v>
      </c>
      <c r="Q121" s="33">
        <v>79.33</v>
      </c>
      <c r="R121" s="33">
        <v>9.98</v>
      </c>
      <c r="S121" s="33">
        <v>10.69</v>
      </c>
      <c r="T121" s="121"/>
      <c r="U121" s="19" t="s">
        <v>215</v>
      </c>
      <c r="V121" s="29">
        <v>45.12</v>
      </c>
      <c r="W121" s="29">
        <v>5.31</v>
      </c>
      <c r="X121" s="29">
        <v>0.38</v>
      </c>
      <c r="Y121" s="29">
        <v>0.28000000000000003</v>
      </c>
      <c r="Z121" s="29">
        <v>48.91</v>
      </c>
      <c r="AA121" s="29"/>
      <c r="AB121" s="122">
        <f t="shared" si="53"/>
        <v>100</v>
      </c>
      <c r="AC121" s="123">
        <f>100*V121/$AB$121</f>
        <v>45.12</v>
      </c>
      <c r="AD121" s="123">
        <f t="shared" ref="AD121:AG121" si="57">100*W121/$AB$121</f>
        <v>5.31</v>
      </c>
      <c r="AE121" s="123">
        <f t="shared" si="57"/>
        <v>0.38</v>
      </c>
      <c r="AF121" s="123">
        <f t="shared" si="57"/>
        <v>0.28000000000000003</v>
      </c>
      <c r="AG121" s="123">
        <f t="shared" si="57"/>
        <v>48.91</v>
      </c>
      <c r="AH121" s="124"/>
      <c r="AJ121" s="2">
        <v>13.51</v>
      </c>
      <c r="AL121">
        <f>AM121*(Q121+R121+S121)/(Q121+R121)</f>
        <v>15.127085432762287</v>
      </c>
      <c r="AM121" s="2">
        <v>13.51</v>
      </c>
      <c r="AN121" s="3"/>
      <c r="AO121" s="19">
        <v>31</v>
      </c>
    </row>
    <row r="122" spans="1:41">
      <c r="A122" s="117">
        <f t="shared" si="51"/>
        <v>121</v>
      </c>
      <c r="B122" t="s">
        <v>33</v>
      </c>
      <c r="C122" s="109">
        <v>2</v>
      </c>
      <c r="D122" t="s">
        <v>170</v>
      </c>
      <c r="E122" s="19" t="s">
        <v>170</v>
      </c>
      <c r="F122" s="19" t="s">
        <v>54</v>
      </c>
      <c r="G122" s="29"/>
      <c r="H122" s="29"/>
      <c r="I122" s="19"/>
      <c r="J122" s="19" t="s">
        <v>71</v>
      </c>
      <c r="K122" s="29">
        <v>4</v>
      </c>
      <c r="L122" s="29">
        <v>79.400000000000006</v>
      </c>
      <c r="M122" s="29">
        <v>10.1</v>
      </c>
      <c r="N122" s="29">
        <v>6.4</v>
      </c>
      <c r="O122" s="121">
        <f t="shared" si="52"/>
        <v>99.9</v>
      </c>
      <c r="P122" s="123">
        <f>100*K122/$O$122</f>
        <v>4.0040040040040035</v>
      </c>
      <c r="Q122" s="123">
        <f t="shared" ref="Q122:S122" si="58">100*L122/$O$122</f>
        <v>79.47947947947948</v>
      </c>
      <c r="R122" s="123">
        <f t="shared" si="58"/>
        <v>10.11011011011011</v>
      </c>
      <c r="S122" s="123">
        <f t="shared" si="58"/>
        <v>6.4064064064064059</v>
      </c>
      <c r="T122" s="121"/>
      <c r="U122" s="19" t="s">
        <v>69</v>
      </c>
      <c r="V122" s="29">
        <v>40.799999999999997</v>
      </c>
      <c r="W122" s="29">
        <v>5.7</v>
      </c>
      <c r="X122" s="29">
        <v>0.21</v>
      </c>
      <c r="Y122" s="29">
        <v>0</v>
      </c>
      <c r="Z122" s="29">
        <v>46.62</v>
      </c>
      <c r="AA122" s="29"/>
      <c r="AB122" s="122">
        <f t="shared" si="53"/>
        <v>93.33</v>
      </c>
      <c r="AC122" s="123">
        <f>100*V122/$AB$122</f>
        <v>43.715846994535518</v>
      </c>
      <c r="AD122" s="123">
        <f t="shared" ref="AD122:AG122" si="59">100*W122/$AB$122</f>
        <v>6.1073609771777564</v>
      </c>
      <c r="AE122" s="123">
        <f t="shared" si="59"/>
        <v>0.22500803600128577</v>
      </c>
      <c r="AF122" s="123">
        <f t="shared" si="59"/>
        <v>0</v>
      </c>
      <c r="AG122" s="123">
        <f t="shared" si="59"/>
        <v>49.951783992285442</v>
      </c>
      <c r="AH122" s="124"/>
      <c r="AJ122" s="2">
        <v>13.82</v>
      </c>
      <c r="AL122">
        <f>AM122*(Q122+R122+S122)/(Q122+R122)</f>
        <v>14.808245810055867</v>
      </c>
      <c r="AM122" s="2">
        <v>13.82</v>
      </c>
      <c r="AN122" s="3">
        <f>AM122*(Q122+R122+S122)/100</f>
        <v>13.266646646646647</v>
      </c>
      <c r="AO122" s="19">
        <v>32</v>
      </c>
    </row>
    <row r="123" spans="1:41">
      <c r="A123" s="117">
        <f>A122+1</f>
        <v>122</v>
      </c>
      <c r="B123" t="s">
        <v>33</v>
      </c>
      <c r="C123" s="109">
        <v>2</v>
      </c>
      <c r="D123" t="s">
        <v>170</v>
      </c>
      <c r="E123" s="19" t="s">
        <v>170</v>
      </c>
      <c r="F123" s="19" t="s">
        <v>54</v>
      </c>
      <c r="G123" s="29"/>
      <c r="H123" s="29"/>
      <c r="I123" s="19"/>
      <c r="J123" s="19" t="s">
        <v>69</v>
      </c>
      <c r="K123" s="29"/>
      <c r="L123" s="29"/>
      <c r="M123" s="29"/>
      <c r="N123" s="29">
        <v>15.7</v>
      </c>
      <c r="O123" s="121">
        <f t="shared" si="52"/>
        <v>15.7</v>
      </c>
      <c r="P123" s="123"/>
      <c r="Q123" s="123"/>
      <c r="R123" s="123"/>
      <c r="S123" s="123"/>
      <c r="T123" s="121"/>
      <c r="U123" s="19" t="s">
        <v>69</v>
      </c>
      <c r="V123" s="29">
        <v>35</v>
      </c>
      <c r="W123" s="29">
        <v>5.2</v>
      </c>
      <c r="X123" s="29">
        <v>0</v>
      </c>
      <c r="Y123" s="29">
        <v>0</v>
      </c>
      <c r="Z123" s="29">
        <v>44</v>
      </c>
      <c r="AA123" s="29"/>
      <c r="AB123" s="122">
        <f t="shared" si="53"/>
        <v>84.2</v>
      </c>
      <c r="AC123" s="123">
        <f>100*V123/$AB$123</f>
        <v>41.567695961995248</v>
      </c>
      <c r="AD123" s="123">
        <f t="shared" ref="AD123:AG123" si="60">100*W123/$AB$123</f>
        <v>6.1757719714964372</v>
      </c>
      <c r="AE123" s="123">
        <f t="shared" si="60"/>
        <v>0</v>
      </c>
      <c r="AF123" s="123">
        <f t="shared" si="60"/>
        <v>0</v>
      </c>
      <c r="AG123" s="123">
        <f t="shared" si="60"/>
        <v>52.256532066508314</v>
      </c>
      <c r="AH123" s="124"/>
      <c r="AJ123" s="2">
        <v>12.96</v>
      </c>
      <c r="AL123"/>
      <c r="AM123" s="2">
        <v>12.96</v>
      </c>
      <c r="AN123" s="3"/>
      <c r="AO123" s="19">
        <v>30</v>
      </c>
    </row>
    <row r="124" spans="1:41">
      <c r="A124" s="117">
        <f>A123+1</f>
        <v>123</v>
      </c>
      <c r="B124" t="s">
        <v>33</v>
      </c>
      <c r="C124" s="109">
        <v>2</v>
      </c>
      <c r="D124" t="s">
        <v>170</v>
      </c>
      <c r="E124" s="3" t="s">
        <v>18</v>
      </c>
      <c r="F124" s="3" t="s">
        <v>50</v>
      </c>
      <c r="G124">
        <v>0.40300000000000002</v>
      </c>
      <c r="H124">
        <v>4.2000000000000003E-2</v>
      </c>
      <c r="O124" s="121"/>
      <c r="P124" s="123"/>
      <c r="Q124" s="123"/>
      <c r="R124" s="123"/>
      <c r="S124" s="123"/>
      <c r="T124" s="121"/>
      <c r="AB124" s="122"/>
      <c r="AC124" s="123"/>
      <c r="AD124" s="123"/>
      <c r="AE124" s="123"/>
      <c r="AF124" s="123"/>
      <c r="AG124" s="123"/>
      <c r="AH124" s="124"/>
      <c r="AL124"/>
      <c r="AM124"/>
      <c r="AN124" s="3"/>
      <c r="AO124" s="3">
        <v>6</v>
      </c>
    </row>
    <row r="125" spans="1:41">
      <c r="A125" s="117">
        <f t="shared" si="51"/>
        <v>124</v>
      </c>
      <c r="B125" t="s">
        <v>33</v>
      </c>
      <c r="C125" s="109">
        <v>2</v>
      </c>
      <c r="D125" t="s">
        <v>170</v>
      </c>
      <c r="E125" s="3" t="s">
        <v>19</v>
      </c>
      <c r="F125" s="3" t="s">
        <v>50</v>
      </c>
      <c r="G125">
        <v>0.40300000000000002</v>
      </c>
      <c r="H125">
        <v>4.2000000000000003E-2</v>
      </c>
      <c r="O125" s="121"/>
      <c r="P125" s="123"/>
      <c r="Q125" s="123"/>
      <c r="R125" s="123"/>
      <c r="S125" s="123"/>
      <c r="T125" s="121"/>
      <c r="AB125" s="122"/>
      <c r="AC125" s="123"/>
      <c r="AD125" s="123"/>
      <c r="AE125" s="123"/>
      <c r="AF125" s="123"/>
      <c r="AG125" s="123"/>
      <c r="AH125" s="124"/>
      <c r="AL125"/>
      <c r="AM125"/>
      <c r="AN125" s="3"/>
      <c r="AO125" s="3">
        <v>6</v>
      </c>
    </row>
    <row r="126" spans="1:41">
      <c r="A126" s="117">
        <f t="shared" si="51"/>
        <v>125</v>
      </c>
      <c r="B126" t="s">
        <v>33</v>
      </c>
      <c r="C126" s="109">
        <v>2</v>
      </c>
      <c r="D126" t="s">
        <v>170</v>
      </c>
      <c r="E126" s="3" t="s">
        <v>20</v>
      </c>
      <c r="F126" s="3" t="s">
        <v>50</v>
      </c>
      <c r="G126">
        <v>0.40300000000000002</v>
      </c>
      <c r="H126">
        <v>4.2000000000000003E-2</v>
      </c>
      <c r="O126" s="121"/>
      <c r="P126" s="123"/>
      <c r="Q126" s="123"/>
      <c r="R126" s="123"/>
      <c r="S126" s="123"/>
      <c r="T126" s="121"/>
      <c r="AB126" s="122"/>
      <c r="AC126" s="123"/>
      <c r="AD126" s="123"/>
      <c r="AE126" s="123"/>
      <c r="AF126" s="123"/>
      <c r="AG126" s="123"/>
      <c r="AH126" s="124"/>
      <c r="AL126"/>
      <c r="AM126"/>
      <c r="AN126" s="3"/>
      <c r="AO126" s="3">
        <v>6</v>
      </c>
    </row>
    <row r="127" spans="1:41">
      <c r="A127" s="117">
        <f t="shared" si="51"/>
        <v>126</v>
      </c>
      <c r="B127" t="s">
        <v>33</v>
      </c>
      <c r="C127" s="109">
        <v>2</v>
      </c>
      <c r="D127" t="s">
        <v>170</v>
      </c>
      <c r="E127" s="3" t="s">
        <v>21</v>
      </c>
      <c r="F127" s="3" t="s">
        <v>50</v>
      </c>
      <c r="G127">
        <v>0.40300000000000002</v>
      </c>
      <c r="H127">
        <v>4.2000000000000003E-2</v>
      </c>
      <c r="O127" s="121"/>
      <c r="P127" s="123"/>
      <c r="Q127" s="123"/>
      <c r="R127" s="123"/>
      <c r="S127" s="123"/>
      <c r="T127" s="121"/>
      <c r="AB127" s="122"/>
      <c r="AC127" s="123"/>
      <c r="AD127" s="123"/>
      <c r="AE127" s="123"/>
      <c r="AF127" s="123"/>
      <c r="AG127" s="123"/>
      <c r="AH127" s="124"/>
      <c r="AL127"/>
      <c r="AM127"/>
      <c r="AN127" s="3"/>
      <c r="AO127" s="3">
        <v>6</v>
      </c>
    </row>
    <row r="128" spans="1:41">
      <c r="A128" s="117">
        <f t="shared" si="51"/>
        <v>127</v>
      </c>
      <c r="B128" t="s">
        <v>33</v>
      </c>
      <c r="C128" s="109">
        <v>2</v>
      </c>
      <c r="D128" t="s">
        <v>170</v>
      </c>
      <c r="E128" s="3" t="s">
        <v>22</v>
      </c>
      <c r="F128" s="3" t="s">
        <v>50</v>
      </c>
      <c r="G128">
        <v>0.59199999999999997</v>
      </c>
      <c r="H128">
        <v>6.4000000000000001E-2</v>
      </c>
      <c r="O128" s="121"/>
      <c r="P128" s="123"/>
      <c r="Q128" s="123"/>
      <c r="R128" s="123"/>
      <c r="S128" s="123"/>
      <c r="T128" s="121"/>
      <c r="AB128" s="122"/>
      <c r="AC128" s="123"/>
      <c r="AD128" s="123"/>
      <c r="AE128" s="123"/>
      <c r="AF128" s="123"/>
      <c r="AG128" s="123"/>
      <c r="AH128" s="124"/>
      <c r="AL128"/>
      <c r="AM128"/>
      <c r="AN128" s="3"/>
      <c r="AO128" s="3">
        <v>6</v>
      </c>
    </row>
    <row r="129" spans="1:41">
      <c r="A129" s="117">
        <f t="shared" si="51"/>
        <v>128</v>
      </c>
      <c r="B129" t="s">
        <v>33</v>
      </c>
      <c r="C129" s="109">
        <v>2</v>
      </c>
      <c r="D129" t="s">
        <v>170</v>
      </c>
      <c r="E129" s="3" t="s">
        <v>23</v>
      </c>
      <c r="F129" s="3" t="s">
        <v>50</v>
      </c>
      <c r="G129">
        <v>0.69899999999999995</v>
      </c>
      <c r="H129">
        <v>6.4000000000000001E-2</v>
      </c>
      <c r="O129" s="121"/>
      <c r="P129" s="123"/>
      <c r="Q129" s="123"/>
      <c r="R129" s="123"/>
      <c r="S129" s="123"/>
      <c r="T129" s="121"/>
      <c r="AB129" s="122"/>
      <c r="AC129" s="123"/>
      <c r="AD129" s="123"/>
      <c r="AE129" s="123"/>
      <c r="AF129" s="123"/>
      <c r="AG129" s="123"/>
      <c r="AH129" s="124"/>
      <c r="AL129"/>
      <c r="AM129"/>
      <c r="AN129" s="3"/>
      <c r="AO129" s="3">
        <v>6</v>
      </c>
    </row>
    <row r="130" spans="1:41">
      <c r="A130" s="117">
        <f t="shared" si="51"/>
        <v>129</v>
      </c>
      <c r="B130" t="s">
        <v>33</v>
      </c>
      <c r="C130" s="109">
        <v>2</v>
      </c>
      <c r="D130" t="s">
        <v>170</v>
      </c>
      <c r="E130" s="3" t="s">
        <v>24</v>
      </c>
      <c r="F130" s="3" t="s">
        <v>50</v>
      </c>
      <c r="G130">
        <v>0.749</v>
      </c>
      <c r="H130">
        <v>6.3E-2</v>
      </c>
      <c r="O130" s="121"/>
      <c r="P130" s="123"/>
      <c r="Q130" s="123"/>
      <c r="R130" s="123"/>
      <c r="S130" s="123"/>
      <c r="T130" s="121"/>
      <c r="AB130" s="122"/>
      <c r="AC130" s="123"/>
      <c r="AD130" s="123"/>
      <c r="AE130" s="123"/>
      <c r="AF130" s="123"/>
      <c r="AG130" s="123"/>
      <c r="AH130" s="124"/>
      <c r="AL130"/>
      <c r="AM130"/>
      <c r="AN130" s="3"/>
      <c r="AO130" s="3">
        <v>6</v>
      </c>
    </row>
    <row r="131" spans="1:41">
      <c r="A131" s="117">
        <f t="shared" si="51"/>
        <v>130</v>
      </c>
      <c r="B131" t="s">
        <v>33</v>
      </c>
      <c r="C131" s="109">
        <v>2</v>
      </c>
      <c r="D131" t="s">
        <v>170</v>
      </c>
      <c r="E131" s="3" t="s">
        <v>25</v>
      </c>
      <c r="F131" s="3" t="s">
        <v>50</v>
      </c>
      <c r="G131">
        <v>0.89400000000000002</v>
      </c>
      <c r="H131">
        <v>7.6999999999999999E-2</v>
      </c>
      <c r="O131" s="121"/>
      <c r="P131" s="123"/>
      <c r="Q131" s="123"/>
      <c r="R131" s="123"/>
      <c r="S131" s="123"/>
      <c r="T131" s="121"/>
      <c r="AB131" s="122"/>
      <c r="AC131" s="123"/>
      <c r="AD131" s="123"/>
      <c r="AE131" s="123"/>
      <c r="AF131" s="123"/>
      <c r="AG131" s="123"/>
      <c r="AH131" s="124"/>
      <c r="AL131"/>
      <c r="AM131"/>
      <c r="AN131" s="3"/>
      <c r="AO131" s="3">
        <v>6</v>
      </c>
    </row>
    <row r="132" spans="1:41">
      <c r="A132" s="117">
        <f t="shared" ref="A132:A195" si="61">A131+1</f>
        <v>131</v>
      </c>
      <c r="B132" t="s">
        <v>33</v>
      </c>
      <c r="C132" s="109">
        <v>2</v>
      </c>
      <c r="D132" t="s">
        <v>170</v>
      </c>
      <c r="E132" s="3" t="s">
        <v>26</v>
      </c>
      <c r="F132" s="3" t="s">
        <v>50</v>
      </c>
      <c r="G132">
        <v>0.96799999999999997</v>
      </c>
      <c r="H132">
        <v>0.11</v>
      </c>
      <c r="O132" s="121"/>
      <c r="P132" s="123"/>
      <c r="Q132" s="123"/>
      <c r="R132" s="123"/>
      <c r="S132" s="123"/>
      <c r="T132" s="121"/>
      <c r="AB132" s="122"/>
      <c r="AC132" s="123"/>
      <c r="AD132" s="123"/>
      <c r="AE132" s="123"/>
      <c r="AF132" s="123"/>
      <c r="AG132" s="123"/>
      <c r="AH132" s="124"/>
      <c r="AL132"/>
      <c r="AM132"/>
      <c r="AN132" s="3"/>
      <c r="AO132" s="3">
        <v>6</v>
      </c>
    </row>
    <row r="133" spans="1:41">
      <c r="A133" s="117">
        <f t="shared" si="61"/>
        <v>132</v>
      </c>
      <c r="B133" t="s">
        <v>33</v>
      </c>
      <c r="C133" s="109">
        <v>2</v>
      </c>
      <c r="D133" t="s">
        <v>170</v>
      </c>
      <c r="E133" s="3" t="s">
        <v>27</v>
      </c>
      <c r="F133" s="3" t="s">
        <v>50</v>
      </c>
      <c r="G133">
        <v>0.45100000000000001</v>
      </c>
      <c r="H133">
        <v>0.04</v>
      </c>
      <c r="O133" s="121"/>
      <c r="P133" s="123"/>
      <c r="Q133" s="123"/>
      <c r="R133" s="123"/>
      <c r="S133" s="123"/>
      <c r="T133" s="121"/>
      <c r="AB133" s="122"/>
      <c r="AC133" s="123"/>
      <c r="AD133" s="123"/>
      <c r="AE133" s="123"/>
      <c r="AF133" s="123"/>
      <c r="AG133" s="123"/>
      <c r="AH133" s="124"/>
      <c r="AL133"/>
      <c r="AM133"/>
      <c r="AN133" s="3"/>
      <c r="AO133" s="3">
        <v>6</v>
      </c>
    </row>
    <row r="134" spans="1:41">
      <c r="A134" s="117">
        <f t="shared" si="61"/>
        <v>133</v>
      </c>
      <c r="B134" t="s">
        <v>33</v>
      </c>
      <c r="C134" s="109">
        <v>2</v>
      </c>
      <c r="D134" t="s">
        <v>170</v>
      </c>
      <c r="E134" s="3" t="s">
        <v>18</v>
      </c>
      <c r="F134" s="3" t="s">
        <v>51</v>
      </c>
      <c r="G134">
        <v>0.63800000000000001</v>
      </c>
      <c r="H134">
        <v>5.3999999999999999E-2</v>
      </c>
      <c r="O134" s="121"/>
      <c r="P134" s="123"/>
      <c r="Q134" s="123"/>
      <c r="R134" s="123"/>
      <c r="S134" s="123"/>
      <c r="T134" s="121"/>
      <c r="AB134" s="122"/>
      <c r="AC134" s="123"/>
      <c r="AD134" s="123"/>
      <c r="AE134" s="123"/>
      <c r="AF134" s="123"/>
      <c r="AG134" s="123"/>
      <c r="AH134" s="124"/>
      <c r="AL134"/>
      <c r="AM134"/>
      <c r="AN134" s="3"/>
      <c r="AO134" s="3">
        <v>6</v>
      </c>
    </row>
    <row r="135" spans="1:41">
      <c r="A135" s="117">
        <f t="shared" si="61"/>
        <v>134</v>
      </c>
      <c r="B135" t="s">
        <v>33</v>
      </c>
      <c r="C135" s="109">
        <v>2</v>
      </c>
      <c r="D135" t="s">
        <v>170</v>
      </c>
      <c r="E135" s="3" t="s">
        <v>19</v>
      </c>
      <c r="F135" s="3" t="s">
        <v>51</v>
      </c>
      <c r="G135">
        <v>0.63800000000000001</v>
      </c>
      <c r="H135">
        <v>5.3999999999999999E-2</v>
      </c>
      <c r="O135" s="121"/>
      <c r="P135" s="123"/>
      <c r="Q135" s="123"/>
      <c r="R135" s="123"/>
      <c r="S135" s="123"/>
      <c r="T135" s="121"/>
      <c r="AB135" s="122"/>
      <c r="AC135" s="123"/>
      <c r="AD135" s="123"/>
      <c r="AE135" s="123"/>
      <c r="AF135" s="123"/>
      <c r="AG135" s="123"/>
      <c r="AH135" s="124"/>
      <c r="AL135"/>
      <c r="AM135"/>
      <c r="AN135" s="3"/>
      <c r="AO135" s="3">
        <v>6</v>
      </c>
    </row>
    <row r="136" spans="1:41">
      <c r="A136" s="117">
        <f t="shared" si="61"/>
        <v>135</v>
      </c>
      <c r="B136" t="s">
        <v>33</v>
      </c>
      <c r="C136" s="109">
        <v>2</v>
      </c>
      <c r="D136" t="s">
        <v>170</v>
      </c>
      <c r="E136" s="3" t="s">
        <v>20</v>
      </c>
      <c r="F136" s="3" t="s">
        <v>51</v>
      </c>
      <c r="G136">
        <v>0.63800000000000001</v>
      </c>
      <c r="H136">
        <v>5.3999999999999999E-2</v>
      </c>
      <c r="O136" s="121"/>
      <c r="P136" s="123"/>
      <c r="Q136" s="123"/>
      <c r="R136" s="123"/>
      <c r="S136" s="123"/>
      <c r="T136" s="121"/>
      <c r="AB136" s="122"/>
      <c r="AC136" s="123"/>
      <c r="AD136" s="123"/>
      <c r="AE136" s="123"/>
      <c r="AF136" s="123"/>
      <c r="AG136" s="123"/>
      <c r="AH136" s="124"/>
      <c r="AL136"/>
      <c r="AM136"/>
      <c r="AN136" s="3"/>
      <c r="AO136" s="3">
        <v>6</v>
      </c>
    </row>
    <row r="137" spans="1:41">
      <c r="A137" s="117">
        <f t="shared" si="61"/>
        <v>136</v>
      </c>
      <c r="B137" t="s">
        <v>33</v>
      </c>
      <c r="C137" s="109">
        <v>2</v>
      </c>
      <c r="D137" t="s">
        <v>170</v>
      </c>
      <c r="E137" s="3" t="s">
        <v>21</v>
      </c>
      <c r="F137" s="3" t="s">
        <v>51</v>
      </c>
      <c r="G137">
        <v>0.63800000000000001</v>
      </c>
      <c r="H137">
        <v>5.3999999999999999E-2</v>
      </c>
      <c r="O137" s="121"/>
      <c r="P137" s="123"/>
      <c r="Q137" s="123"/>
      <c r="R137" s="123"/>
      <c r="S137" s="123"/>
      <c r="T137" s="121"/>
      <c r="AB137" s="122"/>
      <c r="AC137" s="123"/>
      <c r="AD137" s="123"/>
      <c r="AE137" s="123"/>
      <c r="AF137" s="123"/>
      <c r="AG137" s="123"/>
      <c r="AH137" s="124"/>
      <c r="AL137"/>
      <c r="AM137"/>
      <c r="AN137" s="3"/>
      <c r="AO137" s="3">
        <v>6</v>
      </c>
    </row>
    <row r="138" spans="1:41">
      <c r="A138" s="117">
        <f t="shared" si="61"/>
        <v>137</v>
      </c>
      <c r="B138" t="s">
        <v>33</v>
      </c>
      <c r="C138" s="109">
        <v>2</v>
      </c>
      <c r="D138" t="s">
        <v>170</v>
      </c>
      <c r="E138" s="3" t="s">
        <v>22</v>
      </c>
      <c r="F138" s="3" t="s">
        <v>51</v>
      </c>
      <c r="G138">
        <v>0.75700000000000001</v>
      </c>
      <c r="H138">
        <v>6.3E-2</v>
      </c>
      <c r="O138" s="121"/>
      <c r="P138" s="123"/>
      <c r="Q138" s="123"/>
      <c r="R138" s="123"/>
      <c r="S138" s="123"/>
      <c r="T138" s="121"/>
      <c r="AB138" s="122"/>
      <c r="AC138" s="123"/>
      <c r="AD138" s="123"/>
      <c r="AE138" s="123"/>
      <c r="AF138" s="123"/>
      <c r="AG138" s="123"/>
      <c r="AH138" s="124"/>
      <c r="AL138"/>
      <c r="AM138"/>
      <c r="AN138" s="3"/>
      <c r="AO138" s="3">
        <v>6</v>
      </c>
    </row>
    <row r="139" spans="1:41">
      <c r="A139" s="117">
        <f t="shared" si="61"/>
        <v>138</v>
      </c>
      <c r="B139" t="s">
        <v>33</v>
      </c>
      <c r="C139" s="109">
        <v>2</v>
      </c>
      <c r="D139" t="s">
        <v>170</v>
      </c>
      <c r="E139" s="3" t="s">
        <v>23</v>
      </c>
      <c r="F139" s="3" t="s">
        <v>51</v>
      </c>
      <c r="G139">
        <v>0.99199999999999999</v>
      </c>
      <c r="H139">
        <v>0.1</v>
      </c>
      <c r="O139" s="121"/>
      <c r="P139" s="123"/>
      <c r="Q139" s="123"/>
      <c r="R139" s="123"/>
      <c r="S139" s="123"/>
      <c r="T139" s="121"/>
      <c r="AB139" s="122"/>
      <c r="AC139" s="123"/>
      <c r="AD139" s="123"/>
      <c r="AE139" s="123"/>
      <c r="AF139" s="123"/>
      <c r="AG139" s="123"/>
      <c r="AH139" s="124"/>
      <c r="AL139"/>
      <c r="AM139"/>
      <c r="AN139" s="3"/>
      <c r="AO139" s="3">
        <v>6</v>
      </c>
    </row>
    <row r="140" spans="1:41">
      <c r="A140" s="117">
        <f t="shared" si="61"/>
        <v>139</v>
      </c>
      <c r="B140" t="s">
        <v>33</v>
      </c>
      <c r="C140" s="109">
        <v>2</v>
      </c>
      <c r="D140" t="s">
        <v>170</v>
      </c>
      <c r="E140" s="3" t="s">
        <v>24</v>
      </c>
      <c r="F140" s="3" t="s">
        <v>51</v>
      </c>
      <c r="G140">
        <v>0.97099999999999997</v>
      </c>
      <c r="H140">
        <v>0.10100000000000001</v>
      </c>
      <c r="O140" s="121"/>
      <c r="P140" s="123"/>
      <c r="Q140" s="123"/>
      <c r="R140" s="123"/>
      <c r="S140" s="123"/>
      <c r="T140" s="121"/>
      <c r="AB140" s="122"/>
      <c r="AC140" s="123"/>
      <c r="AD140" s="123"/>
      <c r="AE140" s="123"/>
      <c r="AF140" s="123"/>
      <c r="AG140" s="123"/>
      <c r="AH140" s="124"/>
      <c r="AL140"/>
      <c r="AM140"/>
      <c r="AN140" s="3"/>
      <c r="AO140" s="3">
        <v>6</v>
      </c>
    </row>
    <row r="141" spans="1:41">
      <c r="A141" s="117">
        <f t="shared" si="61"/>
        <v>140</v>
      </c>
      <c r="B141" t="s">
        <v>33</v>
      </c>
      <c r="C141" s="109">
        <v>2</v>
      </c>
      <c r="D141" t="s">
        <v>170</v>
      </c>
      <c r="E141" s="3" t="s">
        <v>25</v>
      </c>
      <c r="F141" s="3" t="s">
        <v>51</v>
      </c>
      <c r="G141">
        <v>1.0029999999999999</v>
      </c>
      <c r="H141">
        <v>0.13400000000000001</v>
      </c>
      <c r="O141" s="121"/>
      <c r="P141" s="123"/>
      <c r="Q141" s="123"/>
      <c r="R141" s="123"/>
      <c r="S141" s="123"/>
      <c r="T141" s="121"/>
      <c r="AB141" s="122"/>
      <c r="AC141" s="123"/>
      <c r="AD141" s="123"/>
      <c r="AE141" s="123"/>
      <c r="AF141" s="123"/>
      <c r="AG141" s="123"/>
      <c r="AH141" s="124"/>
      <c r="AL141"/>
      <c r="AM141"/>
      <c r="AN141" s="3"/>
      <c r="AO141" s="3">
        <v>6</v>
      </c>
    </row>
    <row r="142" spans="1:41">
      <c r="A142" s="117">
        <f t="shared" si="61"/>
        <v>141</v>
      </c>
      <c r="B142" t="s">
        <v>33</v>
      </c>
      <c r="C142" s="109">
        <v>2</v>
      </c>
      <c r="D142" t="s">
        <v>170</v>
      </c>
      <c r="E142" s="3" t="s">
        <v>26</v>
      </c>
      <c r="F142" s="3" t="s">
        <v>51</v>
      </c>
      <c r="G142">
        <v>1.1140000000000001</v>
      </c>
      <c r="H142">
        <v>0.16200000000000001</v>
      </c>
      <c r="O142" s="121"/>
      <c r="P142" s="123"/>
      <c r="Q142" s="123"/>
      <c r="R142" s="123"/>
      <c r="S142" s="123"/>
      <c r="T142" s="121"/>
      <c r="AB142" s="122"/>
      <c r="AC142" s="123"/>
      <c r="AD142" s="123"/>
      <c r="AE142" s="123"/>
      <c r="AF142" s="123"/>
      <c r="AG142" s="123"/>
      <c r="AH142" s="124"/>
      <c r="AL142"/>
      <c r="AM142"/>
      <c r="AN142" s="3"/>
      <c r="AO142" s="3">
        <v>6</v>
      </c>
    </row>
    <row r="143" spans="1:41">
      <c r="A143" s="117">
        <f t="shared" si="61"/>
        <v>142</v>
      </c>
      <c r="B143" t="s">
        <v>33</v>
      </c>
      <c r="C143" s="109">
        <v>2</v>
      </c>
      <c r="D143" t="s">
        <v>170</v>
      </c>
      <c r="E143" s="3" t="s">
        <v>27</v>
      </c>
      <c r="F143" s="3" t="s">
        <v>51</v>
      </c>
      <c r="G143">
        <v>0.71299999999999997</v>
      </c>
      <c r="H143">
        <v>5.8000000000000003E-2</v>
      </c>
      <c r="O143" s="121"/>
      <c r="P143" s="123"/>
      <c r="Q143" s="123"/>
      <c r="R143" s="123"/>
      <c r="S143" s="123"/>
      <c r="T143" s="121"/>
      <c r="AB143" s="122"/>
      <c r="AC143" s="123"/>
      <c r="AD143" s="123"/>
      <c r="AE143" s="123"/>
      <c r="AF143" s="123"/>
      <c r="AG143" s="123"/>
      <c r="AH143" s="124"/>
      <c r="AL143"/>
      <c r="AM143"/>
      <c r="AN143" s="3"/>
      <c r="AO143" s="3">
        <v>6</v>
      </c>
    </row>
    <row r="144" spans="1:41" s="6" customFormat="1">
      <c r="A144" s="129">
        <f t="shared" si="61"/>
        <v>143</v>
      </c>
      <c r="B144" s="6" t="s">
        <v>33</v>
      </c>
      <c r="C144" s="130">
        <v>3</v>
      </c>
      <c r="D144" s="103" t="s">
        <v>142</v>
      </c>
      <c r="E144" s="102" t="s">
        <v>142</v>
      </c>
      <c r="F144" s="102" t="s">
        <v>144</v>
      </c>
      <c r="G144" s="103"/>
      <c r="H144" s="103"/>
      <c r="I144" s="102"/>
      <c r="J144" s="102" t="s">
        <v>69</v>
      </c>
      <c r="K144" s="103">
        <v>0</v>
      </c>
      <c r="L144" s="103">
        <v>52</v>
      </c>
      <c r="M144" s="103">
        <v>46</v>
      </c>
      <c r="N144" s="103">
        <v>2</v>
      </c>
      <c r="O144" s="131">
        <f t="shared" ref="O144:O206" si="62">SUM(K144:N144)</f>
        <v>100</v>
      </c>
      <c r="P144" s="132">
        <f>100*K144/$O$144</f>
        <v>0</v>
      </c>
      <c r="Q144" s="132">
        <f t="shared" ref="Q144:S144" si="63">100*L144/$O$144</f>
        <v>52</v>
      </c>
      <c r="R144" s="132">
        <f t="shared" si="63"/>
        <v>46</v>
      </c>
      <c r="S144" s="132">
        <f t="shared" si="63"/>
        <v>2</v>
      </c>
      <c r="T144" s="131"/>
      <c r="U144" s="102" t="s">
        <v>215</v>
      </c>
      <c r="V144" s="103">
        <v>46.7</v>
      </c>
      <c r="W144" s="103">
        <v>6.7</v>
      </c>
      <c r="X144" s="103">
        <v>2.12</v>
      </c>
      <c r="Y144" s="103">
        <v>0</v>
      </c>
      <c r="Z144" s="103">
        <v>44.4</v>
      </c>
      <c r="AA144" s="103"/>
      <c r="AB144" s="133">
        <f t="shared" ref="AB144:AB193" si="64">SUM(V144:AA144)</f>
        <v>99.92</v>
      </c>
      <c r="AC144" s="132">
        <f>100*V144/$AB$144</f>
        <v>46.73738991192954</v>
      </c>
      <c r="AD144" s="132">
        <f t="shared" ref="AD144:AG144" si="65">100*W144/$AB$144</f>
        <v>6.7053642914331464</v>
      </c>
      <c r="AE144" s="132">
        <f t="shared" si="65"/>
        <v>2.1216973578863092</v>
      </c>
      <c r="AF144" s="132">
        <f t="shared" si="65"/>
        <v>0</v>
      </c>
      <c r="AG144" s="132">
        <f t="shared" si="65"/>
        <v>44.435548438750999</v>
      </c>
      <c r="AH144" s="134"/>
      <c r="AK144" s="131">
        <v>20.100000000000001</v>
      </c>
      <c r="AL144" s="6">
        <f>AN144*100/(Q144+R144)</f>
        <v>20.510204081632654</v>
      </c>
      <c r="AM144" s="135">
        <f>AN144*100/(Q144+R144+S144)</f>
        <v>20.100000000000001</v>
      </c>
      <c r="AN144" s="131">
        <v>20.100000000000001</v>
      </c>
      <c r="AO144" s="102">
        <v>27</v>
      </c>
    </row>
    <row r="145" spans="1:41">
      <c r="A145" s="117">
        <f t="shared" si="61"/>
        <v>144</v>
      </c>
      <c r="B145" t="s">
        <v>33</v>
      </c>
      <c r="C145" s="109">
        <v>3</v>
      </c>
      <c r="D145" s="29" t="s">
        <v>142</v>
      </c>
      <c r="E145" s="19" t="s">
        <v>142</v>
      </c>
      <c r="F145" s="19" t="s">
        <v>144</v>
      </c>
      <c r="G145" s="29"/>
      <c r="H145" s="29"/>
      <c r="I145" s="19"/>
      <c r="J145" s="19" t="s">
        <v>69</v>
      </c>
      <c r="K145" s="123">
        <f>0.8</f>
        <v>0.8</v>
      </c>
      <c r="L145" s="29">
        <v>52.75</v>
      </c>
      <c r="M145" s="29">
        <v>44.3</v>
      </c>
      <c r="N145" s="29">
        <v>2.15</v>
      </c>
      <c r="O145" s="122">
        <f>SUM(K145:N145)</f>
        <v>100</v>
      </c>
      <c r="P145" s="123">
        <f>0.8</f>
        <v>0.8</v>
      </c>
      <c r="Q145" s="29">
        <v>52.75</v>
      </c>
      <c r="R145" s="29">
        <v>44.3</v>
      </c>
      <c r="S145" s="29">
        <v>2.15</v>
      </c>
      <c r="T145" s="121"/>
      <c r="U145" s="19" t="s">
        <v>215</v>
      </c>
      <c r="V145" s="29">
        <v>46.8</v>
      </c>
      <c r="W145" s="29">
        <v>6.9</v>
      </c>
      <c r="X145" s="29">
        <v>2.11</v>
      </c>
      <c r="Y145" s="29">
        <v>0</v>
      </c>
      <c r="Z145" s="29">
        <v>44.19</v>
      </c>
      <c r="AA145" s="29"/>
      <c r="AB145" s="122">
        <f t="shared" si="64"/>
        <v>100</v>
      </c>
      <c r="AC145" s="29">
        <v>46.8</v>
      </c>
      <c r="AD145" s="29">
        <v>6.9</v>
      </c>
      <c r="AE145" s="29">
        <v>2.11</v>
      </c>
      <c r="AF145" s="29">
        <v>0</v>
      </c>
      <c r="AG145" s="29">
        <v>44.19</v>
      </c>
      <c r="AH145" s="22"/>
      <c r="AK145" s="121">
        <v>21.11</v>
      </c>
      <c r="AL145">
        <f>AN145*100/(Q145+R145)</f>
        <v>21.751674394641938</v>
      </c>
      <c r="AM145" s="128">
        <f>AN145*100/(Q145+R145+S145)</f>
        <v>21.280241935483872</v>
      </c>
      <c r="AN145" s="121">
        <v>21.11</v>
      </c>
      <c r="AO145" s="19">
        <v>28</v>
      </c>
    </row>
    <row r="146" spans="1:41">
      <c r="A146" s="117">
        <f t="shared" si="61"/>
        <v>145</v>
      </c>
      <c r="B146" t="s">
        <v>33</v>
      </c>
      <c r="C146" s="109">
        <v>3</v>
      </c>
      <c r="D146" s="29" t="s">
        <v>142</v>
      </c>
      <c r="E146" s="19" t="s">
        <v>142</v>
      </c>
      <c r="F146" s="19" t="s">
        <v>149</v>
      </c>
      <c r="G146" s="29"/>
      <c r="H146" s="29"/>
      <c r="I146" s="19"/>
      <c r="J146" s="19"/>
      <c r="K146" s="123"/>
      <c r="L146" s="29"/>
      <c r="M146" s="29"/>
      <c r="N146" s="29"/>
      <c r="O146" s="122"/>
      <c r="P146" s="123"/>
      <c r="Q146" s="29"/>
      <c r="R146" s="29"/>
      <c r="S146" s="29"/>
      <c r="T146" s="121"/>
      <c r="U146" s="19" t="s">
        <v>215</v>
      </c>
      <c r="V146" s="29">
        <v>44.7</v>
      </c>
      <c r="W146" s="29">
        <v>6.1</v>
      </c>
      <c r="X146" s="29">
        <v>0.2</v>
      </c>
      <c r="Y146" s="29">
        <v>0.2</v>
      </c>
      <c r="Z146" s="29">
        <v>48.9</v>
      </c>
      <c r="AA146" s="29"/>
      <c r="AB146" s="122">
        <v>100.10000000000001</v>
      </c>
      <c r="AC146" s="31">
        <v>44.655344655344649</v>
      </c>
      <c r="AD146" s="31">
        <v>6.0939060939060932</v>
      </c>
      <c r="AE146" s="31">
        <v>0.19980019980019978</v>
      </c>
      <c r="AF146" s="31">
        <v>0.19980019980019978</v>
      </c>
      <c r="AG146" s="31">
        <v>48.851148851148849</v>
      </c>
      <c r="AH146" s="22"/>
      <c r="AI146" s="123">
        <v>16.899999999999999</v>
      </c>
      <c r="AJ146" s="2"/>
      <c r="AK146" s="121"/>
      <c r="AL146" s="123">
        <v>16.899999999999999</v>
      </c>
      <c r="AM146" s="2"/>
      <c r="AN146" s="121"/>
      <c r="AO146" s="19">
        <v>29</v>
      </c>
    </row>
    <row r="147" spans="1:41">
      <c r="A147" s="117">
        <f t="shared" si="61"/>
        <v>146</v>
      </c>
      <c r="B147" t="s">
        <v>33</v>
      </c>
      <c r="C147" s="109">
        <v>3</v>
      </c>
      <c r="D147" s="29" t="s">
        <v>142</v>
      </c>
      <c r="E147" s="19" t="s">
        <v>142</v>
      </c>
      <c r="F147" s="19" t="s">
        <v>142</v>
      </c>
      <c r="G147" s="29"/>
      <c r="H147" s="29"/>
      <c r="I147" s="19"/>
      <c r="J147" s="19"/>
      <c r="K147" s="29"/>
      <c r="L147" s="29"/>
      <c r="M147" s="29"/>
      <c r="N147" s="29"/>
      <c r="O147" s="121"/>
      <c r="P147" s="123"/>
      <c r="Q147" s="29"/>
      <c r="R147" s="29"/>
      <c r="S147" s="29"/>
      <c r="T147" s="121"/>
      <c r="U147" s="19" t="s">
        <v>215</v>
      </c>
      <c r="V147" s="29">
        <v>30.5</v>
      </c>
      <c r="W147" s="29">
        <v>4.5999999999999996</v>
      </c>
      <c r="X147" s="29">
        <v>2.9</v>
      </c>
      <c r="Y147" s="29">
        <v>1.5</v>
      </c>
      <c r="Z147" s="29">
        <v>60.5</v>
      </c>
      <c r="AA147" s="29"/>
      <c r="AB147" s="122">
        <f t="shared" si="64"/>
        <v>100</v>
      </c>
      <c r="AC147" s="29">
        <v>30.5</v>
      </c>
      <c r="AD147" s="29">
        <v>4.5999999999999996</v>
      </c>
      <c r="AE147" s="29">
        <v>2.9</v>
      </c>
      <c r="AF147" s="29">
        <v>1.5</v>
      </c>
      <c r="AG147" s="29">
        <v>60.5</v>
      </c>
      <c r="AH147" s="22"/>
      <c r="AI147" s="29">
        <v>12.2</v>
      </c>
      <c r="AJ147" s="2"/>
      <c r="AK147" s="121"/>
      <c r="AL147" s="29">
        <v>12.2</v>
      </c>
      <c r="AM147" s="2"/>
      <c r="AN147" s="121"/>
      <c r="AO147" s="19">
        <v>29</v>
      </c>
    </row>
    <row r="148" spans="1:41">
      <c r="A148" s="117">
        <f t="shared" si="61"/>
        <v>147</v>
      </c>
      <c r="B148" t="s">
        <v>33</v>
      </c>
      <c r="C148" s="109">
        <v>3</v>
      </c>
      <c r="D148" s="29" t="s">
        <v>142</v>
      </c>
      <c r="E148" s="19" t="s">
        <v>142</v>
      </c>
      <c r="F148" s="19" t="s">
        <v>143</v>
      </c>
      <c r="G148" s="29"/>
      <c r="H148" s="29"/>
      <c r="I148" s="19"/>
      <c r="J148" s="19"/>
      <c r="K148" s="29"/>
      <c r="L148" s="29"/>
      <c r="M148" s="29"/>
      <c r="N148" s="29"/>
      <c r="O148" s="121"/>
      <c r="P148" s="123"/>
      <c r="Q148" s="29"/>
      <c r="R148" s="29"/>
      <c r="S148" s="29"/>
      <c r="T148" s="121"/>
      <c r="U148" s="19" t="s">
        <v>215</v>
      </c>
      <c r="V148" s="29">
        <v>45.3</v>
      </c>
      <c r="W148" s="29">
        <v>6.2</v>
      </c>
      <c r="X148" s="29">
        <v>0.2</v>
      </c>
      <c r="Y148" s="29">
        <v>0.1</v>
      </c>
      <c r="Z148" s="29">
        <v>48.3</v>
      </c>
      <c r="AA148" s="29"/>
      <c r="AB148" s="122">
        <f t="shared" si="64"/>
        <v>100.1</v>
      </c>
      <c r="AC148" s="29">
        <v>45.3</v>
      </c>
      <c r="AD148" s="29">
        <v>6.2</v>
      </c>
      <c r="AE148" s="29">
        <v>0.2</v>
      </c>
      <c r="AF148" s="29">
        <v>0.1</v>
      </c>
      <c r="AG148" s="29">
        <v>48.3</v>
      </c>
      <c r="AH148" s="22"/>
      <c r="AI148">
        <v>12.2</v>
      </c>
      <c r="AJ148" s="2"/>
      <c r="AK148" s="121"/>
      <c r="AL148">
        <v>12.2</v>
      </c>
      <c r="AM148" s="2"/>
      <c r="AN148" s="121"/>
      <c r="AO148" s="19">
        <v>29</v>
      </c>
    </row>
    <row r="149" spans="1:41">
      <c r="A149" s="117">
        <f t="shared" si="61"/>
        <v>148</v>
      </c>
      <c r="B149" t="s">
        <v>33</v>
      </c>
      <c r="C149" s="109">
        <v>3</v>
      </c>
      <c r="D149" s="29" t="s">
        <v>142</v>
      </c>
      <c r="E149" s="19" t="s">
        <v>142</v>
      </c>
      <c r="F149" s="19" t="s">
        <v>156</v>
      </c>
      <c r="G149" s="29"/>
      <c r="H149" s="29"/>
      <c r="I149" s="19"/>
      <c r="J149" s="19" t="s">
        <v>221</v>
      </c>
      <c r="K149" s="29"/>
      <c r="L149" s="29"/>
      <c r="M149" s="29"/>
      <c r="N149" s="29">
        <v>4.5</v>
      </c>
      <c r="O149" s="121">
        <f t="shared" si="62"/>
        <v>4.5</v>
      </c>
      <c r="P149" s="123"/>
      <c r="Q149" s="123"/>
      <c r="R149" s="123"/>
      <c r="S149" s="123"/>
      <c r="T149" s="121"/>
      <c r="U149" s="19" t="s">
        <v>69</v>
      </c>
      <c r="V149" s="29">
        <v>43.6</v>
      </c>
      <c r="W149" s="29">
        <v>7</v>
      </c>
      <c r="X149" s="29">
        <v>0.2</v>
      </c>
      <c r="Y149" s="29">
        <v>0</v>
      </c>
      <c r="Z149" s="29">
        <v>44.7</v>
      </c>
      <c r="AA149" s="29"/>
      <c r="AB149" s="122">
        <f t="shared" si="64"/>
        <v>95.5</v>
      </c>
      <c r="AC149" s="123">
        <f>100*V149/$AB$149</f>
        <v>45.654450261780106</v>
      </c>
      <c r="AD149" s="123">
        <f t="shared" ref="AD149:AG149" si="66">100*W149/$AB$149</f>
        <v>7.329842931937173</v>
      </c>
      <c r="AE149" s="123">
        <f t="shared" si="66"/>
        <v>0.20942408376963351</v>
      </c>
      <c r="AF149" s="123">
        <f t="shared" si="66"/>
        <v>0</v>
      </c>
      <c r="AG149" s="123">
        <f t="shared" si="66"/>
        <v>46.806282722513089</v>
      </c>
      <c r="AH149" s="124"/>
      <c r="AJ149" s="2">
        <v>17.7</v>
      </c>
      <c r="AK149" s="121"/>
      <c r="AL149"/>
      <c r="AM149" s="2">
        <v>17.7</v>
      </c>
      <c r="AN149" s="121"/>
      <c r="AO149" s="19">
        <v>30</v>
      </c>
    </row>
    <row r="150" spans="1:41" s="6" customFormat="1">
      <c r="A150" s="129">
        <f t="shared" si="61"/>
        <v>149</v>
      </c>
      <c r="B150" s="6" t="s">
        <v>109</v>
      </c>
      <c r="C150" s="130">
        <v>4</v>
      </c>
      <c r="D150" s="103" t="s">
        <v>77</v>
      </c>
      <c r="E150" s="102" t="s">
        <v>77</v>
      </c>
      <c r="F150" s="102"/>
      <c r="G150" s="103">
        <v>0.68940000000000001</v>
      </c>
      <c r="H150" s="103">
        <v>0.1186</v>
      </c>
      <c r="I150" s="102">
        <v>1.232</v>
      </c>
      <c r="J150" s="102"/>
      <c r="K150" s="103"/>
      <c r="L150" s="103"/>
      <c r="M150" s="103"/>
      <c r="N150" s="103"/>
      <c r="O150" s="131">
        <f t="shared" si="62"/>
        <v>0</v>
      </c>
      <c r="P150" s="132"/>
      <c r="Q150" s="132"/>
      <c r="R150" s="132"/>
      <c r="S150" s="132"/>
      <c r="T150" s="131"/>
      <c r="U150" s="102"/>
      <c r="V150" s="103"/>
      <c r="W150" s="103"/>
      <c r="X150" s="103"/>
      <c r="Y150" s="103"/>
      <c r="Z150" s="103"/>
      <c r="AA150" s="103"/>
      <c r="AB150" s="133"/>
      <c r="AC150" s="132"/>
      <c r="AD150" s="132"/>
      <c r="AE150" s="132"/>
      <c r="AF150" s="132"/>
      <c r="AG150" s="132"/>
      <c r="AH150" s="134"/>
      <c r="AI150" s="136"/>
      <c r="AJ150" s="136"/>
      <c r="AK150" s="131"/>
      <c r="AL150" s="136"/>
      <c r="AM150" s="136"/>
      <c r="AN150" s="131"/>
      <c r="AO150" s="102">
        <v>39</v>
      </c>
    </row>
    <row r="151" spans="1:41">
      <c r="A151" s="117">
        <f t="shared" si="61"/>
        <v>150</v>
      </c>
      <c r="B151" t="s">
        <v>33</v>
      </c>
      <c r="C151" s="109">
        <v>4</v>
      </c>
      <c r="D151" s="29" t="s">
        <v>77</v>
      </c>
      <c r="E151" s="3" t="s">
        <v>3</v>
      </c>
      <c r="F151" s="19"/>
      <c r="G151" s="29"/>
      <c r="H151" s="29"/>
      <c r="I151" s="19"/>
      <c r="J151" s="121" t="s">
        <v>454</v>
      </c>
      <c r="K151" s="29">
        <v>7.9</v>
      </c>
      <c r="L151" s="29">
        <v>80.5</v>
      </c>
      <c r="M151" s="29">
        <v>11</v>
      </c>
      <c r="N151" s="29">
        <v>0.6</v>
      </c>
      <c r="O151" s="121">
        <f t="shared" si="62"/>
        <v>100</v>
      </c>
      <c r="P151" s="123">
        <v>7.9</v>
      </c>
      <c r="Q151" s="123">
        <v>80.5</v>
      </c>
      <c r="R151" s="123">
        <v>11</v>
      </c>
      <c r="S151" s="123">
        <v>0.6</v>
      </c>
      <c r="T151" s="121"/>
      <c r="U151" s="19" t="s">
        <v>215</v>
      </c>
      <c r="V151">
        <v>52.1</v>
      </c>
      <c r="W151">
        <v>5.9</v>
      </c>
      <c r="X151">
        <v>0.11</v>
      </c>
      <c r="Y151">
        <v>0.03</v>
      </c>
      <c r="Z151">
        <v>41.86</v>
      </c>
      <c r="AA151" s="29"/>
      <c r="AB151" s="122">
        <f t="shared" si="64"/>
        <v>100</v>
      </c>
      <c r="AC151">
        <v>52.1</v>
      </c>
      <c r="AD151">
        <v>5.9</v>
      </c>
      <c r="AE151">
        <v>0.11</v>
      </c>
      <c r="AF151">
        <v>0.03</v>
      </c>
      <c r="AG151">
        <v>41.86</v>
      </c>
      <c r="AI151" s="2"/>
      <c r="AJ151" s="2"/>
      <c r="AK151" s="121"/>
      <c r="AL151" s="2"/>
      <c r="AM151" s="2"/>
      <c r="AN151" s="121"/>
      <c r="AO151" s="19">
        <v>8</v>
      </c>
    </row>
    <row r="152" spans="1:41">
      <c r="A152" s="117">
        <f t="shared" si="61"/>
        <v>151</v>
      </c>
      <c r="B152" t="s">
        <v>33</v>
      </c>
      <c r="C152" s="109">
        <v>4</v>
      </c>
      <c r="D152" s="29" t="s">
        <v>77</v>
      </c>
      <c r="E152" s="3" t="s">
        <v>3</v>
      </c>
      <c r="J152" s="121" t="s">
        <v>453</v>
      </c>
      <c r="K152">
        <v>8.1</v>
      </c>
      <c r="L152">
        <v>88.5</v>
      </c>
      <c r="M152">
        <v>10.5</v>
      </c>
      <c r="N152">
        <v>1</v>
      </c>
      <c r="O152" s="121">
        <f t="shared" si="62"/>
        <v>108.1</v>
      </c>
      <c r="P152" s="123">
        <f>K152</f>
        <v>8.1</v>
      </c>
      <c r="Q152" s="123">
        <f>L152*(1-$K$152/100)</f>
        <v>81.331500000000005</v>
      </c>
      <c r="R152" s="123">
        <f t="shared" ref="R152:S152" si="67">M152*(1-$K$152/100)</f>
        <v>9.6494999999999997</v>
      </c>
      <c r="S152" s="123">
        <f t="shared" si="67"/>
        <v>0.91900000000000004</v>
      </c>
      <c r="T152" s="121"/>
      <c r="U152" s="19" t="s">
        <v>215</v>
      </c>
      <c r="AB152" s="122"/>
      <c r="AG152"/>
      <c r="AI152">
        <v>19.3</v>
      </c>
      <c r="AL152">
        <v>19.3</v>
      </c>
      <c r="AM152" s="128">
        <f>AL152*(Q152+R152)/(Q152+R152+S152)</f>
        <v>19.106999999999999</v>
      </c>
      <c r="AN152" s="3">
        <f>AL152*(Q152+R152)/100</f>
        <v>17.559333000000002</v>
      </c>
      <c r="AO152" s="3">
        <v>8</v>
      </c>
    </row>
    <row r="153" spans="1:41">
      <c r="A153" s="117">
        <f t="shared" si="61"/>
        <v>152</v>
      </c>
      <c r="B153" t="s">
        <v>33</v>
      </c>
      <c r="C153" s="109">
        <v>4</v>
      </c>
      <c r="D153" s="29" t="s">
        <v>77</v>
      </c>
      <c r="E153" s="19" t="s">
        <v>77</v>
      </c>
      <c r="F153" s="19"/>
      <c r="G153" s="29"/>
      <c r="H153" s="29"/>
      <c r="I153" s="19"/>
      <c r="J153" s="19" t="s">
        <v>69</v>
      </c>
      <c r="K153" s="29"/>
      <c r="L153" s="29">
        <v>86.37</v>
      </c>
      <c r="M153" s="29">
        <v>12.25</v>
      </c>
      <c r="N153" s="29">
        <v>1.38</v>
      </c>
      <c r="O153" s="121">
        <f t="shared" si="62"/>
        <v>100</v>
      </c>
      <c r="P153" s="123">
        <v>0</v>
      </c>
      <c r="Q153" s="33">
        <v>86.37</v>
      </c>
      <c r="R153" s="33">
        <v>12.25</v>
      </c>
      <c r="S153" s="33">
        <v>1.38</v>
      </c>
      <c r="T153" s="121"/>
      <c r="U153" s="19" t="s">
        <v>69</v>
      </c>
      <c r="V153" s="29">
        <v>49.1</v>
      </c>
      <c r="W153" s="29">
        <v>6.1</v>
      </c>
      <c r="X153" s="29">
        <v>0.1</v>
      </c>
      <c r="Y153" s="29">
        <v>0.2</v>
      </c>
      <c r="Z153" s="29">
        <v>43</v>
      </c>
      <c r="AA153" s="29"/>
      <c r="AB153" s="122">
        <f t="shared" si="64"/>
        <v>98.5</v>
      </c>
      <c r="AC153" s="123">
        <f>100*V153/$AB$153</f>
        <v>49.847715736040612</v>
      </c>
      <c r="AD153" s="123">
        <f t="shared" ref="AD153:AG153" si="68">100*W153/$AB$153</f>
        <v>6.1928934010152288</v>
      </c>
      <c r="AE153" s="123">
        <f t="shared" si="68"/>
        <v>0.10152284263959391</v>
      </c>
      <c r="AF153" s="123">
        <f t="shared" si="68"/>
        <v>0.20304568527918782</v>
      </c>
      <c r="AG153" s="123">
        <f t="shared" si="68"/>
        <v>43.654822335025379</v>
      </c>
      <c r="AH153" s="124"/>
      <c r="AI153" s="2"/>
      <c r="AJ153" s="2">
        <v>19.742999999999999</v>
      </c>
      <c r="AK153" s="121"/>
      <c r="AL153">
        <f>AM153*(Q153+R153+S153)/(Q153+R153)</f>
        <v>20.01926586899209</v>
      </c>
      <c r="AM153" s="2">
        <v>19.742999999999999</v>
      </c>
      <c r="AN153" s="3"/>
      <c r="AO153" s="19">
        <v>31</v>
      </c>
    </row>
    <row r="154" spans="1:41">
      <c r="A154" s="117">
        <f t="shared" si="61"/>
        <v>153</v>
      </c>
      <c r="B154" t="s">
        <v>33</v>
      </c>
      <c r="C154" s="109">
        <v>4</v>
      </c>
      <c r="D154" s="29" t="s">
        <v>77</v>
      </c>
      <c r="E154" s="19" t="s">
        <v>77</v>
      </c>
      <c r="F154" s="19"/>
      <c r="G154" s="29"/>
      <c r="H154" s="29"/>
      <c r="I154" s="19"/>
      <c r="J154" s="19" t="s">
        <v>69</v>
      </c>
      <c r="K154" s="29"/>
      <c r="L154" s="29">
        <v>82.62</v>
      </c>
      <c r="M154" s="29">
        <v>14.72</v>
      </c>
      <c r="N154" s="29">
        <v>2.66</v>
      </c>
      <c r="O154" s="121">
        <f t="shared" si="62"/>
        <v>100</v>
      </c>
      <c r="P154" s="123">
        <v>0</v>
      </c>
      <c r="Q154" s="33">
        <v>82.62</v>
      </c>
      <c r="R154" s="33">
        <v>14.72</v>
      </c>
      <c r="S154" s="33">
        <v>2.66</v>
      </c>
      <c r="T154" s="121"/>
      <c r="U154" s="19" t="s">
        <v>215</v>
      </c>
      <c r="V154" s="29">
        <v>41.35</v>
      </c>
      <c r="W154" s="29">
        <v>6.15</v>
      </c>
      <c r="X154" s="29">
        <v>0.1</v>
      </c>
      <c r="Y154" s="29">
        <v>0.19</v>
      </c>
      <c r="Z154" s="29">
        <v>52.21</v>
      </c>
      <c r="AA154" s="29"/>
      <c r="AB154" s="122">
        <f t="shared" si="64"/>
        <v>100</v>
      </c>
      <c r="AC154" s="29">
        <v>41.35</v>
      </c>
      <c r="AD154" s="29">
        <v>6.15</v>
      </c>
      <c r="AE154" s="29">
        <v>0.1</v>
      </c>
      <c r="AF154" s="29">
        <v>0.19</v>
      </c>
      <c r="AG154" s="29">
        <v>52.21</v>
      </c>
      <c r="AH154" s="22"/>
      <c r="AJ154" s="2"/>
      <c r="AK154" s="121"/>
      <c r="AL154"/>
      <c r="AM154" s="2"/>
      <c r="AN154" s="121"/>
      <c r="AO154" s="19">
        <v>31</v>
      </c>
    </row>
    <row r="155" spans="1:41">
      <c r="A155" s="117">
        <f t="shared" si="61"/>
        <v>154</v>
      </c>
      <c r="B155" t="s">
        <v>33</v>
      </c>
      <c r="C155" s="109">
        <v>4</v>
      </c>
      <c r="D155" s="29" t="s">
        <v>77</v>
      </c>
      <c r="E155" s="19" t="s">
        <v>77</v>
      </c>
      <c r="F155" s="19"/>
      <c r="G155" s="29"/>
      <c r="H155" s="29"/>
      <c r="I155" s="19"/>
      <c r="J155" s="19" t="s">
        <v>69</v>
      </c>
      <c r="K155" s="29"/>
      <c r="L155" s="29">
        <v>85.04</v>
      </c>
      <c r="M155" s="29">
        <v>9.59</v>
      </c>
      <c r="N155" s="29">
        <v>5.43</v>
      </c>
      <c r="O155" s="121">
        <f t="shared" si="62"/>
        <v>100.06</v>
      </c>
      <c r="P155" s="123">
        <f>100*K155/$O$155</f>
        <v>0</v>
      </c>
      <c r="Q155" s="123">
        <f t="shared" ref="Q155:S155" si="69">100*L155/$O$155</f>
        <v>84.989006596042373</v>
      </c>
      <c r="R155" s="123">
        <f t="shared" si="69"/>
        <v>9.5842494503298017</v>
      </c>
      <c r="S155" s="123">
        <f t="shared" si="69"/>
        <v>5.426743953627823</v>
      </c>
      <c r="T155" s="121"/>
      <c r="U155" s="19" t="s">
        <v>215</v>
      </c>
      <c r="V155" s="29">
        <v>45.24</v>
      </c>
      <c r="W155" s="29">
        <v>7.17</v>
      </c>
      <c r="X155" s="29">
        <v>0.25</v>
      </c>
      <c r="Y155" s="29">
        <v>0.23</v>
      </c>
      <c r="Z155" s="29">
        <v>47.1</v>
      </c>
      <c r="AA155" s="29"/>
      <c r="AB155" s="122">
        <f t="shared" si="64"/>
        <v>99.990000000000009</v>
      </c>
      <c r="AC155" s="29">
        <v>45.24</v>
      </c>
      <c r="AD155" s="29">
        <v>7.17</v>
      </c>
      <c r="AE155" s="29">
        <v>0.25</v>
      </c>
      <c r="AF155" s="29">
        <v>0.23</v>
      </c>
      <c r="AG155" s="29">
        <v>47.1</v>
      </c>
      <c r="AH155" s="22"/>
      <c r="AI155" s="2"/>
      <c r="AJ155" s="2">
        <v>16.27</v>
      </c>
      <c r="AK155" s="121"/>
      <c r="AL155">
        <f>AM155*(Q155+R155+S155)/(Q155+R155)</f>
        <v>17.203595054422486</v>
      </c>
      <c r="AM155" s="2">
        <v>16.27</v>
      </c>
      <c r="AN155" s="3"/>
      <c r="AO155" s="19">
        <v>31</v>
      </c>
    </row>
    <row r="156" spans="1:41">
      <c r="A156" s="117">
        <f t="shared" si="61"/>
        <v>155</v>
      </c>
      <c r="B156" t="s">
        <v>33</v>
      </c>
      <c r="C156" s="109">
        <v>4</v>
      </c>
      <c r="D156" s="29" t="s">
        <v>77</v>
      </c>
      <c r="E156" s="19" t="s">
        <v>77</v>
      </c>
      <c r="F156" s="19"/>
      <c r="G156" s="29"/>
      <c r="H156" s="29"/>
      <c r="I156" s="19"/>
      <c r="J156" s="19" t="s">
        <v>69</v>
      </c>
      <c r="K156" s="29"/>
      <c r="L156" s="29">
        <v>79.540000000000006</v>
      </c>
      <c r="M156" s="29">
        <v>12.39</v>
      </c>
      <c r="N156" s="29">
        <v>8.07</v>
      </c>
      <c r="O156" s="121">
        <f t="shared" si="62"/>
        <v>100</v>
      </c>
      <c r="P156" s="123">
        <v>0</v>
      </c>
      <c r="Q156" s="33">
        <v>79.540000000000006</v>
      </c>
      <c r="R156" s="33">
        <v>12.39</v>
      </c>
      <c r="S156" s="33">
        <v>8.07</v>
      </c>
      <c r="T156" s="121"/>
      <c r="U156" s="19" t="s">
        <v>215</v>
      </c>
      <c r="V156" s="29">
        <v>48.01</v>
      </c>
      <c r="W156" s="29">
        <v>5.71</v>
      </c>
      <c r="X156" s="29">
        <v>0.33</v>
      </c>
      <c r="Y156" s="29">
        <v>0.13</v>
      </c>
      <c r="Z156" s="29">
        <v>45.82</v>
      </c>
      <c r="AA156" s="29"/>
      <c r="AB156" s="122">
        <f t="shared" si="64"/>
        <v>100</v>
      </c>
      <c r="AC156" s="29">
        <v>48.01</v>
      </c>
      <c r="AD156" s="29">
        <v>5.71</v>
      </c>
      <c r="AE156" s="29">
        <v>0.33</v>
      </c>
      <c r="AF156" s="29">
        <v>0.13</v>
      </c>
      <c r="AG156" s="29">
        <v>45.82</v>
      </c>
      <c r="AH156" s="22"/>
      <c r="AI156" s="2"/>
      <c r="AJ156" s="2">
        <v>17.16</v>
      </c>
      <c r="AK156" s="121"/>
      <c r="AL156">
        <f>AM156*(Q156+R156+S156)/(Q156+R156)</f>
        <v>18.666376590884369</v>
      </c>
      <c r="AM156" s="2">
        <v>17.16</v>
      </c>
      <c r="AN156" s="3"/>
      <c r="AO156" s="19">
        <v>31</v>
      </c>
    </row>
    <row r="157" spans="1:41">
      <c r="A157" s="117">
        <f t="shared" si="61"/>
        <v>156</v>
      </c>
      <c r="B157" t="s">
        <v>33</v>
      </c>
      <c r="C157" s="109">
        <v>4</v>
      </c>
      <c r="D157" s="29" t="s">
        <v>77</v>
      </c>
      <c r="E157" s="19" t="s">
        <v>77</v>
      </c>
      <c r="F157" s="19"/>
      <c r="G157" s="29"/>
      <c r="H157" s="29"/>
      <c r="I157" s="19"/>
      <c r="J157" s="19" t="s">
        <v>69</v>
      </c>
      <c r="K157" s="29"/>
      <c r="L157" s="29">
        <v>78.19</v>
      </c>
      <c r="M157" s="29">
        <v>12.33</v>
      </c>
      <c r="N157" s="29">
        <v>9.4700000000000006</v>
      </c>
      <c r="O157" s="121">
        <f t="shared" si="62"/>
        <v>99.99</v>
      </c>
      <c r="P157" s="123">
        <f>0.01</f>
        <v>0.01</v>
      </c>
      <c r="Q157" s="123">
        <f t="shared" ref="Q157:S157" si="70">100*L157/$O$157</f>
        <v>78.197819781978197</v>
      </c>
      <c r="R157" s="123">
        <f t="shared" si="70"/>
        <v>12.331233123312332</v>
      </c>
      <c r="S157" s="123">
        <f t="shared" si="70"/>
        <v>9.4709470947094729</v>
      </c>
      <c r="T157" s="121"/>
      <c r="U157" s="19" t="s">
        <v>215</v>
      </c>
      <c r="V157" s="29">
        <v>46.66</v>
      </c>
      <c r="W157" s="29">
        <v>6.25</v>
      </c>
      <c r="X157" s="29">
        <v>0.13</v>
      </c>
      <c r="Y157" s="29">
        <v>0.09</v>
      </c>
      <c r="Z157" s="29">
        <v>46.86</v>
      </c>
      <c r="AA157" s="29"/>
      <c r="AB157" s="122">
        <f t="shared" si="64"/>
        <v>99.990000000000009</v>
      </c>
      <c r="AC157" s="29">
        <v>46.66</v>
      </c>
      <c r="AD157" s="29">
        <v>6.25</v>
      </c>
      <c r="AE157" s="29">
        <v>0.13</v>
      </c>
      <c r="AF157" s="29">
        <v>0.09</v>
      </c>
      <c r="AG157" s="29">
        <v>46.86</v>
      </c>
      <c r="AH157" s="22"/>
      <c r="AI157" s="2"/>
      <c r="AJ157" s="2">
        <v>15.340999999999999</v>
      </c>
      <c r="AK157" s="121"/>
      <c r="AL157">
        <f>AM157*(Q157+R157+S157)/(Q157+R157)</f>
        <v>16.945941117984976</v>
      </c>
      <c r="AM157" s="2">
        <v>15.340999999999999</v>
      </c>
      <c r="AN157" s="3"/>
      <c r="AO157" s="19">
        <v>31</v>
      </c>
    </row>
    <row r="158" spans="1:41">
      <c r="A158" s="117">
        <f t="shared" si="61"/>
        <v>157</v>
      </c>
      <c r="B158" t="s">
        <v>33</v>
      </c>
      <c r="C158" s="109">
        <v>4</v>
      </c>
      <c r="D158" s="29" t="s">
        <v>77</v>
      </c>
      <c r="E158" s="19" t="s">
        <v>77</v>
      </c>
      <c r="F158" s="19"/>
      <c r="G158" s="29"/>
      <c r="H158" s="29"/>
      <c r="I158" s="19"/>
      <c r="J158" s="19" t="s">
        <v>69</v>
      </c>
      <c r="K158" s="29"/>
      <c r="L158" s="29"/>
      <c r="M158" s="29"/>
      <c r="N158" s="29"/>
      <c r="O158" s="121">
        <f t="shared" si="62"/>
        <v>0</v>
      </c>
      <c r="P158" s="123"/>
      <c r="Q158" s="123"/>
      <c r="R158" s="123"/>
      <c r="S158" s="123"/>
      <c r="T158" s="121"/>
      <c r="U158" s="19" t="s">
        <v>215</v>
      </c>
      <c r="V158" s="29">
        <v>49.86</v>
      </c>
      <c r="W158" s="29">
        <v>6.34</v>
      </c>
      <c r="X158" s="29">
        <v>0.15</v>
      </c>
      <c r="Y158" s="29">
        <v>0.26</v>
      </c>
      <c r="Z158" s="29">
        <v>43.24</v>
      </c>
      <c r="AA158" s="29">
        <v>0.15</v>
      </c>
      <c r="AB158" s="122">
        <f t="shared" si="64"/>
        <v>100</v>
      </c>
      <c r="AC158" s="123">
        <f>100*V158/$AB$158</f>
        <v>49.86</v>
      </c>
      <c r="AD158" s="123">
        <f t="shared" ref="AD158:AH158" si="71">100*W158/$AB$158</f>
        <v>6.34</v>
      </c>
      <c r="AE158" s="123">
        <f t="shared" si="71"/>
        <v>0.15</v>
      </c>
      <c r="AF158" s="123">
        <f t="shared" si="71"/>
        <v>0.26</v>
      </c>
      <c r="AG158" s="123">
        <f t="shared" si="71"/>
        <v>43.24</v>
      </c>
      <c r="AH158" s="124">
        <f t="shared" si="71"/>
        <v>0.15</v>
      </c>
      <c r="AJ158" s="2"/>
      <c r="AK158" s="121"/>
      <c r="AL158"/>
      <c r="AM158" s="2"/>
      <c r="AN158" s="121"/>
      <c r="AO158" s="19">
        <v>31</v>
      </c>
    </row>
    <row r="159" spans="1:41">
      <c r="A159" s="117">
        <f t="shared" si="61"/>
        <v>158</v>
      </c>
      <c r="B159" t="s">
        <v>33</v>
      </c>
      <c r="C159" s="109">
        <v>4</v>
      </c>
      <c r="D159" s="29" t="s">
        <v>77</v>
      </c>
      <c r="E159" s="19" t="s">
        <v>77</v>
      </c>
      <c r="F159" s="19"/>
      <c r="G159" s="29"/>
      <c r="H159" s="29"/>
      <c r="I159" s="19"/>
      <c r="J159" s="19" t="s">
        <v>71</v>
      </c>
      <c r="K159" s="29">
        <v>5.4</v>
      </c>
      <c r="L159" s="29">
        <v>76.900000000000006</v>
      </c>
      <c r="M159" s="29">
        <v>8.75</v>
      </c>
      <c r="N159" s="29">
        <v>8.9</v>
      </c>
      <c r="O159" s="121">
        <f t="shared" si="62"/>
        <v>99.950000000000017</v>
      </c>
      <c r="P159" s="123">
        <f>100*K159/$O$159</f>
        <v>5.4027013506753372</v>
      </c>
      <c r="Q159" s="123">
        <f t="shared" ref="Q159:R159" si="72">100*L159/$O$159</f>
        <v>76.938469234617301</v>
      </c>
      <c r="R159" s="123">
        <f t="shared" si="72"/>
        <v>8.7543771885942956</v>
      </c>
      <c r="S159" s="123">
        <f>100*N159/$O$159</f>
        <v>8.9044522261130545</v>
      </c>
      <c r="T159" s="121"/>
      <c r="U159" s="19" t="s">
        <v>69</v>
      </c>
      <c r="V159" s="29">
        <v>44.1</v>
      </c>
      <c r="W159" s="29">
        <v>5.6</v>
      </c>
      <c r="X159" s="29">
        <v>0.17</v>
      </c>
      <c r="Y159" s="29">
        <v>0</v>
      </c>
      <c r="Z159" s="29">
        <v>40.72</v>
      </c>
      <c r="AA159" s="29"/>
      <c r="AB159" s="122">
        <f t="shared" si="64"/>
        <v>90.59</v>
      </c>
      <c r="AC159" s="123">
        <f>100*V159/$AB159</f>
        <v>48.680869853184674</v>
      </c>
      <c r="AD159" s="123">
        <f t="shared" ref="AD159:AG159" si="73">100*W159/$AB159</f>
        <v>6.1816977591345621</v>
      </c>
      <c r="AE159" s="123">
        <f t="shared" si="73"/>
        <v>0.18765868197372779</v>
      </c>
      <c r="AF159" s="123">
        <f t="shared" si="73"/>
        <v>0</v>
      </c>
      <c r="AG159" s="123">
        <f t="shared" si="73"/>
        <v>44.949773705707031</v>
      </c>
      <c r="AH159" s="124"/>
      <c r="AJ159" s="2">
        <v>15.87</v>
      </c>
      <c r="AK159" s="121"/>
      <c r="AL159">
        <f>AM159*(Q159+R159+S159)/(Q159+R159)</f>
        <v>17.519071803852889</v>
      </c>
      <c r="AM159" s="2">
        <v>15.87</v>
      </c>
      <c r="AN159" s="3">
        <f>AM159*(Q159+R159+S159)/100</f>
        <v>15.01259129564782</v>
      </c>
      <c r="AO159" s="19">
        <v>32</v>
      </c>
    </row>
    <row r="160" spans="1:41">
      <c r="A160" s="117">
        <f t="shared" si="61"/>
        <v>159</v>
      </c>
      <c r="B160" t="s">
        <v>33</v>
      </c>
      <c r="C160" s="109">
        <v>4</v>
      </c>
      <c r="D160" s="29" t="s">
        <v>77</v>
      </c>
      <c r="E160" s="19" t="s">
        <v>77</v>
      </c>
      <c r="F160" s="19"/>
      <c r="G160" s="29"/>
      <c r="H160" s="29"/>
      <c r="I160" s="19"/>
      <c r="J160" s="19" t="s">
        <v>221</v>
      </c>
      <c r="K160" s="29"/>
      <c r="L160" s="29"/>
      <c r="M160" s="29"/>
      <c r="N160" s="29">
        <v>8.85</v>
      </c>
      <c r="O160" s="121">
        <f t="shared" si="62"/>
        <v>8.85</v>
      </c>
      <c r="P160" s="123"/>
      <c r="Q160" s="123"/>
      <c r="R160" s="123"/>
      <c r="S160" s="123"/>
      <c r="T160" s="121"/>
      <c r="U160" s="19" t="s">
        <v>69</v>
      </c>
      <c r="V160" s="29">
        <v>39.72</v>
      </c>
      <c r="W160" s="29">
        <v>5.71</v>
      </c>
      <c r="X160" s="29">
        <v>3.66</v>
      </c>
      <c r="Y160" s="29">
        <v>0</v>
      </c>
      <c r="Z160" s="29">
        <v>42.06</v>
      </c>
      <c r="AA160" s="29"/>
      <c r="AB160" s="122">
        <f t="shared" si="64"/>
        <v>91.15</v>
      </c>
      <c r="AC160" s="123">
        <f>100*V160/$AB$160</f>
        <v>43.576522216127259</v>
      </c>
      <c r="AD160" s="123">
        <f t="shared" ref="AD160:AG160" si="74">100*W160/$AB$160</f>
        <v>6.2643993417443768</v>
      </c>
      <c r="AE160" s="123">
        <f>100*X160/$AB$160</f>
        <v>4.0153592978606687</v>
      </c>
      <c r="AF160" s="123">
        <f t="shared" si="74"/>
        <v>0</v>
      </c>
      <c r="AG160" s="123">
        <f t="shared" si="74"/>
        <v>46.143719144267685</v>
      </c>
      <c r="AH160" s="124"/>
      <c r="AJ160" s="2"/>
      <c r="AK160" s="121"/>
      <c r="AL160"/>
      <c r="AM160" s="2"/>
      <c r="AN160" s="121"/>
      <c r="AO160" s="19">
        <v>33</v>
      </c>
    </row>
    <row r="161" spans="1:41">
      <c r="A161" s="117">
        <f t="shared" si="61"/>
        <v>160</v>
      </c>
      <c r="B161" t="s">
        <v>33</v>
      </c>
      <c r="C161" s="109">
        <v>4</v>
      </c>
      <c r="D161" s="29" t="s">
        <v>77</v>
      </c>
      <c r="E161" s="19" t="s">
        <v>77</v>
      </c>
      <c r="F161" s="19"/>
      <c r="G161" s="29"/>
      <c r="H161" s="29"/>
      <c r="I161" s="19"/>
      <c r="J161" s="19" t="s">
        <v>69</v>
      </c>
      <c r="K161" s="29"/>
      <c r="L161" s="29">
        <v>85.9</v>
      </c>
      <c r="M161" s="29">
        <v>10.7</v>
      </c>
      <c r="N161" s="29">
        <v>3.5</v>
      </c>
      <c r="O161" s="121">
        <f t="shared" si="62"/>
        <v>100.10000000000001</v>
      </c>
      <c r="P161" s="123">
        <f>100*K161/$O$161</f>
        <v>0</v>
      </c>
      <c r="Q161" s="123">
        <f t="shared" ref="Q161:S161" si="75">100*L161/$O$161</f>
        <v>85.814185814185805</v>
      </c>
      <c r="R161" s="123">
        <f t="shared" si="75"/>
        <v>10.689310689310689</v>
      </c>
      <c r="S161" s="123">
        <f t="shared" si="75"/>
        <v>3.4965034965034962</v>
      </c>
      <c r="T161" s="121"/>
      <c r="U161" s="19" t="s">
        <v>215</v>
      </c>
      <c r="V161" s="29">
        <v>46.3</v>
      </c>
      <c r="W161" s="29">
        <v>6</v>
      </c>
      <c r="X161" s="29">
        <v>0.1</v>
      </c>
      <c r="Y161" s="29">
        <v>0</v>
      </c>
      <c r="Z161" s="29">
        <v>47.6</v>
      </c>
      <c r="AA161" s="29"/>
      <c r="AB161" s="122">
        <f t="shared" si="64"/>
        <v>100</v>
      </c>
      <c r="AC161" s="123">
        <f>100*V161/$AB$161</f>
        <v>46.3</v>
      </c>
      <c r="AD161" s="123">
        <f t="shared" ref="AD161:AG161" si="76">100*W161/$AB$161</f>
        <v>6</v>
      </c>
      <c r="AE161" s="123">
        <f t="shared" si="76"/>
        <v>0.1</v>
      </c>
      <c r="AF161" s="123">
        <f t="shared" si="76"/>
        <v>0</v>
      </c>
      <c r="AG161" s="123">
        <f t="shared" si="76"/>
        <v>47.6</v>
      </c>
      <c r="AH161" s="124"/>
      <c r="AJ161" s="2"/>
      <c r="AK161" s="121"/>
      <c r="AL161"/>
      <c r="AM161" s="2"/>
      <c r="AN161" s="121"/>
      <c r="AO161" s="19">
        <v>36</v>
      </c>
    </row>
    <row r="162" spans="1:41">
      <c r="A162" s="117">
        <f t="shared" si="61"/>
        <v>161</v>
      </c>
      <c r="B162" t="s">
        <v>33</v>
      </c>
      <c r="C162" s="138">
        <v>4</v>
      </c>
      <c r="D162" s="29" t="s">
        <v>77</v>
      </c>
      <c r="E162" s="19" t="s">
        <v>77</v>
      </c>
      <c r="F162" s="19" t="s">
        <v>131</v>
      </c>
      <c r="G162" s="29"/>
      <c r="H162" s="29"/>
      <c r="I162" s="19"/>
      <c r="J162" s="19"/>
      <c r="K162" s="29"/>
      <c r="L162" s="29"/>
      <c r="M162" s="29"/>
      <c r="N162" s="29"/>
      <c r="O162" s="121">
        <f t="shared" si="62"/>
        <v>0</v>
      </c>
      <c r="P162" s="123"/>
      <c r="Q162" s="123"/>
      <c r="R162" s="123"/>
      <c r="S162" s="123"/>
      <c r="T162" s="121"/>
      <c r="U162" s="19" t="s">
        <v>215</v>
      </c>
      <c r="V162" s="29">
        <v>43.8</v>
      </c>
      <c r="W162" s="29">
        <v>5.9</v>
      </c>
      <c r="X162" s="29">
        <v>0.3</v>
      </c>
      <c r="Y162" s="29">
        <v>0.2</v>
      </c>
      <c r="Z162" s="29">
        <v>49.8</v>
      </c>
      <c r="AA162" s="29"/>
      <c r="AB162" s="122">
        <f t="shared" si="64"/>
        <v>100</v>
      </c>
      <c r="AC162" s="29">
        <v>43.8</v>
      </c>
      <c r="AD162" s="29">
        <v>5.9</v>
      </c>
      <c r="AE162" s="29">
        <v>0.3</v>
      </c>
      <c r="AF162" s="29">
        <v>0.2</v>
      </c>
      <c r="AG162" s="29">
        <v>49.8</v>
      </c>
      <c r="AH162" s="22"/>
      <c r="AI162" s="2">
        <v>18</v>
      </c>
      <c r="AJ162" s="2"/>
      <c r="AK162" s="121"/>
      <c r="AL162" s="2">
        <v>18</v>
      </c>
      <c r="AM162" s="2"/>
      <c r="AN162" s="121"/>
      <c r="AO162" s="19">
        <v>29</v>
      </c>
    </row>
    <row r="163" spans="1:41">
      <c r="A163" s="117">
        <f t="shared" si="61"/>
        <v>162</v>
      </c>
      <c r="B163" t="s">
        <v>33</v>
      </c>
      <c r="C163" s="138">
        <v>4</v>
      </c>
      <c r="D163" s="29" t="s">
        <v>77</v>
      </c>
      <c r="E163" s="19" t="s">
        <v>77</v>
      </c>
      <c r="F163" s="19" t="s">
        <v>133</v>
      </c>
      <c r="G163" s="29"/>
      <c r="H163" s="29"/>
      <c r="I163" s="19"/>
      <c r="J163" s="19"/>
      <c r="K163" s="29"/>
      <c r="L163" s="29"/>
      <c r="M163" s="29"/>
      <c r="N163" s="29"/>
      <c r="O163" s="121">
        <f t="shared" si="62"/>
        <v>0</v>
      </c>
      <c r="P163" s="123"/>
      <c r="Q163" s="123"/>
      <c r="R163" s="123"/>
      <c r="S163" s="123"/>
      <c r="T163" s="121"/>
      <c r="U163" s="19" t="s">
        <v>215</v>
      </c>
      <c r="V163" s="29">
        <v>52.1</v>
      </c>
      <c r="W163" s="29">
        <v>5.9</v>
      </c>
      <c r="X163" s="29">
        <v>0.1</v>
      </c>
      <c r="Y163" s="29">
        <v>0</v>
      </c>
      <c r="Z163" s="29">
        <v>41.9</v>
      </c>
      <c r="AA163" s="29"/>
      <c r="AB163" s="122">
        <f t="shared" si="64"/>
        <v>100</v>
      </c>
      <c r="AC163" s="29">
        <v>52.1</v>
      </c>
      <c r="AD163" s="29">
        <v>5.9</v>
      </c>
      <c r="AE163" s="29">
        <v>0.1</v>
      </c>
      <c r="AF163" s="29">
        <v>0</v>
      </c>
      <c r="AG163" s="29">
        <v>41.9</v>
      </c>
      <c r="AH163" s="22"/>
      <c r="AI163" s="2">
        <v>19.3</v>
      </c>
      <c r="AJ163" s="2"/>
      <c r="AK163" s="121"/>
      <c r="AL163" s="2">
        <v>19.3</v>
      </c>
      <c r="AM163" s="2"/>
      <c r="AN163" s="121"/>
      <c r="AO163" s="19">
        <v>29</v>
      </c>
    </row>
    <row r="164" spans="1:41">
      <c r="A164" s="117">
        <f t="shared" si="61"/>
        <v>163</v>
      </c>
      <c r="B164" t="s">
        <v>33</v>
      </c>
      <c r="C164" s="138">
        <v>4</v>
      </c>
      <c r="D164" s="29" t="s">
        <v>77</v>
      </c>
      <c r="E164" s="19" t="s">
        <v>77</v>
      </c>
      <c r="F164" s="19" t="s">
        <v>134</v>
      </c>
      <c r="G164" s="29"/>
      <c r="H164" s="29"/>
      <c r="I164" s="19"/>
      <c r="J164" s="19"/>
      <c r="K164" s="29"/>
      <c r="L164" s="29"/>
      <c r="M164" s="29"/>
      <c r="N164" s="29"/>
      <c r="O164" s="121">
        <f t="shared" si="62"/>
        <v>0</v>
      </c>
      <c r="P164" s="123"/>
      <c r="Q164" s="123"/>
      <c r="R164" s="123"/>
      <c r="S164" s="123"/>
      <c r="T164" s="121"/>
      <c r="U164" s="19" t="s">
        <v>215</v>
      </c>
      <c r="V164" s="29">
        <v>49.1</v>
      </c>
      <c r="W164" s="29">
        <v>6.1</v>
      </c>
      <c r="X164" s="29">
        <v>0.1</v>
      </c>
      <c r="Y164" s="29">
        <v>0.2</v>
      </c>
      <c r="Z164" s="29">
        <v>44.6</v>
      </c>
      <c r="AA164" s="29"/>
      <c r="AB164" s="122">
        <f t="shared" si="64"/>
        <v>100.10000000000001</v>
      </c>
      <c r="AC164" s="123">
        <f>100*V164/$AB$164</f>
        <v>49.050949050949043</v>
      </c>
      <c r="AD164" s="123">
        <f t="shared" ref="AD164:AG164" si="77">100*W164/$AB$164</f>
        <v>6.0939060939060932</v>
      </c>
      <c r="AE164" s="123">
        <f t="shared" si="77"/>
        <v>9.990009990009989E-2</v>
      </c>
      <c r="AF164" s="123">
        <f t="shared" si="77"/>
        <v>0.19980019980019978</v>
      </c>
      <c r="AG164" s="123">
        <f t="shared" si="77"/>
        <v>44.555444555444552</v>
      </c>
      <c r="AH164" s="124"/>
      <c r="AI164" s="2">
        <v>18.5</v>
      </c>
      <c r="AJ164" s="2"/>
      <c r="AK164" s="121"/>
      <c r="AL164" s="2">
        <v>18.5</v>
      </c>
      <c r="AM164" s="2"/>
      <c r="AN164" s="121"/>
      <c r="AO164" s="19">
        <v>29</v>
      </c>
    </row>
    <row r="165" spans="1:41">
      <c r="A165" s="117">
        <f t="shared" si="61"/>
        <v>164</v>
      </c>
      <c r="B165" t="s">
        <v>33</v>
      </c>
      <c r="C165" s="138">
        <v>4</v>
      </c>
      <c r="D165" s="29" t="s">
        <v>77</v>
      </c>
      <c r="E165" s="19" t="s">
        <v>77</v>
      </c>
      <c r="F165" s="19" t="s">
        <v>135</v>
      </c>
      <c r="G165" s="29"/>
      <c r="H165" s="29"/>
      <c r="I165" s="19"/>
      <c r="J165" s="19"/>
      <c r="K165" s="29"/>
      <c r="L165" s="29"/>
      <c r="M165" s="29"/>
      <c r="N165" s="29"/>
      <c r="O165" s="121">
        <f t="shared" si="62"/>
        <v>0</v>
      </c>
      <c r="P165" s="123"/>
      <c r="Q165" s="123"/>
      <c r="R165" s="123"/>
      <c r="S165" s="123"/>
      <c r="T165" s="121"/>
      <c r="U165" s="19" t="s">
        <v>215</v>
      </c>
      <c r="V165" s="29">
        <v>48.8</v>
      </c>
      <c r="W165" s="29">
        <v>6.2</v>
      </c>
      <c r="X165" s="29">
        <v>0.2</v>
      </c>
      <c r="Y165" s="29">
        <v>0.3</v>
      </c>
      <c r="Z165" s="29">
        <v>44.6</v>
      </c>
      <c r="AA165" s="29"/>
      <c r="AB165" s="122">
        <f t="shared" si="64"/>
        <v>100.1</v>
      </c>
      <c r="AC165" s="123">
        <f>100*V165/$AB$165</f>
        <v>48.751248751248752</v>
      </c>
      <c r="AD165" s="123">
        <f t="shared" ref="AD165:AG165" si="78">100*W165/$AB$165</f>
        <v>6.1938061938061946</v>
      </c>
      <c r="AE165" s="123">
        <f t="shared" si="78"/>
        <v>0.19980019980019981</v>
      </c>
      <c r="AF165" s="123">
        <f t="shared" si="78"/>
        <v>0.29970029970029971</v>
      </c>
      <c r="AG165" s="123">
        <f t="shared" si="78"/>
        <v>44.555444555444559</v>
      </c>
      <c r="AH165" s="124"/>
      <c r="AI165" s="2">
        <v>14.5</v>
      </c>
      <c r="AJ165" s="2"/>
      <c r="AK165" s="121"/>
      <c r="AL165" s="2">
        <v>14.5</v>
      </c>
      <c r="AM165" s="2"/>
      <c r="AN165" s="121"/>
      <c r="AO165" s="19">
        <v>29</v>
      </c>
    </row>
    <row r="166" spans="1:41" s="4" customFormat="1">
      <c r="A166" s="117">
        <f t="shared" si="61"/>
        <v>165</v>
      </c>
      <c r="B166" s="4" t="s">
        <v>33</v>
      </c>
      <c r="C166" s="139">
        <v>4</v>
      </c>
      <c r="D166" s="29" t="s">
        <v>77</v>
      </c>
      <c r="E166" s="25" t="s">
        <v>77</v>
      </c>
      <c r="F166" s="25" t="s">
        <v>3</v>
      </c>
      <c r="G166" s="24"/>
      <c r="H166" s="24"/>
      <c r="I166" s="25"/>
      <c r="J166" s="25"/>
      <c r="K166" s="24"/>
      <c r="L166" s="24"/>
      <c r="M166" s="24"/>
      <c r="N166" s="24">
        <v>10.4</v>
      </c>
      <c r="O166" s="121">
        <v>10.4</v>
      </c>
      <c r="P166" s="123"/>
      <c r="Q166" s="123"/>
      <c r="R166" s="123"/>
      <c r="S166" s="123"/>
      <c r="T166" s="121"/>
      <c r="U166" s="25" t="s">
        <v>69</v>
      </c>
      <c r="V166" s="24">
        <v>40.299999999999997</v>
      </c>
      <c r="W166" s="24">
        <v>5.6</v>
      </c>
      <c r="X166" s="24">
        <v>0.25</v>
      </c>
      <c r="Y166" s="24">
        <v>0.04</v>
      </c>
      <c r="Z166" s="24">
        <v>53.8</v>
      </c>
      <c r="AA166" s="24"/>
      <c r="AB166" s="122">
        <f t="shared" si="64"/>
        <v>99.99</v>
      </c>
      <c r="AC166" s="24">
        <v>40.299999999999997</v>
      </c>
      <c r="AD166" s="24">
        <v>5.6</v>
      </c>
      <c r="AE166" s="24">
        <v>0.25</v>
      </c>
      <c r="AF166" s="24">
        <v>0.04</v>
      </c>
      <c r="AG166" s="24">
        <v>53.8</v>
      </c>
      <c r="AH166" s="140"/>
      <c r="AJ166" s="141">
        <v>14.66</v>
      </c>
      <c r="AK166" s="142"/>
      <c r="AM166" s="141">
        <v>14.66</v>
      </c>
      <c r="AN166" s="142"/>
      <c r="AO166" s="25">
        <v>30</v>
      </c>
    </row>
    <row r="167" spans="1:41" s="6" customFormat="1">
      <c r="A167" s="129">
        <f t="shared" si="61"/>
        <v>166</v>
      </c>
      <c r="B167" s="6" t="s">
        <v>33</v>
      </c>
      <c r="C167" s="130">
        <v>5</v>
      </c>
      <c r="D167" s="6" t="s">
        <v>6</v>
      </c>
      <c r="E167" s="7" t="s">
        <v>6</v>
      </c>
      <c r="F167" s="7"/>
      <c r="I167" s="7"/>
      <c r="J167" s="131" t="s">
        <v>453</v>
      </c>
      <c r="K167" s="6">
        <v>3.7</v>
      </c>
      <c r="L167" s="6">
        <v>67.3</v>
      </c>
      <c r="M167" s="6">
        <v>4.7</v>
      </c>
      <c r="N167" s="6">
        <v>28</v>
      </c>
      <c r="O167" s="131">
        <f t="shared" si="62"/>
        <v>103.7</v>
      </c>
      <c r="P167" s="132">
        <f>K167</f>
        <v>3.7</v>
      </c>
      <c r="Q167" s="132">
        <f>L167*(1-$K$167/100)</f>
        <v>64.809899999999999</v>
      </c>
      <c r="R167" s="132">
        <f>M167*(1-$K$167/100)</f>
        <v>4.5261000000000005</v>
      </c>
      <c r="S167" s="132">
        <f>N167*(1-$K$167/100)</f>
        <v>26.963999999999999</v>
      </c>
      <c r="T167" s="131"/>
      <c r="U167" s="102" t="s">
        <v>215</v>
      </c>
      <c r="AB167" s="133"/>
      <c r="AH167" s="119"/>
      <c r="AI167" s="6">
        <v>10.4</v>
      </c>
      <c r="AK167" s="7"/>
      <c r="AL167" s="6">
        <v>10.4</v>
      </c>
      <c r="AM167" s="135">
        <f>AL167*(Q167+R167)/(Q167+R167+S167)</f>
        <v>7.4880000000000013</v>
      </c>
      <c r="AN167" s="7">
        <f>AL167*(Q167+R167)/100</f>
        <v>7.2109440000000005</v>
      </c>
      <c r="AO167" s="7">
        <v>8</v>
      </c>
    </row>
    <row r="168" spans="1:41">
      <c r="A168" s="117">
        <f t="shared" si="61"/>
        <v>167</v>
      </c>
      <c r="B168" t="s">
        <v>33</v>
      </c>
      <c r="C168" s="109">
        <v>5</v>
      </c>
      <c r="D168" t="s">
        <v>6</v>
      </c>
      <c r="E168" s="19" t="s">
        <v>75</v>
      </c>
      <c r="J168" s="19" t="s">
        <v>71</v>
      </c>
      <c r="K168">
        <v>3.5</v>
      </c>
      <c r="L168">
        <v>65.099999999999994</v>
      </c>
      <c r="M168">
        <v>4.4000000000000004</v>
      </c>
      <c r="N168">
        <v>27</v>
      </c>
      <c r="O168" s="121">
        <f t="shared" si="62"/>
        <v>100</v>
      </c>
      <c r="P168">
        <v>3.5</v>
      </c>
      <c r="Q168">
        <v>65.099999999999994</v>
      </c>
      <c r="R168">
        <v>4.4000000000000004</v>
      </c>
      <c r="S168">
        <v>27</v>
      </c>
      <c r="T168" s="121"/>
      <c r="U168" s="19" t="s">
        <v>215</v>
      </c>
      <c r="V168">
        <v>45.6</v>
      </c>
      <c r="W168">
        <v>4.8</v>
      </c>
      <c r="X168">
        <v>0.14000000000000001</v>
      </c>
      <c r="Y168">
        <v>0.05</v>
      </c>
      <c r="Z168">
        <v>49.41</v>
      </c>
      <c r="AB168" s="122">
        <f t="shared" si="64"/>
        <v>100</v>
      </c>
      <c r="AC168">
        <v>45.6</v>
      </c>
      <c r="AD168">
        <v>4.8</v>
      </c>
      <c r="AE168">
        <v>0.14000000000000001</v>
      </c>
      <c r="AF168">
        <v>0.05</v>
      </c>
      <c r="AG168">
        <v>49.41</v>
      </c>
      <c r="AL168"/>
      <c r="AM168"/>
      <c r="AN168" s="3"/>
      <c r="AO168" s="19">
        <v>8</v>
      </c>
    </row>
    <row r="169" spans="1:41">
      <c r="A169" s="117">
        <f t="shared" si="61"/>
        <v>168</v>
      </c>
      <c r="B169" t="s">
        <v>33</v>
      </c>
      <c r="C169" s="109">
        <v>5</v>
      </c>
      <c r="D169" t="s">
        <v>6</v>
      </c>
      <c r="E169" s="19" t="s">
        <v>75</v>
      </c>
      <c r="F169" s="19"/>
      <c r="G169" s="29"/>
      <c r="H169" s="29"/>
      <c r="I169" s="19"/>
      <c r="J169" s="19" t="s">
        <v>221</v>
      </c>
      <c r="K169" s="29"/>
      <c r="L169" s="29"/>
      <c r="M169" s="29"/>
      <c r="N169" s="29">
        <v>28.7</v>
      </c>
      <c r="O169" s="121"/>
      <c r="P169" s="123"/>
      <c r="Q169" s="123"/>
      <c r="R169" s="123"/>
      <c r="S169" s="123"/>
      <c r="T169" s="121"/>
      <c r="U169" s="19" t="s">
        <v>221</v>
      </c>
      <c r="V169" s="29">
        <v>82.9</v>
      </c>
      <c r="W169" s="29">
        <v>7.5</v>
      </c>
      <c r="X169" s="29">
        <v>0.12</v>
      </c>
      <c r="Y169" s="29">
        <v>0.04</v>
      </c>
      <c r="Z169" s="29">
        <v>9.4</v>
      </c>
      <c r="AA169" s="29"/>
      <c r="AB169" s="122">
        <f t="shared" si="64"/>
        <v>99.960000000000022</v>
      </c>
      <c r="AC169" s="31">
        <f>100*V169/$AB$169</f>
        <v>82.933173269307702</v>
      </c>
      <c r="AD169" s="31">
        <f t="shared" ref="AD169:AG169" si="79">100*W169/$AB$169</f>
        <v>7.50300120048019</v>
      </c>
      <c r="AE169" s="31">
        <f t="shared" si="79"/>
        <v>0.12004801920768304</v>
      </c>
      <c r="AF169" s="31">
        <f t="shared" si="79"/>
        <v>4.0016006402561012E-2</v>
      </c>
      <c r="AG169" s="31">
        <f t="shared" si="79"/>
        <v>9.4037615046018388</v>
      </c>
      <c r="AH169" s="22"/>
      <c r="AI169" s="2"/>
      <c r="AJ169" s="2">
        <v>9.56</v>
      </c>
      <c r="AK169" s="121"/>
      <c r="AL169" s="2"/>
      <c r="AM169" s="2">
        <v>9.56</v>
      </c>
      <c r="AN169" s="121"/>
      <c r="AO169" s="19">
        <v>30</v>
      </c>
    </row>
    <row r="170" spans="1:41">
      <c r="A170" s="117">
        <f t="shared" si="61"/>
        <v>169</v>
      </c>
      <c r="B170" t="s">
        <v>33</v>
      </c>
      <c r="C170" s="109">
        <v>5</v>
      </c>
      <c r="D170" t="s">
        <v>6</v>
      </c>
      <c r="E170" s="19" t="s">
        <v>75</v>
      </c>
      <c r="F170" s="19"/>
      <c r="G170" s="29"/>
      <c r="H170" s="29"/>
      <c r="I170" s="19"/>
      <c r="J170" s="19" t="s">
        <v>69</v>
      </c>
      <c r="K170" s="29">
        <v>0</v>
      </c>
      <c r="L170" s="29">
        <v>68.510000000000005</v>
      </c>
      <c r="M170" s="29">
        <v>5.18</v>
      </c>
      <c r="N170" s="29">
        <v>26.31</v>
      </c>
      <c r="O170" s="121">
        <f t="shared" si="62"/>
        <v>100</v>
      </c>
      <c r="P170" s="33">
        <v>0</v>
      </c>
      <c r="Q170" s="33">
        <v>68.510000000000005</v>
      </c>
      <c r="R170" s="33">
        <v>5.18</v>
      </c>
      <c r="S170" s="33">
        <v>26.31</v>
      </c>
      <c r="T170" s="121"/>
      <c r="U170" s="19" t="s">
        <v>215</v>
      </c>
      <c r="V170" s="29">
        <v>64.2</v>
      </c>
      <c r="W170" s="29">
        <v>3.39</v>
      </c>
      <c r="X170" s="29">
        <v>1.49</v>
      </c>
      <c r="Y170" s="29">
        <v>0.52</v>
      </c>
      <c r="Z170" s="29">
        <v>13.43</v>
      </c>
      <c r="AA170" s="29"/>
      <c r="AB170" s="122">
        <f t="shared" si="64"/>
        <v>83.03</v>
      </c>
      <c r="AC170" s="31">
        <f>100*V170/$AB$170</f>
        <v>77.321450078284954</v>
      </c>
      <c r="AD170" s="31">
        <f t="shared" ref="AD170:AG170" si="80">100*W170/$AB$170</f>
        <v>4.0828616162832709</v>
      </c>
      <c r="AE170" s="31">
        <f t="shared" si="80"/>
        <v>1.7945320968324701</v>
      </c>
      <c r="AF170" s="31">
        <f t="shared" si="80"/>
        <v>0.62627965795495599</v>
      </c>
      <c r="AG170" s="31">
        <f t="shared" si="80"/>
        <v>16.174876550644345</v>
      </c>
      <c r="AH170" s="22"/>
      <c r="AI170" s="2"/>
      <c r="AJ170" s="2"/>
      <c r="AK170" s="121">
        <v>16.47</v>
      </c>
      <c r="AL170">
        <f>AN170*100/(Q170+R170)</f>
        <v>22.350386755326369</v>
      </c>
      <c r="AM170" s="128">
        <f>AN170*100/(Q170+R170+S170)</f>
        <v>16.47</v>
      </c>
      <c r="AN170" s="121">
        <v>16.47</v>
      </c>
      <c r="AO170" s="19">
        <v>35</v>
      </c>
    </row>
    <row r="171" spans="1:41">
      <c r="A171" s="117">
        <f t="shared" si="61"/>
        <v>170</v>
      </c>
      <c r="B171" t="s">
        <v>33</v>
      </c>
      <c r="C171" s="138">
        <v>5</v>
      </c>
      <c r="D171" t="s">
        <v>6</v>
      </c>
      <c r="E171" s="19" t="s">
        <v>75</v>
      </c>
      <c r="F171" s="19" t="s">
        <v>132</v>
      </c>
      <c r="G171" s="29"/>
      <c r="H171" s="29"/>
      <c r="I171" s="19"/>
      <c r="J171" s="19"/>
      <c r="K171" s="29"/>
      <c r="L171" s="29"/>
      <c r="M171" s="29"/>
      <c r="N171" s="29"/>
      <c r="O171" s="121">
        <f t="shared" si="62"/>
        <v>0</v>
      </c>
      <c r="P171" s="123"/>
      <c r="Q171" s="123"/>
      <c r="R171" s="123"/>
      <c r="S171" s="123"/>
      <c r="T171" s="121"/>
      <c r="U171" s="19" t="s">
        <v>215</v>
      </c>
      <c r="V171" s="29">
        <v>43.4</v>
      </c>
      <c r="W171" s="29">
        <v>5.3</v>
      </c>
      <c r="X171" s="29">
        <v>0.6</v>
      </c>
      <c r="Y171" s="29">
        <v>0.3</v>
      </c>
      <c r="Z171" s="29">
        <v>50.4</v>
      </c>
      <c r="AA171" s="29"/>
      <c r="AB171" s="122">
        <f t="shared" si="64"/>
        <v>100</v>
      </c>
      <c r="AC171" s="29">
        <v>43.4</v>
      </c>
      <c r="AD171" s="29">
        <v>5.3</v>
      </c>
      <c r="AE171" s="29">
        <v>0.6</v>
      </c>
      <c r="AF171" s="29">
        <v>0.3</v>
      </c>
      <c r="AG171" s="29">
        <v>50.4</v>
      </c>
      <c r="AH171" s="22"/>
      <c r="AI171" s="29">
        <v>14.7</v>
      </c>
      <c r="AJ171" s="29"/>
      <c r="AK171" s="19"/>
      <c r="AL171" s="29">
        <v>14.7</v>
      </c>
      <c r="AM171" s="29"/>
      <c r="AN171" s="19"/>
      <c r="AO171" s="19">
        <v>29</v>
      </c>
    </row>
    <row r="172" spans="1:41">
      <c r="A172" s="117">
        <f t="shared" si="61"/>
        <v>171</v>
      </c>
      <c r="B172" t="s">
        <v>33</v>
      </c>
      <c r="C172" s="138">
        <v>5</v>
      </c>
      <c r="D172" t="s">
        <v>6</v>
      </c>
      <c r="E172" s="19" t="s">
        <v>75</v>
      </c>
      <c r="F172" s="19" t="s">
        <v>137</v>
      </c>
      <c r="G172" s="29"/>
      <c r="H172" s="29"/>
      <c r="I172" s="19"/>
      <c r="J172" s="19"/>
      <c r="K172" s="29"/>
      <c r="L172" s="29"/>
      <c r="M172" s="29"/>
      <c r="N172" s="29"/>
      <c r="O172" s="121">
        <f t="shared" si="62"/>
        <v>0</v>
      </c>
      <c r="P172" s="123"/>
      <c r="Q172" s="123"/>
      <c r="R172" s="123"/>
      <c r="S172" s="123"/>
      <c r="T172" s="121"/>
      <c r="U172" s="19" t="s">
        <v>215</v>
      </c>
      <c r="V172" s="29">
        <v>45.6</v>
      </c>
      <c r="W172" s="29">
        <v>4.8</v>
      </c>
      <c r="X172" s="29">
        <v>0.1</v>
      </c>
      <c r="Y172" s="29">
        <v>0.1</v>
      </c>
      <c r="Z172" s="29">
        <v>49.4</v>
      </c>
      <c r="AA172" s="29"/>
      <c r="AB172" s="122">
        <f t="shared" si="64"/>
        <v>100</v>
      </c>
      <c r="AC172" s="29">
        <v>45.6</v>
      </c>
      <c r="AD172" s="29">
        <v>4.8</v>
      </c>
      <c r="AE172" s="29">
        <v>0.1</v>
      </c>
      <c r="AF172" s="29">
        <v>0.1</v>
      </c>
      <c r="AG172" s="29">
        <v>49.4</v>
      </c>
      <c r="AH172" s="22"/>
      <c r="AI172" s="2">
        <v>10.4</v>
      </c>
      <c r="AJ172" s="2"/>
      <c r="AK172" s="121"/>
      <c r="AL172" s="2">
        <v>10.4</v>
      </c>
      <c r="AM172" s="2"/>
      <c r="AN172" s="121"/>
      <c r="AO172" s="19">
        <v>29</v>
      </c>
    </row>
    <row r="173" spans="1:41" s="4" customFormat="1">
      <c r="A173" s="117">
        <f t="shared" si="61"/>
        <v>172</v>
      </c>
      <c r="B173" s="4" t="s">
        <v>33</v>
      </c>
      <c r="C173" s="139">
        <v>5</v>
      </c>
      <c r="D173" t="s">
        <v>6</v>
      </c>
      <c r="E173" s="25" t="s">
        <v>75</v>
      </c>
      <c r="F173" s="25"/>
      <c r="G173" s="24"/>
      <c r="H173" s="24"/>
      <c r="I173" s="25"/>
      <c r="J173" s="121" t="s">
        <v>453</v>
      </c>
      <c r="K173" s="24">
        <v>3.8</v>
      </c>
      <c r="L173" s="24">
        <v>70.7</v>
      </c>
      <c r="M173" s="24">
        <v>4.5</v>
      </c>
      <c r="N173" s="24">
        <v>24.8</v>
      </c>
      <c r="O173" s="142">
        <f t="shared" si="62"/>
        <v>103.8</v>
      </c>
      <c r="P173" s="143">
        <f>K173</f>
        <v>3.8</v>
      </c>
      <c r="Q173" s="143">
        <f>L173*(1-$K$173/100)</f>
        <v>68.013400000000004</v>
      </c>
      <c r="R173" s="143">
        <f>M173*(1-$K$173/100)</f>
        <v>4.3289999999999997</v>
      </c>
      <c r="S173" s="143">
        <f>N173*(1-$K$173/100)</f>
        <v>23.857600000000001</v>
      </c>
      <c r="T173" s="142"/>
      <c r="U173" s="25" t="s">
        <v>215</v>
      </c>
      <c r="V173" s="24">
        <v>41.9</v>
      </c>
      <c r="W173" s="24">
        <v>5.3</v>
      </c>
      <c r="X173" s="24">
        <v>0.1</v>
      </c>
      <c r="Y173" s="24">
        <v>0.02</v>
      </c>
      <c r="Z173" s="24">
        <v>52.587000000000003</v>
      </c>
      <c r="AA173" s="24">
        <v>9.2999999999999999E-2</v>
      </c>
      <c r="AB173" s="144">
        <f t="shared" si="64"/>
        <v>100.00000000000001</v>
      </c>
      <c r="AC173" s="123">
        <f>100*V173/$AB$173</f>
        <v>41.899999999999991</v>
      </c>
      <c r="AD173" s="123">
        <f t="shared" ref="AD173:AG173" si="81">100*W173/$AB$173</f>
        <v>5.2999999999999989</v>
      </c>
      <c r="AE173" s="123">
        <f t="shared" si="81"/>
        <v>9.9999999999999992E-2</v>
      </c>
      <c r="AF173" s="123">
        <f t="shared" si="81"/>
        <v>1.9999999999999997E-2</v>
      </c>
      <c r="AG173" s="123">
        <f t="shared" si="81"/>
        <v>52.587000000000003</v>
      </c>
      <c r="AH173" s="124">
        <v>9.2999999999999999E-2</v>
      </c>
      <c r="AI173" s="2"/>
      <c r="AJ173" s="2">
        <v>10.4</v>
      </c>
      <c r="AK173" s="121"/>
      <c r="AL173">
        <f>AM173*(Q173+R173+S173)/(Q173+R173)</f>
        <v>13.829787234042554</v>
      </c>
      <c r="AM173" s="2">
        <v>10.4</v>
      </c>
      <c r="AN173" s="3">
        <f>AM173*(Q173+R173)/100</f>
        <v>7.5236095999999995</v>
      </c>
      <c r="AO173" s="25">
        <v>37</v>
      </c>
    </row>
    <row r="174" spans="1:41" s="6" customFormat="1">
      <c r="A174" s="129">
        <f t="shared" si="61"/>
        <v>173</v>
      </c>
      <c r="B174" s="6" t="s">
        <v>33</v>
      </c>
      <c r="C174" s="130">
        <v>6</v>
      </c>
      <c r="D174" s="6" t="s">
        <v>122</v>
      </c>
      <c r="E174" s="102" t="s">
        <v>78</v>
      </c>
      <c r="F174" s="102"/>
      <c r="G174" s="103"/>
      <c r="H174" s="103"/>
      <c r="I174" s="102"/>
      <c r="J174" s="102" t="s">
        <v>69</v>
      </c>
      <c r="K174" s="103">
        <v>0</v>
      </c>
      <c r="L174" s="103">
        <v>68.81</v>
      </c>
      <c r="M174" s="103">
        <v>7.88</v>
      </c>
      <c r="N174" s="103">
        <v>23.32</v>
      </c>
      <c r="O174" s="131">
        <f t="shared" si="62"/>
        <v>100.00999999999999</v>
      </c>
      <c r="P174" s="132">
        <f>100-SUM(Q174:S174)</f>
        <v>0.62000000000000455</v>
      </c>
      <c r="Q174" s="103">
        <v>68.180000000000007</v>
      </c>
      <c r="R174" s="103">
        <v>7.88</v>
      </c>
      <c r="S174" s="103">
        <v>23.32</v>
      </c>
      <c r="T174" s="131"/>
      <c r="U174" s="102"/>
      <c r="V174" s="103"/>
      <c r="W174" s="103"/>
      <c r="X174" s="103"/>
      <c r="Y174" s="103"/>
      <c r="Z174" s="103"/>
      <c r="AA174" s="103"/>
      <c r="AB174" s="133"/>
      <c r="AC174" s="132"/>
      <c r="AD174" s="132"/>
      <c r="AE174" s="132"/>
      <c r="AF174" s="132"/>
      <c r="AG174" s="132"/>
      <c r="AH174" s="134"/>
      <c r="AI174" s="136"/>
      <c r="AJ174" s="136">
        <v>12.742000000000001</v>
      </c>
      <c r="AK174" s="131"/>
      <c r="AL174" s="6">
        <f>AM174*(Q174+R174+S174)/(Q174+R174)</f>
        <v>16.648697870102552</v>
      </c>
      <c r="AM174" s="136">
        <v>12.742000000000001</v>
      </c>
      <c r="AN174" s="7">
        <f>AM174*(Q174+R174+S174)/100</f>
        <v>12.662999600000001</v>
      </c>
      <c r="AO174" s="102">
        <v>31</v>
      </c>
    </row>
    <row r="175" spans="1:41">
      <c r="A175" s="117">
        <f t="shared" si="61"/>
        <v>174</v>
      </c>
      <c r="B175" t="s">
        <v>33</v>
      </c>
      <c r="C175" s="109">
        <v>6</v>
      </c>
      <c r="D175" t="s">
        <v>122</v>
      </c>
      <c r="E175" s="19" t="s">
        <v>78</v>
      </c>
      <c r="F175" s="19"/>
      <c r="G175" s="29"/>
      <c r="H175" s="29"/>
      <c r="I175" s="19"/>
      <c r="J175" s="19" t="s">
        <v>69</v>
      </c>
      <c r="K175" s="29">
        <v>0</v>
      </c>
      <c r="L175" s="29">
        <v>62.44</v>
      </c>
      <c r="M175" s="29">
        <v>8.07</v>
      </c>
      <c r="N175" s="29">
        <v>29.49</v>
      </c>
      <c r="O175" s="121">
        <f t="shared" si="62"/>
        <v>99.999999999999986</v>
      </c>
      <c r="P175" s="123">
        <v>0</v>
      </c>
      <c r="Q175" s="33">
        <v>62.44</v>
      </c>
      <c r="R175" s="33">
        <v>8.07</v>
      </c>
      <c r="S175" s="33">
        <v>29.49</v>
      </c>
      <c r="T175" s="121"/>
      <c r="U175" s="19" t="s">
        <v>215</v>
      </c>
      <c r="V175" s="29">
        <v>41.04</v>
      </c>
      <c r="W175" s="29">
        <v>8.99</v>
      </c>
      <c r="X175" s="29">
        <v>0.42</v>
      </c>
      <c r="Y175" s="29">
        <v>0.4</v>
      </c>
      <c r="Z175" s="29">
        <v>49.15</v>
      </c>
      <c r="AA175" s="29"/>
      <c r="AB175" s="122">
        <f t="shared" si="64"/>
        <v>100</v>
      </c>
      <c r="AC175" s="29">
        <v>41.04</v>
      </c>
      <c r="AD175" s="29">
        <v>8.99</v>
      </c>
      <c r="AE175" s="29">
        <v>0.42</v>
      </c>
      <c r="AF175" s="29">
        <v>0.4</v>
      </c>
      <c r="AG175" s="29">
        <v>49.15</v>
      </c>
      <c r="AH175" s="22"/>
      <c r="AI175" s="2"/>
      <c r="AJ175" s="2">
        <v>11.824999999999999</v>
      </c>
      <c r="AK175" s="121"/>
      <c r="AL175">
        <f>AM175*(Q175+R175+S175)/(Q175+R175)</f>
        <v>16.770670826833072</v>
      </c>
      <c r="AM175" s="2">
        <v>11.824999999999999</v>
      </c>
      <c r="AN175" s="121"/>
      <c r="AO175" s="19">
        <v>31</v>
      </c>
    </row>
    <row r="176" spans="1:41">
      <c r="A176" s="117">
        <f t="shared" si="61"/>
        <v>175</v>
      </c>
      <c r="B176" t="s">
        <v>33</v>
      </c>
      <c r="C176" s="109">
        <v>6</v>
      </c>
      <c r="D176" t="s">
        <v>122</v>
      </c>
      <c r="E176" s="19" t="s">
        <v>78</v>
      </c>
      <c r="F176" s="19"/>
      <c r="G176" s="29"/>
      <c r="H176" s="29"/>
      <c r="I176" s="19"/>
      <c r="J176" s="19"/>
      <c r="K176" s="29"/>
      <c r="L176" s="29"/>
      <c r="M176" s="29"/>
      <c r="N176" s="29"/>
      <c r="O176" s="121"/>
      <c r="P176" s="123"/>
      <c r="Q176" s="123"/>
      <c r="R176" s="123"/>
      <c r="S176" s="123"/>
      <c r="T176" s="121"/>
      <c r="U176" s="19" t="s">
        <v>215</v>
      </c>
      <c r="V176" s="29">
        <v>46.44</v>
      </c>
      <c r="W176" s="29">
        <v>6.54</v>
      </c>
      <c r="X176" s="29">
        <v>0.16</v>
      </c>
      <c r="Y176" s="29">
        <v>0.3</v>
      </c>
      <c r="Z176" s="29">
        <v>46.33</v>
      </c>
      <c r="AA176" s="29">
        <v>0.23</v>
      </c>
      <c r="AB176" s="122">
        <f t="shared" si="64"/>
        <v>99.999999999999986</v>
      </c>
      <c r="AC176" s="123">
        <f>100*V176/$AB$176</f>
        <v>46.440000000000005</v>
      </c>
      <c r="AD176" s="123">
        <f t="shared" ref="AD176:AH176" si="82">100*W176/$AB$176</f>
        <v>6.5400000000000009</v>
      </c>
      <c r="AE176" s="123">
        <f t="shared" si="82"/>
        <v>0.16000000000000003</v>
      </c>
      <c r="AF176" s="123">
        <f t="shared" si="82"/>
        <v>0.30000000000000004</v>
      </c>
      <c r="AG176" s="123">
        <f t="shared" si="82"/>
        <v>46.330000000000005</v>
      </c>
      <c r="AH176" s="124">
        <f t="shared" si="82"/>
        <v>0.23000000000000004</v>
      </c>
      <c r="AJ176" s="2"/>
      <c r="AK176" s="121"/>
      <c r="AL176"/>
      <c r="AM176" s="2"/>
      <c r="AN176" s="121"/>
      <c r="AO176" s="19">
        <v>31</v>
      </c>
    </row>
    <row r="177" spans="1:41">
      <c r="A177" s="117">
        <f t="shared" si="61"/>
        <v>176</v>
      </c>
      <c r="B177" t="s">
        <v>33</v>
      </c>
      <c r="C177" s="109">
        <v>6</v>
      </c>
      <c r="D177" t="s">
        <v>122</v>
      </c>
      <c r="E177" s="19" t="s">
        <v>78</v>
      </c>
      <c r="F177" s="19" t="s">
        <v>136</v>
      </c>
      <c r="G177" s="29"/>
      <c r="H177" s="29"/>
      <c r="I177" s="19"/>
      <c r="J177" s="19"/>
      <c r="K177" s="29"/>
      <c r="L177" s="29"/>
      <c r="M177" s="29"/>
      <c r="N177" s="29"/>
      <c r="O177" s="121"/>
      <c r="P177" s="123"/>
      <c r="Q177" s="123"/>
      <c r="R177" s="123"/>
      <c r="S177" s="123"/>
      <c r="T177" s="121"/>
      <c r="U177" s="19" t="s">
        <v>215</v>
      </c>
      <c r="V177" s="29">
        <v>35</v>
      </c>
      <c r="W177" s="29">
        <v>5</v>
      </c>
      <c r="X177" s="29">
        <v>0.1</v>
      </c>
      <c r="Y177" s="29">
        <v>0.1</v>
      </c>
      <c r="Z177" s="29">
        <v>59.9</v>
      </c>
      <c r="AA177" s="29"/>
      <c r="AB177" s="122">
        <f t="shared" si="64"/>
        <v>100.1</v>
      </c>
      <c r="AC177" s="123">
        <f>100*V177/$AB$177</f>
        <v>34.965034965034967</v>
      </c>
      <c r="AD177" s="123">
        <f t="shared" ref="AD177:AG177" si="83">100*W177/$AB$177</f>
        <v>4.9950049950049955</v>
      </c>
      <c r="AE177" s="123">
        <f t="shared" si="83"/>
        <v>9.9900099900099903E-2</v>
      </c>
      <c r="AF177" s="123">
        <f t="shared" si="83"/>
        <v>9.9900099900099903E-2</v>
      </c>
      <c r="AG177" s="123">
        <f t="shared" si="83"/>
        <v>59.840159840159842</v>
      </c>
      <c r="AH177" s="124"/>
      <c r="AI177" s="2">
        <v>13.6</v>
      </c>
      <c r="AJ177" s="2"/>
      <c r="AK177" s="121"/>
      <c r="AL177" s="2">
        <v>13.6</v>
      </c>
      <c r="AM177" s="2"/>
      <c r="AN177" s="121"/>
      <c r="AO177" s="19">
        <v>29</v>
      </c>
    </row>
    <row r="178" spans="1:41">
      <c r="A178" s="117">
        <f t="shared" si="61"/>
        <v>177</v>
      </c>
      <c r="B178" t="s">
        <v>33</v>
      </c>
      <c r="C178" s="109">
        <v>6</v>
      </c>
      <c r="D178" t="s">
        <v>122</v>
      </c>
      <c r="E178" s="19" t="s">
        <v>122</v>
      </c>
      <c r="F178" s="19" t="s">
        <v>123</v>
      </c>
      <c r="G178" s="29"/>
      <c r="H178" s="29"/>
      <c r="I178" s="19"/>
      <c r="J178" s="19"/>
      <c r="K178" s="29"/>
      <c r="L178" s="29"/>
      <c r="M178" s="29"/>
      <c r="N178" s="29"/>
      <c r="O178" s="121"/>
      <c r="P178" s="123"/>
      <c r="Q178" s="123"/>
      <c r="R178" s="123"/>
      <c r="S178" s="123"/>
      <c r="T178" s="121"/>
      <c r="U178" s="19" t="s">
        <v>215</v>
      </c>
      <c r="V178" s="29">
        <v>32.9</v>
      </c>
      <c r="W178" s="29">
        <v>4.5999999999999996</v>
      </c>
      <c r="X178" s="29">
        <v>0.1</v>
      </c>
      <c r="Y178" s="29">
        <v>0.2</v>
      </c>
      <c r="Z178" s="29">
        <v>62.1</v>
      </c>
      <c r="AA178" s="29"/>
      <c r="AB178" s="122">
        <f t="shared" si="64"/>
        <v>99.9</v>
      </c>
      <c r="AC178" s="123">
        <f>100*V178/$AB$178</f>
        <v>32.932932932932928</v>
      </c>
      <c r="AD178" s="123">
        <f t="shared" ref="AD178:AG178" si="84">100*W178/$AB$178</f>
        <v>4.6046046046046039</v>
      </c>
      <c r="AE178" s="123">
        <f t="shared" si="84"/>
        <v>0.10010010010010009</v>
      </c>
      <c r="AF178" s="123">
        <f t="shared" si="84"/>
        <v>0.20020020020020018</v>
      </c>
      <c r="AG178" s="123">
        <f t="shared" si="84"/>
        <v>62.162162162162161</v>
      </c>
      <c r="AH178" s="124"/>
      <c r="AI178" s="2">
        <v>12.7</v>
      </c>
      <c r="AJ178" s="2"/>
      <c r="AK178" s="121"/>
      <c r="AL178" s="2">
        <v>12.7</v>
      </c>
      <c r="AM178" s="2"/>
      <c r="AN178" s="121"/>
      <c r="AO178" s="19">
        <v>29</v>
      </c>
    </row>
    <row r="179" spans="1:41">
      <c r="A179" s="117">
        <f t="shared" si="61"/>
        <v>178</v>
      </c>
      <c r="B179" t="s">
        <v>33</v>
      </c>
      <c r="C179" s="109">
        <v>6</v>
      </c>
      <c r="D179" t="s">
        <v>122</v>
      </c>
      <c r="E179" s="19" t="s">
        <v>122</v>
      </c>
      <c r="F179" s="19" t="s">
        <v>138</v>
      </c>
      <c r="G179" s="29"/>
      <c r="H179" s="29"/>
      <c r="I179" s="19"/>
      <c r="J179" s="19"/>
      <c r="K179" s="29"/>
      <c r="L179" s="29"/>
      <c r="M179" s="29"/>
      <c r="N179" s="29"/>
      <c r="O179" s="121"/>
      <c r="P179" s="123"/>
      <c r="Q179" s="123"/>
      <c r="R179" s="123"/>
      <c r="S179" s="123"/>
      <c r="T179" s="121"/>
      <c r="U179" s="19" t="s">
        <v>215</v>
      </c>
      <c r="V179" s="29">
        <v>32.9</v>
      </c>
      <c r="W179" s="29">
        <v>5</v>
      </c>
      <c r="X179" s="29">
        <v>0.1</v>
      </c>
      <c r="Y179" s="29">
        <v>0.1</v>
      </c>
      <c r="Z179" s="29">
        <v>62</v>
      </c>
      <c r="AA179" s="29"/>
      <c r="AB179" s="122">
        <f t="shared" si="64"/>
        <v>100.1</v>
      </c>
      <c r="AC179" s="123">
        <f>100*V179/$AB$179</f>
        <v>32.867132867132867</v>
      </c>
      <c r="AD179" s="123">
        <f t="shared" ref="AD179:AG179" si="85">100*W179/$AB$179</f>
        <v>4.9950049950049955</v>
      </c>
      <c r="AE179" s="123">
        <f t="shared" si="85"/>
        <v>9.9900099900099903E-2</v>
      </c>
      <c r="AF179" s="123">
        <f t="shared" si="85"/>
        <v>9.9900099900099903E-2</v>
      </c>
      <c r="AG179" s="123">
        <f t="shared" si="85"/>
        <v>61.938061938061942</v>
      </c>
      <c r="AH179" s="124"/>
      <c r="AI179" s="2">
        <v>12.2</v>
      </c>
      <c r="AJ179" s="2"/>
      <c r="AK179" s="121"/>
      <c r="AL179" s="2">
        <v>12.2</v>
      </c>
      <c r="AM179" s="2"/>
      <c r="AN179" s="121"/>
      <c r="AO179" s="19">
        <v>29</v>
      </c>
    </row>
    <row r="180" spans="1:41" s="4" customFormat="1">
      <c r="A180" s="117">
        <f t="shared" si="61"/>
        <v>179</v>
      </c>
      <c r="B180" s="4" t="s">
        <v>33</v>
      </c>
      <c r="C180" s="139">
        <v>6</v>
      </c>
      <c r="D180" t="s">
        <v>122</v>
      </c>
      <c r="E180" s="25" t="s">
        <v>122</v>
      </c>
      <c r="F180" s="25"/>
      <c r="G180" s="24"/>
      <c r="H180" s="24"/>
      <c r="I180" s="25"/>
      <c r="J180" s="25" t="s">
        <v>71</v>
      </c>
      <c r="K180" s="24">
        <v>2.1</v>
      </c>
      <c r="L180" s="24">
        <v>66.7</v>
      </c>
      <c r="M180" s="24">
        <v>8.1999999999999993</v>
      </c>
      <c r="N180" s="24">
        <v>23</v>
      </c>
      <c r="O180" s="142">
        <f t="shared" si="62"/>
        <v>100</v>
      </c>
      <c r="P180" s="123">
        <v>2.1</v>
      </c>
      <c r="Q180" s="123">
        <v>66.7</v>
      </c>
      <c r="R180" s="123">
        <v>8.1999999999999993</v>
      </c>
      <c r="S180" s="123">
        <v>23</v>
      </c>
      <c r="T180" s="121"/>
      <c r="U180" s="19" t="s">
        <v>69</v>
      </c>
      <c r="V180" s="29">
        <v>35.5</v>
      </c>
      <c r="W180" s="29">
        <v>4.5999999999999996</v>
      </c>
      <c r="X180" s="29">
        <v>0.45</v>
      </c>
      <c r="Y180" s="29">
        <v>0</v>
      </c>
      <c r="Z180" s="29">
        <v>35.96</v>
      </c>
      <c r="AA180" s="29"/>
      <c r="AB180" s="122">
        <f t="shared" si="64"/>
        <v>76.510000000000005</v>
      </c>
      <c r="AC180" s="123">
        <f>100*V180/$AB$180</f>
        <v>46.399163508038164</v>
      </c>
      <c r="AD180" s="123">
        <f t="shared" ref="AD180:AG180" si="86">100*W180/$AB$180</f>
        <v>6.0122859756894513</v>
      </c>
      <c r="AE180" s="123">
        <f t="shared" si="86"/>
        <v>0.58815841066527252</v>
      </c>
      <c r="AF180" s="123">
        <f t="shared" si="86"/>
        <v>0</v>
      </c>
      <c r="AG180" s="123">
        <f t="shared" si="86"/>
        <v>47.000392105607105</v>
      </c>
      <c r="AH180" s="124"/>
      <c r="AJ180" s="141">
        <v>12.34</v>
      </c>
      <c r="AK180" s="142"/>
      <c r="AL180">
        <f>AM180*(Q180+R180+S180)/(Q180+R180)</f>
        <v>16.129319092122831</v>
      </c>
      <c r="AM180" s="141">
        <v>12.34</v>
      </c>
      <c r="AN180" s="3">
        <f>AM180*(Q180+R180+S180)/100</f>
        <v>12.080859999999999</v>
      </c>
      <c r="AO180" s="25">
        <v>32</v>
      </c>
    </row>
    <row r="181" spans="1:41" s="6" customFormat="1">
      <c r="A181" s="129">
        <f t="shared" si="61"/>
        <v>180</v>
      </c>
      <c r="B181" s="6" t="s">
        <v>109</v>
      </c>
      <c r="C181" s="130">
        <v>7</v>
      </c>
      <c r="D181" s="103" t="s">
        <v>76</v>
      </c>
      <c r="E181" s="102" t="s">
        <v>76</v>
      </c>
      <c r="F181" s="102"/>
      <c r="G181" s="103"/>
      <c r="H181" s="103">
        <v>6.0999999999999999E-2</v>
      </c>
      <c r="I181" s="102">
        <v>1.4</v>
      </c>
      <c r="J181" s="102"/>
      <c r="K181" s="103"/>
      <c r="L181" s="103"/>
      <c r="M181" s="103"/>
      <c r="N181" s="103"/>
      <c r="O181" s="131"/>
      <c r="P181" s="132"/>
      <c r="Q181" s="132"/>
      <c r="R181" s="132"/>
      <c r="S181" s="132"/>
      <c r="T181" s="131"/>
      <c r="U181" s="102"/>
      <c r="V181" s="103"/>
      <c r="W181" s="103"/>
      <c r="X181" s="103"/>
      <c r="Y181" s="103"/>
      <c r="Z181" s="103"/>
      <c r="AA181" s="103"/>
      <c r="AB181" s="133"/>
      <c r="AC181" s="132"/>
      <c r="AD181" s="132"/>
      <c r="AE181" s="132"/>
      <c r="AF181" s="132"/>
      <c r="AG181" s="132"/>
      <c r="AH181" s="134"/>
      <c r="AI181" s="136"/>
      <c r="AJ181" s="136"/>
      <c r="AK181" s="131"/>
      <c r="AL181" s="136"/>
      <c r="AM181" s="136"/>
      <c r="AN181" s="131"/>
      <c r="AO181" s="102">
        <v>41</v>
      </c>
    </row>
    <row r="182" spans="1:41" ht="15.2" customHeight="1">
      <c r="A182" s="117">
        <f t="shared" si="61"/>
        <v>181</v>
      </c>
      <c r="B182" t="s">
        <v>33</v>
      </c>
      <c r="C182" s="109">
        <v>7</v>
      </c>
      <c r="D182" s="29" t="s">
        <v>76</v>
      </c>
      <c r="E182" s="3" t="s">
        <v>4</v>
      </c>
      <c r="J182" s="3" t="s">
        <v>55</v>
      </c>
      <c r="N182">
        <v>12.17</v>
      </c>
      <c r="O182" s="121">
        <f t="shared" si="62"/>
        <v>12.17</v>
      </c>
      <c r="P182" s="123"/>
      <c r="Q182" s="123"/>
      <c r="R182" s="123"/>
      <c r="S182" s="123"/>
      <c r="T182" s="121"/>
      <c r="U182" s="19" t="s">
        <v>69</v>
      </c>
      <c r="V182">
        <v>41.34</v>
      </c>
      <c r="W182">
        <v>5.12</v>
      </c>
      <c r="X182">
        <v>0.14000000000000001</v>
      </c>
      <c r="Y182">
        <v>0.05</v>
      </c>
      <c r="Z182">
        <v>41.18</v>
      </c>
      <c r="AB182" s="122">
        <f t="shared" si="64"/>
        <v>87.83</v>
      </c>
      <c r="AC182" s="123">
        <f>100*V182/$AB$182</f>
        <v>47.068199931686216</v>
      </c>
      <c r="AD182" s="123">
        <f t="shared" ref="AD182:AG182" si="87">100*W182/$AB$182</f>
        <v>5.8294432426278036</v>
      </c>
      <c r="AE182" s="123">
        <f t="shared" si="87"/>
        <v>0.15939883866560403</v>
      </c>
      <c r="AF182" s="123">
        <f t="shared" si="87"/>
        <v>5.6928156666287144E-2</v>
      </c>
      <c r="AG182" s="123">
        <f t="shared" si="87"/>
        <v>46.886029830354097</v>
      </c>
      <c r="AH182" s="124"/>
      <c r="AJ182">
        <v>15.46</v>
      </c>
      <c r="AL182"/>
      <c r="AM182">
        <v>15.46</v>
      </c>
      <c r="AN182" s="3"/>
      <c r="AO182" s="3">
        <v>7</v>
      </c>
    </row>
    <row r="183" spans="1:41" ht="15.2" customHeight="1">
      <c r="A183" s="117">
        <f t="shared" si="61"/>
        <v>182</v>
      </c>
      <c r="B183" t="s">
        <v>33</v>
      </c>
      <c r="C183" s="109">
        <v>7</v>
      </c>
      <c r="D183" s="29" t="s">
        <v>76</v>
      </c>
      <c r="E183" s="3" t="s">
        <v>4</v>
      </c>
      <c r="J183" s="3" t="s">
        <v>454</v>
      </c>
      <c r="K183">
        <v>6.6</v>
      </c>
      <c r="L183">
        <v>81.900000000000006</v>
      </c>
      <c r="M183">
        <v>10.3</v>
      </c>
      <c r="N183" s="29">
        <v>1.2</v>
      </c>
      <c r="O183" s="121">
        <f t="shared" si="62"/>
        <v>100</v>
      </c>
      <c r="P183">
        <v>6.6</v>
      </c>
      <c r="Q183">
        <v>81.900000000000006</v>
      </c>
      <c r="R183">
        <v>10.3</v>
      </c>
      <c r="S183" s="29">
        <v>1.2</v>
      </c>
      <c r="T183" s="121"/>
      <c r="U183" s="19" t="s">
        <v>215</v>
      </c>
      <c r="V183">
        <v>48.6</v>
      </c>
      <c r="W183">
        <v>6.2</v>
      </c>
      <c r="X183">
        <v>0.11</v>
      </c>
      <c r="Y183">
        <v>0.13</v>
      </c>
      <c r="Z183">
        <v>44.96</v>
      </c>
      <c r="AB183" s="122">
        <f t="shared" si="64"/>
        <v>100</v>
      </c>
      <c r="AC183">
        <v>48.6</v>
      </c>
      <c r="AD183">
        <v>6.2</v>
      </c>
      <c r="AE183">
        <v>0.11</v>
      </c>
      <c r="AF183">
        <v>0.13</v>
      </c>
      <c r="AG183">
        <v>44.96</v>
      </c>
      <c r="AL183"/>
      <c r="AM183"/>
      <c r="AN183" s="3"/>
      <c r="AO183" s="19">
        <v>8</v>
      </c>
    </row>
    <row r="184" spans="1:41">
      <c r="A184" s="117">
        <f t="shared" si="61"/>
        <v>183</v>
      </c>
      <c r="B184" t="s">
        <v>33</v>
      </c>
      <c r="C184" s="109">
        <v>7</v>
      </c>
      <c r="D184" s="29" t="s">
        <v>76</v>
      </c>
      <c r="E184" s="3" t="s">
        <v>4</v>
      </c>
      <c r="J184" s="121" t="s">
        <v>453</v>
      </c>
      <c r="K184">
        <v>6.2</v>
      </c>
      <c r="L184">
        <v>84.7</v>
      </c>
      <c r="M184">
        <v>6.9</v>
      </c>
      <c r="N184">
        <v>8.4</v>
      </c>
      <c r="O184" s="121">
        <f t="shared" si="62"/>
        <v>106.20000000000002</v>
      </c>
      <c r="P184" s="123">
        <f>K184</f>
        <v>6.2</v>
      </c>
      <c r="Q184" s="123">
        <f>L184*(1-$K$184/100)</f>
        <v>79.448599999999999</v>
      </c>
      <c r="R184" s="123">
        <f>M184*(1-$K$184/100)</f>
        <v>6.4722</v>
      </c>
      <c r="S184" s="123">
        <f>N184*(1-$K$184/100)</f>
        <v>7.8792</v>
      </c>
      <c r="T184" s="121"/>
      <c r="U184" s="19"/>
      <c r="AB184" s="122"/>
      <c r="AG184"/>
      <c r="AI184">
        <v>16.899999999999999</v>
      </c>
      <c r="AL184">
        <v>16.899999999999999</v>
      </c>
      <c r="AM184" s="128">
        <f>AL184*(Q184+R184)/(Q184+R184+S184)</f>
        <v>15.480399999999999</v>
      </c>
      <c r="AN184" s="3">
        <f>AL184*(Q184+R184)/100</f>
        <v>14.5206152</v>
      </c>
      <c r="AO184" s="3">
        <v>8</v>
      </c>
    </row>
    <row r="185" spans="1:41">
      <c r="A185" s="117">
        <f t="shared" si="61"/>
        <v>184</v>
      </c>
      <c r="B185" t="s">
        <v>33</v>
      </c>
      <c r="C185" s="109">
        <v>7</v>
      </c>
      <c r="D185" s="29" t="s">
        <v>76</v>
      </c>
      <c r="E185" s="19" t="s">
        <v>76</v>
      </c>
      <c r="F185" s="19"/>
      <c r="G185" s="29"/>
      <c r="H185" s="29"/>
      <c r="I185" s="19"/>
      <c r="J185" s="19" t="s">
        <v>69</v>
      </c>
      <c r="K185" s="29"/>
      <c r="L185" s="29">
        <v>78.7</v>
      </c>
      <c r="M185" s="29">
        <v>10.53</v>
      </c>
      <c r="N185" s="29">
        <v>10.77</v>
      </c>
      <c r="O185" s="121">
        <f t="shared" si="62"/>
        <v>100</v>
      </c>
      <c r="P185" s="123">
        <v>0</v>
      </c>
      <c r="Q185" s="33">
        <v>78.7</v>
      </c>
      <c r="R185" s="33">
        <v>10.53</v>
      </c>
      <c r="S185" s="33">
        <v>10.77</v>
      </c>
      <c r="T185" s="121"/>
      <c r="U185" s="19" t="s">
        <v>215</v>
      </c>
      <c r="V185" s="29">
        <v>47.09</v>
      </c>
      <c r="W185" s="29">
        <v>6</v>
      </c>
      <c r="X185" s="29">
        <v>0.18</v>
      </c>
      <c r="Y185" s="29">
        <v>0.11</v>
      </c>
      <c r="Z185" s="29">
        <v>46.63</v>
      </c>
      <c r="AA185" s="29"/>
      <c r="AB185" s="122">
        <f t="shared" si="64"/>
        <v>100.01</v>
      </c>
      <c r="AC185" s="29">
        <v>47.09</v>
      </c>
      <c r="AD185" s="29">
        <v>6</v>
      </c>
      <c r="AE185" s="29">
        <v>0.18</v>
      </c>
      <c r="AF185" s="29">
        <v>0.11</v>
      </c>
      <c r="AG185" s="29">
        <v>46.63</v>
      </c>
      <c r="AH185" s="22"/>
      <c r="AK185" s="121"/>
      <c r="AL185"/>
      <c r="AM185"/>
      <c r="AN185" s="121"/>
      <c r="AO185" s="19">
        <v>31</v>
      </c>
    </row>
    <row r="186" spans="1:41">
      <c r="A186" s="117">
        <f t="shared" si="61"/>
        <v>185</v>
      </c>
      <c r="B186" t="s">
        <v>33</v>
      </c>
      <c r="C186" s="109">
        <v>7</v>
      </c>
      <c r="D186" s="29" t="s">
        <v>76</v>
      </c>
      <c r="E186" s="19" t="s">
        <v>76</v>
      </c>
      <c r="F186" s="19"/>
      <c r="G186" s="29"/>
      <c r="H186" s="29"/>
      <c r="I186" s="19"/>
      <c r="J186" s="19" t="s">
        <v>69</v>
      </c>
      <c r="K186" s="29"/>
      <c r="L186" s="29">
        <v>78.8</v>
      </c>
      <c r="M186" s="29">
        <v>12.12</v>
      </c>
      <c r="N186" s="29">
        <v>9.09</v>
      </c>
      <c r="O186" s="121">
        <f t="shared" si="62"/>
        <v>100.01</v>
      </c>
      <c r="P186" s="123">
        <f>100*K186/$O$186</f>
        <v>0</v>
      </c>
      <c r="Q186" s="123">
        <f t="shared" ref="Q186:S186" si="88">100*L186/$O$186</f>
        <v>78.792120787921206</v>
      </c>
      <c r="R186" s="123">
        <f t="shared" si="88"/>
        <v>12.118788121187881</v>
      </c>
      <c r="S186" s="123">
        <f t="shared" si="88"/>
        <v>9.0890910908909106</v>
      </c>
      <c r="T186" s="121"/>
      <c r="U186" s="19" t="s">
        <v>215</v>
      </c>
      <c r="V186" s="29">
        <v>49.33</v>
      </c>
      <c r="W186" s="29">
        <v>7.94</v>
      </c>
      <c r="X186" s="29">
        <v>0.49</v>
      </c>
      <c r="Y186" s="29">
        <v>0.25</v>
      </c>
      <c r="Z186" s="29">
        <v>41.99</v>
      </c>
      <c r="AA186" s="29"/>
      <c r="AB186" s="122">
        <f t="shared" si="64"/>
        <v>100</v>
      </c>
      <c r="AC186" s="29">
        <v>49.33</v>
      </c>
      <c r="AD186" s="29">
        <v>7.94</v>
      </c>
      <c r="AE186" s="29">
        <v>0.49</v>
      </c>
      <c r="AF186" s="29">
        <v>0.25</v>
      </c>
      <c r="AG186" s="29">
        <v>41.99</v>
      </c>
      <c r="AH186" s="22"/>
      <c r="AI186" s="2"/>
      <c r="AJ186" s="2">
        <v>15.992000000000001</v>
      </c>
      <c r="AK186" s="121"/>
      <c r="AL186">
        <f>AM186*(Q186+R186+S186)/(Q186+R186)</f>
        <v>17.590848218213814</v>
      </c>
      <c r="AM186" s="2">
        <v>15.992000000000001</v>
      </c>
      <c r="AN186" s="121"/>
      <c r="AO186" s="19">
        <v>31</v>
      </c>
    </row>
    <row r="187" spans="1:41">
      <c r="A187" s="117">
        <f t="shared" si="61"/>
        <v>186</v>
      </c>
      <c r="B187" t="s">
        <v>33</v>
      </c>
      <c r="C187" s="109">
        <v>7</v>
      </c>
      <c r="D187" s="29" t="s">
        <v>76</v>
      </c>
      <c r="E187" s="19" t="s">
        <v>76</v>
      </c>
      <c r="F187" s="19"/>
      <c r="G187" s="29"/>
      <c r="H187" s="29"/>
      <c r="I187" s="19"/>
      <c r="J187" s="19" t="s">
        <v>69</v>
      </c>
      <c r="K187" s="29"/>
      <c r="L187" s="29">
        <v>81.75</v>
      </c>
      <c r="M187" s="29">
        <v>12.97</v>
      </c>
      <c r="N187" s="29">
        <v>5.27</v>
      </c>
      <c r="O187" s="121">
        <f t="shared" si="62"/>
        <v>99.99</v>
      </c>
      <c r="P187" s="123">
        <f>100-SUM(Q187:S187)</f>
        <v>0</v>
      </c>
      <c r="Q187" s="123">
        <f t="shared" ref="Q187:S187" si="89">100*L187/$O$187</f>
        <v>81.758175817581758</v>
      </c>
      <c r="R187" s="123">
        <f t="shared" si="89"/>
        <v>12.971297129712973</v>
      </c>
      <c r="S187" s="123">
        <f t="shared" si="89"/>
        <v>5.2705270527052708</v>
      </c>
      <c r="T187" s="121"/>
      <c r="U187" s="19" t="s">
        <v>215</v>
      </c>
      <c r="V187" s="29">
        <v>46.09</v>
      </c>
      <c r="W187" s="29">
        <v>5.36</v>
      </c>
      <c r="X187" s="29">
        <v>0.32</v>
      </c>
      <c r="Y187" s="29">
        <v>0.21</v>
      </c>
      <c r="Z187" s="29">
        <v>48.02</v>
      </c>
      <c r="AA187" s="29"/>
      <c r="AB187" s="122">
        <f t="shared" si="64"/>
        <v>100</v>
      </c>
      <c r="AC187" s="29">
        <v>46.09</v>
      </c>
      <c r="AD187" s="29">
        <v>5.36</v>
      </c>
      <c r="AE187" s="29">
        <v>0.32</v>
      </c>
      <c r="AF187" s="29">
        <v>0.21</v>
      </c>
      <c r="AG187" s="29">
        <v>48.02</v>
      </c>
      <c r="AH187" s="22"/>
      <c r="AI187" s="2"/>
      <c r="AJ187" s="2">
        <v>17.277999999999999</v>
      </c>
      <c r="AK187" s="121"/>
      <c r="AL187">
        <f>AM187*(Q187+R187+S187)/(Q187+R187)</f>
        <v>18.239307643581082</v>
      </c>
      <c r="AM187" s="2">
        <v>17.277999999999999</v>
      </c>
      <c r="AN187" s="121"/>
      <c r="AO187" s="19">
        <v>31</v>
      </c>
    </row>
    <row r="188" spans="1:41">
      <c r="A188" s="117">
        <f t="shared" si="61"/>
        <v>187</v>
      </c>
      <c r="B188" t="s">
        <v>33</v>
      </c>
      <c r="C188" s="109">
        <v>7</v>
      </c>
      <c r="D188" s="29" t="s">
        <v>76</v>
      </c>
      <c r="E188" s="19" t="s">
        <v>76</v>
      </c>
      <c r="F188" s="19"/>
      <c r="G188" s="29"/>
      <c r="H188" s="29"/>
      <c r="I188" s="19"/>
      <c r="J188" s="19"/>
      <c r="K188" s="29"/>
      <c r="L188" s="29"/>
      <c r="M188" s="29"/>
      <c r="N188" s="29"/>
      <c r="O188" s="121"/>
      <c r="P188" s="123"/>
      <c r="Q188" s="123"/>
      <c r="R188" s="123"/>
      <c r="S188" s="123"/>
      <c r="T188" s="121"/>
      <c r="U188" s="19" t="s">
        <v>215</v>
      </c>
      <c r="V188" s="29">
        <v>46.71</v>
      </c>
      <c r="W188" s="29">
        <v>5.31</v>
      </c>
      <c r="X188" s="29">
        <v>0.32</v>
      </c>
      <c r="Y188" s="29">
        <v>0.32</v>
      </c>
      <c r="Z188" s="29">
        <v>47.35</v>
      </c>
      <c r="AA188" s="29"/>
      <c r="AB188" s="122">
        <f t="shared" si="64"/>
        <v>100.01</v>
      </c>
      <c r="AC188" s="29">
        <v>46.71</v>
      </c>
      <c r="AD188" s="29">
        <v>5.31</v>
      </c>
      <c r="AE188" s="29">
        <v>0.32</v>
      </c>
      <c r="AF188" s="29">
        <v>0.32</v>
      </c>
      <c r="AG188" s="29">
        <v>47.35</v>
      </c>
      <c r="AH188" s="22"/>
      <c r="AI188" s="2"/>
      <c r="AJ188" s="2">
        <v>18.367000000000001</v>
      </c>
      <c r="AK188" s="121"/>
      <c r="AL188" s="2"/>
      <c r="AM188" s="2">
        <v>18.367000000000001</v>
      </c>
      <c r="AN188" s="121"/>
      <c r="AO188" s="19">
        <v>31</v>
      </c>
    </row>
    <row r="189" spans="1:41">
      <c r="A189" s="117">
        <f t="shared" si="61"/>
        <v>188</v>
      </c>
      <c r="B189" t="s">
        <v>33</v>
      </c>
      <c r="C189" s="109">
        <v>7</v>
      </c>
      <c r="D189" s="29" t="s">
        <v>76</v>
      </c>
      <c r="E189" s="19" t="s">
        <v>76</v>
      </c>
      <c r="F189" s="19"/>
      <c r="G189" s="29"/>
      <c r="H189" s="29"/>
      <c r="I189" s="19"/>
      <c r="J189" s="19" t="s">
        <v>69</v>
      </c>
      <c r="K189" s="29"/>
      <c r="L189" s="29">
        <v>83.47</v>
      </c>
      <c r="M189" s="29">
        <v>13.29</v>
      </c>
      <c r="N189" s="29">
        <v>3.25</v>
      </c>
      <c r="O189" s="121">
        <f t="shared" si="62"/>
        <v>100.00999999999999</v>
      </c>
      <c r="P189" s="123">
        <f>100*K189/$O$189</f>
        <v>0</v>
      </c>
      <c r="Q189" s="123">
        <f t="shared" ref="Q189:S189" si="90">100*L189/$O$189</f>
        <v>83.461653834616541</v>
      </c>
      <c r="R189" s="123">
        <f t="shared" si="90"/>
        <v>13.288671132886712</v>
      </c>
      <c r="S189" s="123">
        <f t="shared" si="90"/>
        <v>3.2496750324967505</v>
      </c>
      <c r="T189" s="121"/>
      <c r="U189" s="19"/>
      <c r="V189" s="29"/>
      <c r="W189" s="29"/>
      <c r="X189" s="29"/>
      <c r="Y189" s="29"/>
      <c r="Z189" s="29"/>
      <c r="AA189" s="29"/>
      <c r="AB189" s="122"/>
      <c r="AC189" s="123"/>
      <c r="AD189" s="123"/>
      <c r="AE189" s="123"/>
      <c r="AF189" s="123"/>
      <c r="AG189" s="123"/>
      <c r="AH189" s="124"/>
      <c r="AI189" s="2"/>
      <c r="AJ189" s="2">
        <v>16.001999999999999</v>
      </c>
      <c r="AK189" s="121"/>
      <c r="AL189">
        <f>AM189*(Q189+R189+S189)/(Q189+R189)</f>
        <v>16.539479330301777</v>
      </c>
      <c r="AM189" s="2">
        <v>16.001999999999999</v>
      </c>
      <c r="AN189" s="121"/>
      <c r="AO189" s="19">
        <v>31</v>
      </c>
    </row>
    <row r="190" spans="1:41">
      <c r="A190" s="117">
        <f t="shared" si="61"/>
        <v>189</v>
      </c>
      <c r="B190" t="s">
        <v>33</v>
      </c>
      <c r="C190" s="109">
        <v>7</v>
      </c>
      <c r="D190" s="29" t="s">
        <v>76</v>
      </c>
      <c r="E190" s="19" t="s">
        <v>76</v>
      </c>
      <c r="F190" s="19"/>
      <c r="G190" s="29"/>
      <c r="H190" s="29"/>
      <c r="I190" s="19"/>
      <c r="J190" s="19" t="s">
        <v>71</v>
      </c>
      <c r="K190" s="29">
        <v>5</v>
      </c>
      <c r="L190" s="29">
        <v>82.1</v>
      </c>
      <c r="M190" s="29">
        <v>6.02</v>
      </c>
      <c r="N190" s="29">
        <v>6.8</v>
      </c>
      <c r="O190" s="121">
        <f t="shared" si="62"/>
        <v>99.919999999999987</v>
      </c>
      <c r="P190" s="123">
        <f>100*K190/$O$190</f>
        <v>5.0040032025620507</v>
      </c>
      <c r="Q190" s="123">
        <f>100*L190/$O$190</f>
        <v>82.16573258606887</v>
      </c>
      <c r="R190" s="123">
        <f>100*M190/$O$190</f>
        <v>6.0248198558847088</v>
      </c>
      <c r="S190" s="123">
        <f>100*N190/$O$190</f>
        <v>6.8054443554843882</v>
      </c>
      <c r="T190" s="121"/>
      <c r="U190" s="19" t="s">
        <v>69</v>
      </c>
      <c r="V190" s="29">
        <v>42.2</v>
      </c>
      <c r="W190" s="29">
        <v>5.6</v>
      </c>
      <c r="X190" s="29">
        <v>0.2</v>
      </c>
      <c r="Y190" s="29">
        <v>0</v>
      </c>
      <c r="Z190" s="29">
        <v>44.48</v>
      </c>
      <c r="AA190" s="29"/>
      <c r="AB190" s="122">
        <f t="shared" si="64"/>
        <v>92.48</v>
      </c>
      <c r="AC190" s="123">
        <f>100*V190/$AB$190</f>
        <v>45.631487889273352</v>
      </c>
      <c r="AD190" s="123">
        <f t="shared" ref="AD190:AG190" si="91">100*W190/$AB$190</f>
        <v>6.0553633217993079</v>
      </c>
      <c r="AE190" s="123">
        <f t="shared" si="91"/>
        <v>0.2162629757785467</v>
      </c>
      <c r="AF190" s="123">
        <f t="shared" si="91"/>
        <v>0</v>
      </c>
      <c r="AG190" s="123">
        <f t="shared" si="91"/>
        <v>48.096885813148788</v>
      </c>
      <c r="AH190" s="124"/>
      <c r="AJ190" s="2">
        <v>14.48</v>
      </c>
      <c r="AK190" s="121"/>
      <c r="AL190">
        <f>AM190*(Q190+R190+S190)/(Q190+R190)</f>
        <v>15.597385383567863</v>
      </c>
      <c r="AM190" s="2">
        <v>14.48</v>
      </c>
      <c r="AN190" s="3">
        <f>AM190*(Q190+R190+S190)/100</f>
        <v>13.755420336269019</v>
      </c>
      <c r="AO190" s="19">
        <v>32</v>
      </c>
    </row>
    <row r="191" spans="1:41">
      <c r="A191" s="117">
        <f t="shared" si="61"/>
        <v>190</v>
      </c>
      <c r="B191" t="s">
        <v>33</v>
      </c>
      <c r="C191" s="109">
        <v>7</v>
      </c>
      <c r="D191" s="29" t="s">
        <v>76</v>
      </c>
      <c r="E191" s="19" t="s">
        <v>76</v>
      </c>
      <c r="F191" s="19"/>
      <c r="G191" s="29"/>
      <c r="H191" s="29"/>
      <c r="I191" s="19"/>
      <c r="J191" s="19" t="s">
        <v>70</v>
      </c>
      <c r="K191" s="29">
        <v>2.7</v>
      </c>
      <c r="L191" s="29">
        <v>80.400000000000006</v>
      </c>
      <c r="M191" s="29">
        <v>11.2</v>
      </c>
      <c r="N191" s="29">
        <v>5.7</v>
      </c>
      <c r="O191" s="121">
        <f t="shared" si="62"/>
        <v>100.00000000000001</v>
      </c>
      <c r="P191" s="33">
        <v>2.7</v>
      </c>
      <c r="Q191" s="33">
        <v>80.400000000000006</v>
      </c>
      <c r="R191" s="33">
        <v>11.2</v>
      </c>
      <c r="S191" s="33">
        <v>5.7</v>
      </c>
      <c r="T191" s="121"/>
      <c r="U191" s="19" t="s">
        <v>70</v>
      </c>
      <c r="V191" s="29">
        <v>41.7</v>
      </c>
      <c r="W191" s="29">
        <v>6.4</v>
      </c>
      <c r="X191" s="29">
        <v>0</v>
      </c>
      <c r="Y191" s="29">
        <v>0.12</v>
      </c>
      <c r="Z191" s="29">
        <v>43.5</v>
      </c>
      <c r="AA191" s="29"/>
      <c r="AB191" s="122">
        <f t="shared" si="64"/>
        <v>91.72</v>
      </c>
      <c r="AC191" s="123">
        <f>100*V191/$AB$191</f>
        <v>45.464457043174882</v>
      </c>
      <c r="AD191" s="123">
        <f t="shared" ref="AD191:AG191" si="92">100*W191/$AB$191</f>
        <v>6.9777583951155693</v>
      </c>
      <c r="AE191" s="123">
        <f t="shared" si="92"/>
        <v>0</v>
      </c>
      <c r="AF191" s="123">
        <f t="shared" si="92"/>
        <v>0.13083296990841692</v>
      </c>
      <c r="AG191" s="123">
        <f t="shared" si="92"/>
        <v>47.426951591801135</v>
      </c>
      <c r="AH191" s="124"/>
      <c r="AJ191" s="2"/>
      <c r="AK191" s="121"/>
      <c r="AL191"/>
      <c r="AM191" s="2"/>
      <c r="AN191" s="121"/>
      <c r="AO191" s="19">
        <v>34</v>
      </c>
    </row>
    <row r="192" spans="1:41">
      <c r="A192" s="117">
        <f t="shared" si="61"/>
        <v>191</v>
      </c>
      <c r="B192" t="s">
        <v>33</v>
      </c>
      <c r="C192" s="138">
        <v>7</v>
      </c>
      <c r="D192" s="29" t="s">
        <v>76</v>
      </c>
      <c r="E192" s="19" t="s">
        <v>76</v>
      </c>
      <c r="F192" s="19"/>
      <c r="G192" s="29"/>
      <c r="H192" s="29"/>
      <c r="I192" s="19"/>
      <c r="J192" s="19"/>
      <c r="K192" s="29"/>
      <c r="L192" s="29"/>
      <c r="M192" s="29"/>
      <c r="N192" s="29"/>
      <c r="O192" s="121"/>
      <c r="P192" s="123"/>
      <c r="Q192" s="123"/>
      <c r="R192" s="123"/>
      <c r="S192" s="123"/>
      <c r="T192" s="121"/>
      <c r="U192" s="19" t="s">
        <v>215</v>
      </c>
      <c r="V192" s="29">
        <v>49.6</v>
      </c>
      <c r="W192" s="29">
        <v>6.4</v>
      </c>
      <c r="X192" s="29">
        <v>0.7</v>
      </c>
      <c r="Y192" s="29">
        <v>0.2</v>
      </c>
      <c r="Z192" s="29">
        <v>43</v>
      </c>
      <c r="AA192" s="29"/>
      <c r="AB192" s="122">
        <f t="shared" si="64"/>
        <v>99.9</v>
      </c>
      <c r="AC192" s="123">
        <f>100*V192/$AB$192</f>
        <v>49.649649649649646</v>
      </c>
      <c r="AD192" s="123">
        <f t="shared" ref="AD192:AG192" si="93">100*W192/$AB$192</f>
        <v>6.4064064064064059</v>
      </c>
      <c r="AE192" s="123">
        <f t="shared" si="93"/>
        <v>0.70070070070070067</v>
      </c>
      <c r="AF192" s="123">
        <f t="shared" si="93"/>
        <v>0.20020020020020018</v>
      </c>
      <c r="AG192" s="123">
        <f t="shared" si="93"/>
        <v>43.043043043043042</v>
      </c>
      <c r="AH192" s="124"/>
      <c r="AI192" s="2">
        <v>18.5</v>
      </c>
      <c r="AJ192" s="2"/>
      <c r="AK192" s="121"/>
      <c r="AL192" s="2">
        <v>18.5</v>
      </c>
      <c r="AM192" s="2"/>
      <c r="AN192" s="121"/>
      <c r="AO192" s="19">
        <v>29</v>
      </c>
    </row>
    <row r="193" spans="1:41">
      <c r="A193" s="117">
        <f t="shared" si="61"/>
        <v>192</v>
      </c>
      <c r="B193" t="s">
        <v>33</v>
      </c>
      <c r="C193" s="138">
        <v>7</v>
      </c>
      <c r="D193" s="29" t="s">
        <v>76</v>
      </c>
      <c r="E193" s="19" t="s">
        <v>76</v>
      </c>
      <c r="F193" s="19"/>
      <c r="G193" s="29"/>
      <c r="H193" s="29"/>
      <c r="I193" s="19"/>
      <c r="J193" s="19"/>
      <c r="K193" s="29"/>
      <c r="L193" s="29"/>
      <c r="M193" s="29"/>
      <c r="N193" s="29"/>
      <c r="O193" s="121"/>
      <c r="P193" s="123"/>
      <c r="Q193" s="123"/>
      <c r="R193" s="123"/>
      <c r="S193" s="123"/>
      <c r="T193" s="121"/>
      <c r="U193" s="19" t="s">
        <v>215</v>
      </c>
      <c r="V193" s="29">
        <v>48.6</v>
      </c>
      <c r="W193" s="29">
        <v>6.2</v>
      </c>
      <c r="X193" s="29">
        <v>0.1</v>
      </c>
      <c r="Y193" s="29">
        <v>0.1</v>
      </c>
      <c r="Z193" s="29">
        <v>45</v>
      </c>
      <c r="AA193" s="29"/>
      <c r="AB193" s="122">
        <f t="shared" si="64"/>
        <v>100</v>
      </c>
      <c r="AC193" s="29">
        <v>48.6</v>
      </c>
      <c r="AD193" s="29">
        <v>6.2</v>
      </c>
      <c r="AE193" s="29">
        <v>0.1</v>
      </c>
      <c r="AF193" s="29">
        <v>0.1</v>
      </c>
      <c r="AG193" s="29">
        <v>45</v>
      </c>
      <c r="AH193" s="22"/>
      <c r="AI193" s="2">
        <v>16.899999999999999</v>
      </c>
      <c r="AJ193" s="2"/>
      <c r="AK193" s="121"/>
      <c r="AL193" s="2">
        <v>16.899999999999999</v>
      </c>
      <c r="AM193" s="2"/>
      <c r="AN193" s="121"/>
      <c r="AO193" s="19">
        <v>29</v>
      </c>
    </row>
    <row r="194" spans="1:41">
      <c r="A194" s="117">
        <f t="shared" si="61"/>
        <v>193</v>
      </c>
      <c r="B194" t="s">
        <v>33</v>
      </c>
      <c r="C194" s="138">
        <v>7</v>
      </c>
      <c r="D194" s="29" t="s">
        <v>76</v>
      </c>
      <c r="E194" s="19" t="s">
        <v>76</v>
      </c>
      <c r="F194" s="19"/>
      <c r="G194" s="29"/>
      <c r="H194" s="29"/>
      <c r="I194" s="19"/>
      <c r="J194" s="19"/>
      <c r="K194" s="29"/>
      <c r="L194" s="29"/>
      <c r="M194" s="29"/>
      <c r="N194" s="29"/>
      <c r="O194" s="121"/>
      <c r="P194" s="123"/>
      <c r="Q194" s="123"/>
      <c r="R194" s="123"/>
      <c r="S194" s="123"/>
      <c r="T194" s="121"/>
      <c r="U194" s="19" t="s">
        <v>215</v>
      </c>
      <c r="V194" s="29">
        <v>38.5</v>
      </c>
      <c r="W194" s="29">
        <v>5.7</v>
      </c>
      <c r="X194" s="29">
        <v>0.8</v>
      </c>
      <c r="Y194" s="29">
        <v>0.1</v>
      </c>
      <c r="Z194" s="29">
        <v>54.9</v>
      </c>
      <c r="AA194" s="29"/>
      <c r="AB194" s="122">
        <f t="shared" ref="AB194:AB235" si="94">SUM(V194:AA194)</f>
        <v>100</v>
      </c>
      <c r="AC194" s="29">
        <v>38.5</v>
      </c>
      <c r="AD194" s="29">
        <v>5.7</v>
      </c>
      <c r="AE194" s="29">
        <v>0.8</v>
      </c>
      <c r="AF194" s="29">
        <v>0.1</v>
      </c>
      <c r="AG194" s="29">
        <v>54.9</v>
      </c>
      <c r="AH194" s="22"/>
      <c r="AI194" s="2">
        <v>13.8</v>
      </c>
      <c r="AJ194" s="2"/>
      <c r="AK194" s="121"/>
      <c r="AL194" s="2">
        <v>13.8</v>
      </c>
      <c r="AM194" s="2"/>
      <c r="AN194" s="121"/>
      <c r="AO194" s="19">
        <v>29</v>
      </c>
    </row>
    <row r="195" spans="1:41">
      <c r="A195" s="117">
        <f t="shared" si="61"/>
        <v>194</v>
      </c>
      <c r="B195" t="s">
        <v>33</v>
      </c>
      <c r="C195" s="138">
        <v>7</v>
      </c>
      <c r="D195" s="29" t="s">
        <v>76</v>
      </c>
      <c r="E195" s="19" t="s">
        <v>4</v>
      </c>
      <c r="F195" s="19" t="s">
        <v>139</v>
      </c>
      <c r="G195" s="29"/>
      <c r="H195" s="29"/>
      <c r="I195" s="19"/>
      <c r="J195" s="19"/>
      <c r="K195" s="29"/>
      <c r="L195" s="29"/>
      <c r="M195" s="29"/>
      <c r="N195" s="29"/>
      <c r="O195" s="121"/>
      <c r="P195" s="123"/>
      <c r="Q195" s="123"/>
      <c r="R195" s="123"/>
      <c r="S195" s="123"/>
      <c r="T195" s="121"/>
      <c r="U195" s="19" t="s">
        <v>215</v>
      </c>
      <c r="V195" s="29">
        <v>43.7</v>
      </c>
      <c r="W195" s="29">
        <v>5.7</v>
      </c>
      <c r="X195" s="29">
        <v>0.1</v>
      </c>
      <c r="Y195" s="29">
        <v>0.2</v>
      </c>
      <c r="Z195" s="29">
        <v>50.3</v>
      </c>
      <c r="AA195" s="29"/>
      <c r="AB195" s="122">
        <f t="shared" si="94"/>
        <v>100</v>
      </c>
      <c r="AC195" s="29">
        <v>43.7</v>
      </c>
      <c r="AD195" s="29">
        <v>5.7</v>
      </c>
      <c r="AE195" s="29">
        <v>0.1</v>
      </c>
      <c r="AF195" s="29">
        <v>0.2</v>
      </c>
      <c r="AG195" s="29">
        <v>50.3</v>
      </c>
      <c r="AH195" s="22"/>
      <c r="AI195" s="2">
        <v>16.399999999999999</v>
      </c>
      <c r="AJ195" s="2"/>
      <c r="AK195" s="121"/>
      <c r="AL195" s="2">
        <v>16.399999999999999</v>
      </c>
      <c r="AM195" s="2"/>
      <c r="AN195" s="121"/>
      <c r="AO195" s="19">
        <v>29</v>
      </c>
    </row>
    <row r="196" spans="1:41">
      <c r="A196" s="117">
        <f t="shared" ref="A196:A235" si="95">A195+1</f>
        <v>195</v>
      </c>
      <c r="B196" t="s">
        <v>33</v>
      </c>
      <c r="C196" s="138">
        <v>7</v>
      </c>
      <c r="D196" s="29" t="s">
        <v>76</v>
      </c>
      <c r="E196" s="19" t="s">
        <v>4</v>
      </c>
      <c r="F196" s="19" t="s">
        <v>140</v>
      </c>
      <c r="G196" s="29"/>
      <c r="H196" s="29"/>
      <c r="I196" s="19"/>
      <c r="J196" s="19"/>
      <c r="K196" s="29"/>
      <c r="L196" s="29"/>
      <c r="M196" s="29"/>
      <c r="N196" s="29"/>
      <c r="O196" s="121"/>
      <c r="P196" s="123"/>
      <c r="Q196" s="123"/>
      <c r="R196" s="123"/>
      <c r="S196" s="123"/>
      <c r="T196" s="121"/>
      <c r="U196" s="19" t="s">
        <v>215</v>
      </c>
      <c r="V196" s="29">
        <v>46</v>
      </c>
      <c r="W196" s="29">
        <v>6.4</v>
      </c>
      <c r="X196" s="29">
        <v>0.3</v>
      </c>
      <c r="Y196" s="29">
        <v>0.2</v>
      </c>
      <c r="Z196" s="29">
        <v>47.1</v>
      </c>
      <c r="AA196" s="29"/>
      <c r="AB196" s="122">
        <f t="shared" si="94"/>
        <v>100</v>
      </c>
      <c r="AC196" s="29">
        <v>46</v>
      </c>
      <c r="AD196" s="29">
        <v>6.4</v>
      </c>
      <c r="AE196" s="29">
        <v>0.3</v>
      </c>
      <c r="AF196" s="29">
        <v>0.2</v>
      </c>
      <c r="AG196" s="29">
        <v>47.1</v>
      </c>
      <c r="AH196" s="22"/>
      <c r="AI196" s="2">
        <v>19</v>
      </c>
      <c r="AJ196" s="2"/>
      <c r="AK196" s="121"/>
      <c r="AL196" s="2">
        <v>19</v>
      </c>
      <c r="AM196" s="2"/>
      <c r="AN196" s="121"/>
      <c r="AO196" s="19">
        <v>29</v>
      </c>
    </row>
    <row r="197" spans="1:41">
      <c r="A197" s="117">
        <f t="shared" si="95"/>
        <v>196</v>
      </c>
      <c r="B197" t="s">
        <v>33</v>
      </c>
      <c r="C197" s="138">
        <v>7</v>
      </c>
      <c r="D197" s="29" t="s">
        <v>76</v>
      </c>
      <c r="E197" s="19" t="s">
        <v>4</v>
      </c>
      <c r="F197" s="19" t="s">
        <v>141</v>
      </c>
      <c r="G197" s="29"/>
      <c r="H197" s="29"/>
      <c r="I197" s="19"/>
      <c r="J197" s="19"/>
      <c r="K197" s="29"/>
      <c r="L197" s="29"/>
      <c r="M197" s="29"/>
      <c r="N197" s="29"/>
      <c r="O197" s="121"/>
      <c r="P197" s="123"/>
      <c r="Q197" s="123"/>
      <c r="R197" s="123"/>
      <c r="S197" s="123"/>
      <c r="T197" s="121"/>
      <c r="U197" s="19" t="s">
        <v>215</v>
      </c>
      <c r="V197" s="29">
        <v>46</v>
      </c>
      <c r="W197" s="29">
        <v>6.4</v>
      </c>
      <c r="X197" s="29">
        <v>0.1</v>
      </c>
      <c r="Y197" s="29">
        <v>0.3</v>
      </c>
      <c r="Z197" s="29">
        <v>47.2</v>
      </c>
      <c r="AA197" s="29"/>
      <c r="AB197" s="122">
        <f t="shared" si="94"/>
        <v>100</v>
      </c>
      <c r="AC197" s="29">
        <v>46</v>
      </c>
      <c r="AD197" s="29">
        <v>6.4</v>
      </c>
      <c r="AE197" s="29">
        <v>0.1</v>
      </c>
      <c r="AF197" s="29">
        <v>0.3</v>
      </c>
      <c r="AG197" s="29">
        <v>47.2</v>
      </c>
      <c r="AH197" s="22"/>
      <c r="AI197" s="2">
        <v>14.5</v>
      </c>
      <c r="AJ197" s="2"/>
      <c r="AK197" s="121"/>
      <c r="AL197" s="2">
        <v>14.5</v>
      </c>
      <c r="AM197" s="2"/>
      <c r="AN197" s="121"/>
      <c r="AO197" s="19">
        <v>29</v>
      </c>
    </row>
    <row r="198" spans="1:41">
      <c r="A198" s="117">
        <f t="shared" si="95"/>
        <v>197</v>
      </c>
      <c r="B198" t="s">
        <v>33</v>
      </c>
      <c r="C198" s="138">
        <v>7</v>
      </c>
      <c r="D198" s="29" t="s">
        <v>76</v>
      </c>
      <c r="E198" s="19" t="s">
        <v>4</v>
      </c>
      <c r="F198" s="19" t="s">
        <v>166</v>
      </c>
      <c r="G198" s="29"/>
      <c r="H198" s="29"/>
      <c r="I198" s="19"/>
      <c r="J198" s="19" t="s">
        <v>455</v>
      </c>
      <c r="K198" s="29">
        <v>6.81</v>
      </c>
      <c r="L198" s="29">
        <v>8.44</v>
      </c>
      <c r="M198" s="29">
        <v>75.34</v>
      </c>
      <c r="N198" s="29">
        <v>9.41</v>
      </c>
      <c r="O198" s="122">
        <f t="shared" si="62"/>
        <v>100</v>
      </c>
      <c r="P198" s="29">
        <v>6.81</v>
      </c>
      <c r="Q198" s="29">
        <v>8.44</v>
      </c>
      <c r="R198" s="29">
        <v>75.34</v>
      </c>
      <c r="S198" s="29">
        <v>9.41</v>
      </c>
      <c r="T198" s="121"/>
      <c r="U198" s="19" t="s">
        <v>455</v>
      </c>
      <c r="V198" s="29">
        <v>39</v>
      </c>
      <c r="W198" s="29">
        <v>5.7</v>
      </c>
      <c r="X198" s="29">
        <v>0.45</v>
      </c>
      <c r="Y198" s="29">
        <v>0.16</v>
      </c>
      <c r="Z198" s="29">
        <v>46.25</v>
      </c>
      <c r="AA198" s="29">
        <v>0.08</v>
      </c>
      <c r="AB198" s="122">
        <f t="shared" si="94"/>
        <v>91.64</v>
      </c>
      <c r="AC198" s="123">
        <f>100*V198/$AB$198</f>
        <v>42.557835006547357</v>
      </c>
      <c r="AD198" s="145">
        <f t="shared" ref="AD198:AH198" si="96">100*W198/$AB$198</f>
        <v>6.2199912701876912</v>
      </c>
      <c r="AE198" s="145">
        <f t="shared" si="96"/>
        <v>0.49105194238323874</v>
      </c>
      <c r="AF198" s="145">
        <f t="shared" si="96"/>
        <v>0.17459624618070713</v>
      </c>
      <c r="AG198" s="145">
        <f t="shared" si="96"/>
        <v>50.469227411610653</v>
      </c>
      <c r="AH198" s="22">
        <f t="shared" si="96"/>
        <v>8.7298123090353563E-2</v>
      </c>
      <c r="AI198" s="2"/>
      <c r="AJ198" s="2">
        <v>15.474</v>
      </c>
      <c r="AK198" s="121"/>
      <c r="AL198">
        <f>AM198*(Q198+R198+S198)/(Q198+R198)</f>
        <v>17.212008355216042</v>
      </c>
      <c r="AM198" s="2">
        <v>15.474</v>
      </c>
      <c r="AN198" s="3">
        <f>AM198*(Q198+R198+S198)/100</f>
        <v>14.4202206</v>
      </c>
      <c r="AO198" s="19">
        <v>38</v>
      </c>
    </row>
    <row r="199" spans="1:41">
      <c r="A199" s="117">
        <f t="shared" si="95"/>
        <v>198</v>
      </c>
      <c r="B199" t="s">
        <v>33</v>
      </c>
      <c r="C199" s="138">
        <v>7</v>
      </c>
      <c r="D199" s="29" t="s">
        <v>76</v>
      </c>
      <c r="E199" s="19" t="s">
        <v>4</v>
      </c>
      <c r="F199" s="121" t="s">
        <v>16</v>
      </c>
      <c r="J199" s="3" t="s">
        <v>17</v>
      </c>
      <c r="K199">
        <v>5.54</v>
      </c>
      <c r="N199">
        <v>18.600000000000001</v>
      </c>
      <c r="O199" s="121">
        <f t="shared" ref="O199" si="97">SUM(K199:N199)</f>
        <v>24.14</v>
      </c>
      <c r="P199" s="2"/>
      <c r="Q199" s="2"/>
      <c r="R199" s="2"/>
      <c r="S199" s="2"/>
      <c r="T199" s="121"/>
      <c r="U199" s="3" t="s">
        <v>17</v>
      </c>
      <c r="V199">
        <v>34.24</v>
      </c>
      <c r="W199">
        <v>4.0199999999999996</v>
      </c>
      <c r="X199">
        <v>0.2</v>
      </c>
      <c r="Y199">
        <v>0.08</v>
      </c>
      <c r="Z199">
        <v>37.32</v>
      </c>
      <c r="AB199" s="122">
        <f t="shared" ref="AB199" si="98">SUM(V199:AA199)</f>
        <v>75.860000000000014</v>
      </c>
      <c r="AC199" s="123">
        <f>100*V199/$AB$199</f>
        <v>45.135776430266269</v>
      </c>
      <c r="AD199" s="123">
        <f t="shared" ref="AD199:AG199" si="99">100*W199/$AB$199</f>
        <v>5.2992354336936449</v>
      </c>
      <c r="AE199" s="123">
        <f t="shared" si="99"/>
        <v>0.26364355391510674</v>
      </c>
      <c r="AF199" s="123">
        <f t="shared" si="99"/>
        <v>0.10545742156604269</v>
      </c>
      <c r="AG199" s="123">
        <f t="shared" si="99"/>
        <v>49.195887160558918</v>
      </c>
      <c r="AH199" s="124"/>
      <c r="AK199" s="3">
        <v>12.64</v>
      </c>
      <c r="AL199">
        <f>AN199*100/(100-O199)</f>
        <v>16.662272607434748</v>
      </c>
      <c r="AM199">
        <f>AN199*100/(100-K199)</f>
        <v>13.381325428752913</v>
      </c>
      <c r="AN199" s="3">
        <v>12.64</v>
      </c>
      <c r="AO199" s="3">
        <v>7</v>
      </c>
    </row>
    <row r="200" spans="1:41">
      <c r="A200" s="117">
        <f t="shared" si="95"/>
        <v>199</v>
      </c>
      <c r="B200" t="s">
        <v>33</v>
      </c>
      <c r="C200" s="109">
        <v>7</v>
      </c>
      <c r="D200" s="29" t="s">
        <v>76</v>
      </c>
      <c r="E200" s="19" t="s">
        <v>4</v>
      </c>
      <c r="F200" s="19" t="s">
        <v>4</v>
      </c>
      <c r="G200" s="29"/>
      <c r="H200" s="29"/>
      <c r="I200" s="19"/>
      <c r="J200" s="19" t="s">
        <v>221</v>
      </c>
      <c r="K200" s="29"/>
      <c r="L200" s="29"/>
      <c r="M200" s="29"/>
      <c r="N200" s="29">
        <v>11.3</v>
      </c>
      <c r="O200" s="121">
        <f t="shared" si="62"/>
        <v>11.3</v>
      </c>
      <c r="P200" s="123"/>
      <c r="Q200" s="123"/>
      <c r="R200" s="123"/>
      <c r="S200" s="123"/>
      <c r="T200" s="121"/>
      <c r="U200" s="19" t="s">
        <v>215</v>
      </c>
      <c r="V200" s="29">
        <v>48.4</v>
      </c>
      <c r="W200" s="29">
        <v>5.4</v>
      </c>
      <c r="X200" s="29">
        <v>0.66</v>
      </c>
      <c r="Y200" s="29">
        <v>0.34</v>
      </c>
      <c r="Z200" s="29">
        <v>45.2</v>
      </c>
      <c r="AA200" s="29"/>
      <c r="AB200" s="122">
        <f t="shared" si="94"/>
        <v>100</v>
      </c>
      <c r="AC200" s="29">
        <v>48.4</v>
      </c>
      <c r="AD200" s="29">
        <v>5.4</v>
      </c>
      <c r="AE200" s="29">
        <v>0.66</v>
      </c>
      <c r="AF200" s="29">
        <v>0.34</v>
      </c>
      <c r="AG200" s="29">
        <v>45.2</v>
      </c>
      <c r="AH200" s="22"/>
      <c r="AJ200" s="2">
        <v>13.37</v>
      </c>
      <c r="AK200" s="121"/>
      <c r="AL200"/>
      <c r="AM200" s="2">
        <v>13.37</v>
      </c>
      <c r="AN200" s="121"/>
      <c r="AO200" s="19">
        <v>30</v>
      </c>
    </row>
    <row r="201" spans="1:41">
      <c r="A201" s="117">
        <f t="shared" si="95"/>
        <v>200</v>
      </c>
      <c r="B201" t="s">
        <v>33</v>
      </c>
      <c r="C201" s="138">
        <v>7</v>
      </c>
      <c r="D201" s="29" t="s">
        <v>76</v>
      </c>
      <c r="E201" s="19" t="s">
        <v>4</v>
      </c>
      <c r="F201" s="3" t="s">
        <v>15</v>
      </c>
      <c r="J201" s="3" t="s">
        <v>17</v>
      </c>
      <c r="K201">
        <v>6.04</v>
      </c>
      <c r="N201">
        <v>0.75</v>
      </c>
      <c r="O201" s="121">
        <f t="shared" ref="O201" si="100">SUM(K201:N201)</f>
        <v>6.79</v>
      </c>
      <c r="P201" s="2"/>
      <c r="Q201" s="2"/>
      <c r="R201" s="2"/>
      <c r="S201" s="2"/>
      <c r="T201" s="121"/>
      <c r="U201" s="3" t="s">
        <v>17</v>
      </c>
      <c r="V201">
        <v>52.14</v>
      </c>
      <c r="W201">
        <v>7.27</v>
      </c>
      <c r="X201">
        <v>0</v>
      </c>
      <c r="Y201">
        <v>0.08</v>
      </c>
      <c r="Z201">
        <v>33.71</v>
      </c>
      <c r="AB201" s="122">
        <f t="shared" ref="AB201" si="101">SUM(V201:AA201)</f>
        <v>93.199999999999989</v>
      </c>
      <c r="AC201" s="123">
        <f>100*V201/$AB$201</f>
        <v>55.944206008583699</v>
      </c>
      <c r="AD201" s="123">
        <f t="shared" ref="AD201:AG201" si="102">100*W201/$AB$201</f>
        <v>7.8004291845493574</v>
      </c>
      <c r="AE201" s="123">
        <f t="shared" si="102"/>
        <v>0</v>
      </c>
      <c r="AF201" s="123">
        <f t="shared" si="102"/>
        <v>8.5836909871244649E-2</v>
      </c>
      <c r="AG201" s="123">
        <f t="shared" si="102"/>
        <v>36.16952789699571</v>
      </c>
      <c r="AH201" s="124"/>
      <c r="AK201" s="3">
        <v>23.16</v>
      </c>
      <c r="AL201">
        <f>AN201*100/(100-O201)</f>
        <v>24.847119407788867</v>
      </c>
      <c r="AM201">
        <f>AN201*100/(100-K201)</f>
        <v>24.648786717752238</v>
      </c>
      <c r="AN201" s="3">
        <v>23.16</v>
      </c>
      <c r="AO201" s="3">
        <v>7</v>
      </c>
    </row>
    <row r="202" spans="1:41">
      <c r="A202" s="117">
        <f t="shared" si="95"/>
        <v>201</v>
      </c>
      <c r="B202" t="s">
        <v>33</v>
      </c>
      <c r="C202" s="109">
        <v>7</v>
      </c>
      <c r="D202" s="29" t="s">
        <v>76</v>
      </c>
      <c r="E202" s="19" t="s">
        <v>4</v>
      </c>
      <c r="F202" s="19" t="s">
        <v>167</v>
      </c>
      <c r="G202" s="29"/>
      <c r="H202" s="29"/>
      <c r="I202" s="19"/>
      <c r="J202" s="19" t="s">
        <v>69</v>
      </c>
      <c r="K202" s="29"/>
      <c r="L202" s="29">
        <v>83.95</v>
      </c>
      <c r="M202" s="29">
        <v>8.82</v>
      </c>
      <c r="N202" s="29">
        <v>7.22</v>
      </c>
      <c r="O202" s="121">
        <f t="shared" si="62"/>
        <v>99.990000000000009</v>
      </c>
      <c r="P202" s="123">
        <f>100-SUM(Q202:S202)</f>
        <v>0</v>
      </c>
      <c r="Q202" s="123">
        <f t="shared" ref="Q202:S202" si="103">100*L202/$O$202</f>
        <v>83.958395839583957</v>
      </c>
      <c r="R202" s="123">
        <f t="shared" si="103"/>
        <v>8.8208820882088208</v>
      </c>
      <c r="S202" s="123">
        <f t="shared" si="103"/>
        <v>7.2207220722072201</v>
      </c>
      <c r="T202" s="121"/>
      <c r="U202" s="19" t="s">
        <v>215</v>
      </c>
      <c r="V202" s="29">
        <v>48.97</v>
      </c>
      <c r="W202" s="29">
        <v>6.14</v>
      </c>
      <c r="X202" s="29">
        <v>0.21</v>
      </c>
      <c r="Y202" s="29">
        <v>0.16</v>
      </c>
      <c r="Z202" s="29">
        <v>44.52</v>
      </c>
      <c r="AA202" s="29"/>
      <c r="AB202" s="122">
        <f t="shared" si="94"/>
        <v>100</v>
      </c>
      <c r="AC202" s="29">
        <v>48.97</v>
      </c>
      <c r="AD202" s="29">
        <v>6.14</v>
      </c>
      <c r="AE202" s="29">
        <v>0.21</v>
      </c>
      <c r="AF202" s="29">
        <v>0.16</v>
      </c>
      <c r="AG202" s="29">
        <v>44.52</v>
      </c>
      <c r="AH202" s="22"/>
      <c r="AI202" s="2"/>
      <c r="AJ202" s="2">
        <v>17.099</v>
      </c>
      <c r="AK202" s="121"/>
      <c r="AL202">
        <f>AM202*(Q202+R202+S202)/(Q202+R202)</f>
        <v>18.429761884229816</v>
      </c>
      <c r="AM202" s="2">
        <v>17.099</v>
      </c>
      <c r="AN202" s="121"/>
      <c r="AO202" s="19">
        <v>31</v>
      </c>
    </row>
    <row r="203" spans="1:41">
      <c r="A203" s="117">
        <f t="shared" si="95"/>
        <v>202</v>
      </c>
      <c r="B203" t="s">
        <v>33</v>
      </c>
      <c r="C203" s="109">
        <v>7</v>
      </c>
      <c r="D203" s="29" t="s">
        <v>76</v>
      </c>
      <c r="E203" s="19" t="s">
        <v>4</v>
      </c>
      <c r="F203" s="19" t="s">
        <v>167</v>
      </c>
      <c r="G203" s="29"/>
      <c r="H203" s="29"/>
      <c r="I203" s="19"/>
      <c r="J203" s="19"/>
      <c r="K203" s="29"/>
      <c r="L203" s="29"/>
      <c r="M203" s="29"/>
      <c r="N203" s="29"/>
      <c r="O203" s="121"/>
      <c r="P203" s="2"/>
      <c r="Q203" s="2"/>
      <c r="R203" s="2"/>
      <c r="S203" s="2"/>
      <c r="T203" s="121"/>
      <c r="U203" s="19" t="s">
        <v>215</v>
      </c>
      <c r="V203" s="29">
        <v>47.32</v>
      </c>
      <c r="W203" s="29">
        <v>6.53</v>
      </c>
      <c r="X203" s="29">
        <v>0.14000000000000001</v>
      </c>
      <c r="Y203" s="29">
        <v>0.3</v>
      </c>
      <c r="Z203" s="29">
        <v>45.55</v>
      </c>
      <c r="AA203" s="29">
        <v>0.15</v>
      </c>
      <c r="AB203" s="122">
        <f>SUM(V203:AA203)</f>
        <v>99.990000000000009</v>
      </c>
      <c r="AC203" s="123">
        <f>100*V203/$AB$203</f>
        <v>47.324732473247323</v>
      </c>
      <c r="AD203" s="123">
        <f t="shared" ref="AD203:AH203" si="104">100*W203/$AB$203</f>
        <v>6.53065306530653</v>
      </c>
      <c r="AE203" s="123">
        <f t="shared" si="104"/>
        <v>0.14001400140014003</v>
      </c>
      <c r="AF203" s="123">
        <f t="shared" si="104"/>
        <v>0.30003000300030003</v>
      </c>
      <c r="AG203" s="123">
        <f t="shared" si="104"/>
        <v>45.554555455545554</v>
      </c>
      <c r="AH203" s="124">
        <f t="shared" si="104"/>
        <v>0.15001500150015001</v>
      </c>
      <c r="AJ203" s="2"/>
      <c r="AK203" s="121"/>
      <c r="AL203"/>
      <c r="AM203" s="2"/>
      <c r="AN203" s="121"/>
      <c r="AO203" s="19">
        <v>31</v>
      </c>
    </row>
    <row r="204" spans="1:41">
      <c r="A204" s="117">
        <f t="shared" si="95"/>
        <v>203</v>
      </c>
      <c r="B204" t="s">
        <v>33</v>
      </c>
      <c r="C204" s="109">
        <v>7</v>
      </c>
      <c r="D204" s="29" t="s">
        <v>76</v>
      </c>
      <c r="E204" s="19" t="s">
        <v>4</v>
      </c>
      <c r="F204" s="19" t="s">
        <v>4</v>
      </c>
      <c r="G204" s="29"/>
      <c r="H204" s="29"/>
      <c r="I204" s="19"/>
      <c r="J204" s="19" t="s">
        <v>69</v>
      </c>
      <c r="K204" s="29">
        <v>3.24</v>
      </c>
      <c r="L204" s="29">
        <v>78.069999999999993</v>
      </c>
      <c r="M204" s="29">
        <v>8.64</v>
      </c>
      <c r="N204" s="29">
        <v>10.050000000000001</v>
      </c>
      <c r="O204" s="121">
        <f t="shared" si="62"/>
        <v>99.999999999999986</v>
      </c>
      <c r="P204" s="11">
        <f>100*K204/O204</f>
        <v>3.2400000000000007</v>
      </c>
      <c r="Q204" s="11">
        <f>100*L204/O204</f>
        <v>78.070000000000007</v>
      </c>
      <c r="R204" s="11">
        <f>100*M204/O204</f>
        <v>8.64</v>
      </c>
      <c r="S204" s="11">
        <f>100*N204/O204</f>
        <v>10.050000000000002</v>
      </c>
      <c r="T204" s="121"/>
      <c r="U204" s="19" t="s">
        <v>69</v>
      </c>
      <c r="V204" s="29">
        <v>40.64</v>
      </c>
      <c r="W204" s="29">
        <v>6.19</v>
      </c>
      <c r="X204" s="29">
        <v>0.05</v>
      </c>
      <c r="Y204" s="29">
        <v>0.1</v>
      </c>
      <c r="Z204" s="29">
        <v>42.97</v>
      </c>
      <c r="AA204" s="29"/>
      <c r="AB204" s="122">
        <f t="shared" ref="AB204:AB205" si="105">SUM(V204:AA204)</f>
        <v>89.949999999999989</v>
      </c>
      <c r="AC204">
        <f>100*V204/AB204</f>
        <v>45.180655919955534</v>
      </c>
      <c r="AD204">
        <f>100*W204/AB204</f>
        <v>6.8816008893829919</v>
      </c>
      <c r="AE204">
        <f>100*X204/AB204</f>
        <v>5.5586436909394112E-2</v>
      </c>
      <c r="AF204">
        <f>100*Y204/AB204</f>
        <v>0.11117287381878822</v>
      </c>
      <c r="AG204">
        <f>100*Z204/AB204</f>
        <v>47.770983879933304</v>
      </c>
      <c r="AH204" s="124"/>
      <c r="AJ204" s="2"/>
      <c r="AK204" s="121">
        <v>20.46</v>
      </c>
      <c r="AL204">
        <f>AN204*100/(100-P204-S204)</f>
        <v>23.595894360512048</v>
      </c>
      <c r="AM204">
        <f>AN204*100/(100-P204)</f>
        <v>21.145101281521288</v>
      </c>
      <c r="AN204" s="2">
        <v>20.46</v>
      </c>
      <c r="AO204" s="19">
        <v>43</v>
      </c>
    </row>
    <row r="205" spans="1:41">
      <c r="A205" s="117">
        <f t="shared" si="95"/>
        <v>204</v>
      </c>
      <c r="B205" t="s">
        <v>33</v>
      </c>
      <c r="C205" s="109">
        <v>7</v>
      </c>
      <c r="D205" s="29" t="s">
        <v>76</v>
      </c>
      <c r="E205" s="19" t="s">
        <v>4</v>
      </c>
      <c r="F205" s="19" t="s">
        <v>447</v>
      </c>
      <c r="G205" s="29"/>
      <c r="H205" s="29"/>
      <c r="I205" s="19"/>
      <c r="J205" s="19" t="s">
        <v>69</v>
      </c>
      <c r="K205" s="29">
        <v>3.4</v>
      </c>
      <c r="L205" s="29">
        <v>78.38</v>
      </c>
      <c r="M205" s="29">
        <v>7.43</v>
      </c>
      <c r="N205" s="29">
        <v>11.79</v>
      </c>
      <c r="O205" s="121">
        <f t="shared" si="62"/>
        <v>101</v>
      </c>
      <c r="P205" s="11">
        <f>100*K205/O205</f>
        <v>3.3663366336633662</v>
      </c>
      <c r="Q205" s="11">
        <f>100*L205/O205</f>
        <v>77.603960396039611</v>
      </c>
      <c r="R205" s="11">
        <f>100*M205/O205</f>
        <v>7.3564356435643568</v>
      </c>
      <c r="S205" s="11">
        <f>100*N205/O205</f>
        <v>11.673267326732674</v>
      </c>
      <c r="T205" s="121"/>
      <c r="U205" s="19" t="s">
        <v>69</v>
      </c>
      <c r="V205" s="29">
        <v>42.6</v>
      </c>
      <c r="W205" s="29">
        <v>6.41</v>
      </c>
      <c r="X205" s="29">
        <v>0.21</v>
      </c>
      <c r="Y205" s="29">
        <v>1.91</v>
      </c>
      <c r="Z205" s="29">
        <v>37.08</v>
      </c>
      <c r="AA205" s="29"/>
      <c r="AB205" s="122">
        <f t="shared" si="105"/>
        <v>88.210000000000008</v>
      </c>
      <c r="AC205">
        <f>100*V205/AB205</f>
        <v>48.293844235347464</v>
      </c>
      <c r="AD205">
        <f>100*W205/AB205</f>
        <v>7.2667498016097944</v>
      </c>
      <c r="AE205">
        <f>100*X205/AB205</f>
        <v>0.23806824623058609</v>
      </c>
      <c r="AF205">
        <f>100*Y205/AB205</f>
        <v>2.1652873823829495</v>
      </c>
      <c r="AG205">
        <f>100*Z205/AB205</f>
        <v>42.036050334429198</v>
      </c>
      <c r="AH205" s="124"/>
      <c r="AJ205" s="2"/>
      <c r="AK205" s="121">
        <v>22.75</v>
      </c>
      <c r="AL205">
        <f>AN205*100/(100-P205-S205)</f>
        <v>26.777182146602957</v>
      </c>
      <c r="AM205">
        <f>AN205*100/(100-P205)</f>
        <v>23.542520491803277</v>
      </c>
      <c r="AN205" s="2">
        <v>22.75</v>
      </c>
      <c r="AO205" s="19">
        <v>43</v>
      </c>
    </row>
    <row r="206" spans="1:41" s="4" customFormat="1">
      <c r="A206" s="117">
        <f t="shared" si="95"/>
        <v>205</v>
      </c>
      <c r="B206" s="4" t="s">
        <v>33</v>
      </c>
      <c r="C206" s="109">
        <v>7</v>
      </c>
      <c r="D206" s="29" t="s">
        <v>76</v>
      </c>
      <c r="E206" s="25" t="s">
        <v>4</v>
      </c>
      <c r="F206" s="25" t="s">
        <v>158</v>
      </c>
      <c r="G206" s="24"/>
      <c r="H206" s="24"/>
      <c r="I206" s="25"/>
      <c r="J206" s="25"/>
      <c r="K206" s="24"/>
      <c r="L206" s="24"/>
      <c r="M206" s="24"/>
      <c r="N206" s="24">
        <v>12.6</v>
      </c>
      <c r="O206" s="142">
        <f t="shared" si="62"/>
        <v>12.6</v>
      </c>
      <c r="P206" s="141"/>
      <c r="Q206" s="141"/>
      <c r="R206" s="141"/>
      <c r="S206" s="141"/>
      <c r="T206" s="142"/>
      <c r="U206" s="25" t="s">
        <v>69</v>
      </c>
      <c r="V206" s="24">
        <v>42.5</v>
      </c>
      <c r="W206" s="24">
        <v>6.3</v>
      </c>
      <c r="X206" s="24">
        <v>0</v>
      </c>
      <c r="Y206" s="24">
        <v>0</v>
      </c>
      <c r="Z206" s="24">
        <v>38.6</v>
      </c>
      <c r="AA206" s="24"/>
      <c r="AB206" s="144">
        <f t="shared" si="94"/>
        <v>87.4</v>
      </c>
      <c r="AC206" s="123">
        <f>100*V206/$AB$206</f>
        <v>48.627002288329514</v>
      </c>
      <c r="AD206" s="123">
        <f t="shared" ref="AD206:AG206" si="106">100*W206/$AB$206</f>
        <v>7.2082379862700225</v>
      </c>
      <c r="AE206" s="123">
        <f t="shared" si="106"/>
        <v>0</v>
      </c>
      <c r="AF206" s="123">
        <f t="shared" si="106"/>
        <v>0</v>
      </c>
      <c r="AG206" s="123">
        <f t="shared" si="106"/>
        <v>44.164759725400458</v>
      </c>
      <c r="AH206" s="124"/>
      <c r="AI206"/>
      <c r="AJ206" s="2">
        <v>17.100000000000001</v>
      </c>
      <c r="AK206" s="121"/>
      <c r="AL206"/>
      <c r="AM206" s="2">
        <v>17.100000000000001</v>
      </c>
      <c r="AN206" s="121"/>
      <c r="AO206" s="25">
        <v>30</v>
      </c>
    </row>
    <row r="207" spans="1:41" s="6" customFormat="1">
      <c r="A207" s="129">
        <f t="shared" si="95"/>
        <v>206</v>
      </c>
      <c r="B207" s="6" t="s">
        <v>109</v>
      </c>
      <c r="C207" s="130">
        <v>8</v>
      </c>
      <c r="D207" s="103" t="s">
        <v>74</v>
      </c>
      <c r="E207" s="102" t="s">
        <v>74</v>
      </c>
      <c r="F207" s="7" t="s">
        <v>173</v>
      </c>
      <c r="G207" s="103">
        <v>0.48</v>
      </c>
      <c r="H207" s="103">
        <v>7.1999999999999995E-2</v>
      </c>
      <c r="I207" s="102">
        <v>1.2</v>
      </c>
      <c r="J207" s="102"/>
      <c r="K207" s="103"/>
      <c r="L207" s="103"/>
      <c r="M207" s="103"/>
      <c r="N207" s="103"/>
      <c r="O207" s="131"/>
      <c r="P207" s="136"/>
      <c r="Q207" s="136"/>
      <c r="R207" s="136"/>
      <c r="S207" s="136"/>
      <c r="T207" s="131"/>
      <c r="U207" s="102"/>
      <c r="V207" s="103"/>
      <c r="W207" s="103"/>
      <c r="X207" s="103"/>
      <c r="Y207" s="103"/>
      <c r="Z207" s="103"/>
      <c r="AA207" s="103"/>
      <c r="AB207" s="133"/>
      <c r="AC207" s="132"/>
      <c r="AD207" s="132"/>
      <c r="AE207" s="132"/>
      <c r="AF207" s="132"/>
      <c r="AG207" s="132"/>
      <c r="AH207" s="134"/>
      <c r="AI207" s="136"/>
      <c r="AJ207" s="136"/>
      <c r="AK207" s="131"/>
      <c r="AL207" s="136"/>
      <c r="AM207" s="136"/>
      <c r="AN207" s="131"/>
      <c r="AO207" s="102">
        <v>40</v>
      </c>
    </row>
    <row r="208" spans="1:41">
      <c r="A208" s="117">
        <f t="shared" si="95"/>
        <v>207</v>
      </c>
      <c r="B208" t="s">
        <v>33</v>
      </c>
      <c r="C208" s="109">
        <v>8</v>
      </c>
      <c r="D208" s="29" t="s">
        <v>74</v>
      </c>
      <c r="E208" s="19" t="s">
        <v>74</v>
      </c>
      <c r="F208" s="19" t="s">
        <v>174</v>
      </c>
      <c r="G208" s="29">
        <v>0.48</v>
      </c>
      <c r="H208" s="29">
        <v>7.1999999999999995E-2</v>
      </c>
      <c r="I208" s="19">
        <v>1.4</v>
      </c>
      <c r="J208" s="19"/>
      <c r="K208" s="29"/>
      <c r="L208" s="29"/>
      <c r="M208" s="29"/>
      <c r="N208" s="29"/>
      <c r="O208" s="121"/>
      <c r="P208" s="2"/>
      <c r="Q208" s="2"/>
      <c r="R208" s="2"/>
      <c r="S208" s="2"/>
      <c r="T208" s="121"/>
      <c r="U208" s="19"/>
      <c r="V208" s="29"/>
      <c r="W208" s="29"/>
      <c r="X208" s="29"/>
      <c r="Y208" s="29"/>
      <c r="Z208" s="29"/>
      <c r="AA208" s="29"/>
      <c r="AB208" s="122"/>
      <c r="AC208" s="123"/>
      <c r="AD208" s="123"/>
      <c r="AE208" s="123"/>
      <c r="AF208" s="123"/>
      <c r="AG208" s="123"/>
      <c r="AH208" s="124"/>
      <c r="AI208" s="2"/>
      <c r="AJ208" s="2"/>
      <c r="AK208" s="121"/>
      <c r="AL208" s="2"/>
      <c r="AM208" s="2"/>
      <c r="AN208" s="121"/>
      <c r="AO208" s="19">
        <v>40</v>
      </c>
    </row>
    <row r="209" spans="1:41">
      <c r="A209" s="117">
        <f t="shared" si="95"/>
        <v>208</v>
      </c>
      <c r="B209" t="s">
        <v>33</v>
      </c>
      <c r="C209" s="109">
        <v>8</v>
      </c>
      <c r="D209" s="29" t="s">
        <v>74</v>
      </c>
      <c r="E209" s="19" t="s">
        <v>74</v>
      </c>
      <c r="F209" s="19" t="s">
        <v>165</v>
      </c>
      <c r="G209" s="29"/>
      <c r="H209" s="29"/>
      <c r="I209" s="19"/>
      <c r="J209" s="19" t="s">
        <v>455</v>
      </c>
      <c r="K209" s="29">
        <v>7.56</v>
      </c>
      <c r="L209" s="29">
        <v>75.010000000000005</v>
      </c>
      <c r="M209" s="29">
        <v>12.03</v>
      </c>
      <c r="N209" s="29">
        <v>5.4</v>
      </c>
      <c r="O209" s="121">
        <f t="shared" ref="O209:O229" si="107">SUM(K209:N209)</f>
        <v>100.00000000000001</v>
      </c>
      <c r="P209" s="29">
        <v>7.56</v>
      </c>
      <c r="Q209" s="29">
        <v>75.010000000000005</v>
      </c>
      <c r="R209" s="29">
        <v>12.03</v>
      </c>
      <c r="S209" s="29">
        <v>5.4</v>
      </c>
      <c r="T209" s="121"/>
      <c r="U209" s="19" t="s">
        <v>455</v>
      </c>
      <c r="V209" s="29">
        <v>41.72</v>
      </c>
      <c r="W209" s="29">
        <v>5.95</v>
      </c>
      <c r="X209" s="29">
        <v>7.0000000000000007E-2</v>
      </c>
      <c r="Y209" s="29">
        <v>0.11</v>
      </c>
      <c r="Z209" s="29">
        <v>46.75</v>
      </c>
      <c r="AA209" s="29">
        <v>7.0000000000000007E-2</v>
      </c>
      <c r="AB209" s="122">
        <f t="shared" si="94"/>
        <v>94.669999999999987</v>
      </c>
      <c r="AC209" s="123">
        <f>100*V209/$AB$209</f>
        <v>44.068870814407951</v>
      </c>
      <c r="AD209" s="123">
        <f t="shared" ref="AD209:AH209" si="108">100*W209/$AB$209</f>
        <v>6.2849899651420733</v>
      </c>
      <c r="AE209" s="123">
        <f t="shared" si="108"/>
        <v>7.3941058413436164E-2</v>
      </c>
      <c r="AF209" s="123">
        <f t="shared" si="108"/>
        <v>0.11619309179254253</v>
      </c>
      <c r="AG209" s="123">
        <f t="shared" si="108"/>
        <v>49.382064011830579</v>
      </c>
      <c r="AH209" s="122">
        <f t="shared" si="108"/>
        <v>7.3941058413436164E-2</v>
      </c>
      <c r="AI209" s="2"/>
      <c r="AJ209" s="2">
        <v>15.164999999999999</v>
      </c>
      <c r="AK209" s="121"/>
      <c r="AL209">
        <f>AM209*(Q209+R209+S209)/(Q209+R209)</f>
        <v>16.105843290441179</v>
      </c>
      <c r="AM209" s="2">
        <v>15.164999999999999</v>
      </c>
      <c r="AN209" s="3">
        <f>AM209*(Q209+R209+S209)/100</f>
        <v>14.018526000000001</v>
      </c>
      <c r="AO209" s="19">
        <v>38</v>
      </c>
    </row>
    <row r="210" spans="1:41">
      <c r="A210" s="117">
        <f t="shared" si="95"/>
        <v>209</v>
      </c>
      <c r="B210" t="s">
        <v>33</v>
      </c>
      <c r="C210" s="109">
        <v>8</v>
      </c>
      <c r="D210" s="29" t="s">
        <v>74</v>
      </c>
      <c r="E210" s="19" t="s">
        <v>74</v>
      </c>
      <c r="F210" s="19" t="s">
        <v>164</v>
      </c>
      <c r="G210" s="29"/>
      <c r="H210" s="29"/>
      <c r="I210" s="19"/>
      <c r="J210" s="19" t="s">
        <v>455</v>
      </c>
      <c r="K210" s="29">
        <v>20.64</v>
      </c>
      <c r="L210" s="29">
        <v>61.02</v>
      </c>
      <c r="M210" s="29">
        <v>8.8000000000000007</v>
      </c>
      <c r="N210" s="29">
        <v>9.5399999999999991</v>
      </c>
      <c r="O210" s="121">
        <f t="shared" si="107"/>
        <v>100</v>
      </c>
      <c r="P210" s="29">
        <v>20.64</v>
      </c>
      <c r="Q210" s="29">
        <v>61.02</v>
      </c>
      <c r="R210" s="29">
        <v>8.8000000000000007</v>
      </c>
      <c r="S210" s="29">
        <v>9.5399999999999991</v>
      </c>
      <c r="T210" s="121"/>
      <c r="U210" s="19" t="s">
        <v>455</v>
      </c>
      <c r="V210" s="29">
        <v>32.68</v>
      </c>
      <c r="W210" s="29">
        <v>6.2</v>
      </c>
      <c r="X210" s="29">
        <v>0.12</v>
      </c>
      <c r="Y210" s="29">
        <v>0.12</v>
      </c>
      <c r="Z210" s="29">
        <v>51.34</v>
      </c>
      <c r="AA210" s="29">
        <v>0.12</v>
      </c>
      <c r="AB210" s="122">
        <f t="shared" si="94"/>
        <v>90.580000000000013</v>
      </c>
      <c r="AC210" s="123">
        <f>100*V210/$AB$210</f>
        <v>36.078604548465442</v>
      </c>
      <c r="AD210" s="123">
        <f t="shared" ref="AD210:AH210" si="109">100*W210/$AB$210</f>
        <v>6.8447780967100895</v>
      </c>
      <c r="AE210" s="123">
        <f t="shared" si="109"/>
        <v>0.13247957606535657</v>
      </c>
      <c r="AF210" s="123">
        <f t="shared" si="109"/>
        <v>0.13247957606535657</v>
      </c>
      <c r="AG210" s="123">
        <f t="shared" si="109"/>
        <v>56.679178626628385</v>
      </c>
      <c r="AH210" s="122">
        <f t="shared" si="109"/>
        <v>0.13247957606535657</v>
      </c>
      <c r="AI210" s="2"/>
      <c r="AJ210" s="2">
        <v>12.297000000000001</v>
      </c>
      <c r="AK210" s="121"/>
      <c r="AL210">
        <f>AM210*(Q210+R210+S210)/(Q210+R210)</f>
        <v>13.977226009739331</v>
      </c>
      <c r="AM210" s="2">
        <v>12.297000000000001</v>
      </c>
      <c r="AN210" s="3">
        <f>AM210*(Q210+R210+S210)/100</f>
        <v>9.7588992000000019</v>
      </c>
      <c r="AO210" s="19">
        <v>38</v>
      </c>
    </row>
    <row r="211" spans="1:41">
      <c r="A211" s="117">
        <f t="shared" si="95"/>
        <v>210</v>
      </c>
      <c r="B211" t="s">
        <v>33</v>
      </c>
      <c r="C211" s="109">
        <v>8</v>
      </c>
      <c r="D211" s="29" t="s">
        <v>74</v>
      </c>
      <c r="E211" s="19" t="s">
        <v>74</v>
      </c>
      <c r="F211" s="19"/>
      <c r="G211" s="29"/>
      <c r="H211" s="29"/>
      <c r="I211" s="19"/>
      <c r="J211" s="19" t="s">
        <v>69</v>
      </c>
      <c r="K211" s="29"/>
      <c r="L211" s="29">
        <v>72.27</v>
      </c>
      <c r="M211" s="29">
        <v>13.67</v>
      </c>
      <c r="N211" s="29">
        <v>14.07</v>
      </c>
      <c r="O211" s="121">
        <f t="shared" si="107"/>
        <v>100.00999999999999</v>
      </c>
      <c r="P211" s="123">
        <f>100*K211/$O$211</f>
        <v>0</v>
      </c>
      <c r="Q211" s="123">
        <f t="shared" ref="Q211:S211" si="110">100*L211/$O$211</f>
        <v>72.262773722627742</v>
      </c>
      <c r="R211" s="123">
        <f t="shared" si="110"/>
        <v>13.668633136686333</v>
      </c>
      <c r="S211" s="123">
        <f t="shared" si="110"/>
        <v>14.068593140685932</v>
      </c>
      <c r="T211" s="121"/>
      <c r="U211" s="19" t="s">
        <v>215</v>
      </c>
      <c r="V211" s="29">
        <v>49.51</v>
      </c>
      <c r="W211" s="29">
        <v>6.29</v>
      </c>
      <c r="X211" s="29">
        <v>0.27</v>
      </c>
      <c r="Y211" s="29">
        <v>0.22</v>
      </c>
      <c r="Z211" s="29">
        <v>43.71</v>
      </c>
      <c r="AA211" s="29"/>
      <c r="AB211" s="122">
        <f t="shared" si="94"/>
        <v>100</v>
      </c>
      <c r="AC211" s="29">
        <v>49.51</v>
      </c>
      <c r="AD211" s="29">
        <v>6.29</v>
      </c>
      <c r="AE211" s="29">
        <v>0.27</v>
      </c>
      <c r="AF211" s="29">
        <v>0.22</v>
      </c>
      <c r="AG211" s="29">
        <v>43.71</v>
      </c>
      <c r="AH211" s="22"/>
      <c r="AI211" s="141">
        <v>15.481</v>
      </c>
      <c r="AJ211" s="141"/>
      <c r="AK211" s="142"/>
      <c r="AL211" s="141">
        <v>15.481</v>
      </c>
      <c r="AM211" s="141">
        <f>AL211*(Q211+R211)/100</f>
        <v>13.303041095890412</v>
      </c>
      <c r="AN211" s="142"/>
      <c r="AO211" s="19">
        <v>31</v>
      </c>
    </row>
    <row r="212" spans="1:41" s="6" customFormat="1">
      <c r="A212" s="129">
        <f t="shared" si="95"/>
        <v>211</v>
      </c>
      <c r="B212" s="6" t="s">
        <v>33</v>
      </c>
      <c r="C212" s="130">
        <v>9</v>
      </c>
      <c r="D212" s="103" t="s">
        <v>73</v>
      </c>
      <c r="E212" s="102" t="s">
        <v>73</v>
      </c>
      <c r="F212" s="102"/>
      <c r="G212" s="103"/>
      <c r="H212" s="103"/>
      <c r="I212" s="102"/>
      <c r="J212" s="102" t="s">
        <v>69</v>
      </c>
      <c r="K212" s="103"/>
      <c r="L212" s="103">
        <v>95.36</v>
      </c>
      <c r="M212" s="103">
        <v>4.5999999999999996</v>
      </c>
      <c r="N212" s="103">
        <v>0.04</v>
      </c>
      <c r="O212" s="131">
        <f t="shared" si="107"/>
        <v>100</v>
      </c>
      <c r="P212" s="136">
        <v>0</v>
      </c>
      <c r="Q212" s="103">
        <v>95.36</v>
      </c>
      <c r="R212" s="103">
        <v>4.5999999999999996</v>
      </c>
      <c r="S212" s="103">
        <v>0.04</v>
      </c>
      <c r="T212" s="131"/>
      <c r="U212" s="102" t="s">
        <v>215</v>
      </c>
      <c r="V212" s="103">
        <v>44.31</v>
      </c>
      <c r="W212" s="103">
        <v>6.06</v>
      </c>
      <c r="X212" s="103">
        <v>0.13</v>
      </c>
      <c r="Y212" s="103">
        <v>0.06</v>
      </c>
      <c r="Z212" s="103">
        <v>49.43</v>
      </c>
      <c r="AA212" s="103"/>
      <c r="AB212" s="133">
        <f t="shared" si="94"/>
        <v>99.990000000000009</v>
      </c>
      <c r="AC212" s="103">
        <v>44.31</v>
      </c>
      <c r="AD212" s="103">
        <v>6.06</v>
      </c>
      <c r="AE212" s="103">
        <v>0.13</v>
      </c>
      <c r="AF212" s="103">
        <v>0.06</v>
      </c>
      <c r="AG212" s="103">
        <v>49.43</v>
      </c>
      <c r="AH212" s="108"/>
      <c r="AI212" s="136"/>
      <c r="AJ212" s="136">
        <v>16.855</v>
      </c>
      <c r="AK212" s="131"/>
      <c r="AL212" s="6">
        <f>AM212*(Q212+R212+S212)/(Q212+R212)</f>
        <v>16.861744697879153</v>
      </c>
      <c r="AM212" s="136">
        <v>16.855</v>
      </c>
      <c r="AN212" s="131"/>
      <c r="AO212" s="102">
        <v>31</v>
      </c>
    </row>
    <row r="213" spans="1:41">
      <c r="A213" s="117">
        <f t="shared" si="95"/>
        <v>212</v>
      </c>
      <c r="B213" t="s">
        <v>33</v>
      </c>
      <c r="C213" s="109">
        <v>9</v>
      </c>
      <c r="D213" s="29" t="s">
        <v>73</v>
      </c>
      <c r="E213" s="19" t="s">
        <v>73</v>
      </c>
      <c r="F213" s="19"/>
      <c r="G213" s="29"/>
      <c r="H213" s="29"/>
      <c r="I213" s="19"/>
      <c r="J213" s="19"/>
      <c r="K213" s="29"/>
      <c r="L213" s="29"/>
      <c r="M213" s="29"/>
      <c r="N213" s="29"/>
      <c r="O213" s="121"/>
      <c r="P213" s="2"/>
      <c r="Q213" s="2"/>
      <c r="R213" s="2"/>
      <c r="S213" s="2"/>
      <c r="T213" s="121"/>
      <c r="U213" s="19" t="s">
        <v>215</v>
      </c>
      <c r="V213" s="29">
        <v>41.1</v>
      </c>
      <c r="W213" s="29">
        <v>6.3</v>
      </c>
      <c r="X213" s="29">
        <v>0.44</v>
      </c>
      <c r="Y213" s="29">
        <v>0.1</v>
      </c>
      <c r="Z213" s="29">
        <v>52.1</v>
      </c>
      <c r="AA213" s="29"/>
      <c r="AB213" s="122">
        <f t="shared" si="94"/>
        <v>100.03999999999999</v>
      </c>
      <c r="AC213" s="29">
        <v>41.1</v>
      </c>
      <c r="AD213" s="29">
        <v>6.3</v>
      </c>
      <c r="AE213" s="29">
        <v>0.44</v>
      </c>
      <c r="AF213" s="29">
        <v>0.1</v>
      </c>
      <c r="AG213" s="29">
        <v>52.1</v>
      </c>
      <c r="AH213" s="22"/>
      <c r="AJ213" s="2">
        <v>15.32</v>
      </c>
      <c r="AK213" s="121"/>
      <c r="AL213"/>
      <c r="AM213" s="2">
        <v>15.32</v>
      </c>
      <c r="AN213" s="121"/>
      <c r="AO213" s="19">
        <v>30</v>
      </c>
    </row>
    <row r="214" spans="1:41">
      <c r="A214" s="117">
        <f t="shared" si="95"/>
        <v>213</v>
      </c>
      <c r="B214" t="s">
        <v>33</v>
      </c>
      <c r="C214" s="109">
        <v>9</v>
      </c>
      <c r="D214" s="29" t="s">
        <v>73</v>
      </c>
      <c r="E214" s="19" t="s">
        <v>448</v>
      </c>
      <c r="F214" s="19"/>
      <c r="G214" s="29"/>
      <c r="H214" s="29"/>
      <c r="I214" s="19"/>
      <c r="J214" s="19" t="s">
        <v>221</v>
      </c>
      <c r="K214" s="29">
        <v>3.2</v>
      </c>
      <c r="L214" s="29">
        <v>83.55</v>
      </c>
      <c r="M214" s="29">
        <v>10.039999999999999</v>
      </c>
      <c r="N214" s="29">
        <v>3.21</v>
      </c>
      <c r="O214" s="121">
        <f t="shared" si="107"/>
        <v>99.999999999999986</v>
      </c>
      <c r="P214" s="29">
        <v>3.2</v>
      </c>
      <c r="Q214" s="29">
        <v>83.55</v>
      </c>
      <c r="R214" s="29">
        <v>10.039999999999999</v>
      </c>
      <c r="S214" s="29">
        <v>3.21</v>
      </c>
      <c r="T214" s="121"/>
      <c r="U214" s="19" t="s">
        <v>221</v>
      </c>
      <c r="V214" s="29">
        <v>39.6</v>
      </c>
      <c r="W214" s="29">
        <v>5.74</v>
      </c>
      <c r="X214" s="29">
        <v>0.2</v>
      </c>
      <c r="Y214" s="29">
        <v>1.85</v>
      </c>
      <c r="Z214" s="29">
        <v>49.4</v>
      </c>
      <c r="AA214" s="29"/>
      <c r="AB214" s="122">
        <f t="shared" si="94"/>
        <v>96.79</v>
      </c>
      <c r="AC214">
        <f>100*V214/AB214</f>
        <v>40.913317491476391</v>
      </c>
      <c r="AD214">
        <f>100*W214/AB214</f>
        <v>5.9303647070978407</v>
      </c>
      <c r="AE214">
        <f>100*X214/AB214</f>
        <v>0.20663291662361813</v>
      </c>
      <c r="AF214">
        <f>100*Y214/AB214</f>
        <v>1.9113544787684678</v>
      </c>
      <c r="AG214">
        <f>100*Z214/AB214</f>
        <v>51.03833040603368</v>
      </c>
      <c r="AH214" s="22"/>
      <c r="AJ214" s="2"/>
      <c r="AK214" s="121">
        <v>15.3</v>
      </c>
      <c r="AL214">
        <f>AN214*100/(100-P214-S214)</f>
        <v>16.347900416711187</v>
      </c>
      <c r="AM214">
        <f>AN214*100/(100-P214)</f>
        <v>15.805785123966942</v>
      </c>
      <c r="AN214" s="121">
        <v>15.3</v>
      </c>
      <c r="AO214" s="19">
        <v>43</v>
      </c>
    </row>
    <row r="215" spans="1:41">
      <c r="A215" s="117">
        <f t="shared" si="95"/>
        <v>214</v>
      </c>
      <c r="B215" t="s">
        <v>33</v>
      </c>
      <c r="C215" s="109">
        <v>9</v>
      </c>
      <c r="D215" s="29" t="s">
        <v>73</v>
      </c>
      <c r="E215" s="19" t="s">
        <v>72</v>
      </c>
      <c r="F215" s="19"/>
      <c r="G215" s="29"/>
      <c r="H215" s="29"/>
      <c r="I215" s="19"/>
      <c r="J215" s="19" t="s">
        <v>69</v>
      </c>
      <c r="K215" s="29"/>
      <c r="L215" s="29">
        <v>90.47</v>
      </c>
      <c r="M215" s="29">
        <v>9.01</v>
      </c>
      <c r="N215" s="29">
        <v>0.52</v>
      </c>
      <c r="O215" s="121">
        <f t="shared" si="107"/>
        <v>100</v>
      </c>
      <c r="P215" s="2">
        <v>0</v>
      </c>
      <c r="Q215" s="2">
        <v>90.47</v>
      </c>
      <c r="R215" s="2">
        <v>9.01</v>
      </c>
      <c r="S215" s="2">
        <v>0.52</v>
      </c>
      <c r="T215" s="121"/>
      <c r="U215" s="19" t="s">
        <v>215</v>
      </c>
      <c r="V215" s="29">
        <v>45.18</v>
      </c>
      <c r="W215" s="29">
        <v>6.13</v>
      </c>
      <c r="X215" s="29">
        <v>0.25</v>
      </c>
      <c r="Y215" s="29">
        <v>0.11</v>
      </c>
      <c r="Z215" s="29">
        <v>48.32</v>
      </c>
      <c r="AA215" s="29"/>
      <c r="AB215" s="122">
        <f t="shared" si="94"/>
        <v>99.990000000000009</v>
      </c>
      <c r="AC215" s="29">
        <v>45.18</v>
      </c>
      <c r="AD215" s="29">
        <v>6.13</v>
      </c>
      <c r="AE215" s="29">
        <v>0.25</v>
      </c>
      <c r="AF215" s="29">
        <v>0.11</v>
      </c>
      <c r="AG215" s="29">
        <v>48.32</v>
      </c>
      <c r="AH215" s="22"/>
      <c r="AI215" s="2"/>
      <c r="AJ215" s="2">
        <v>17.25</v>
      </c>
      <c r="AK215" s="121"/>
      <c r="AL215">
        <f>AM215*(Q215+R215+S215)/(Q215+R215)</f>
        <v>17.340168878166466</v>
      </c>
      <c r="AM215" s="2">
        <v>17.25</v>
      </c>
      <c r="AN215" s="3">
        <f>AM215*(Q215+R215+S215)/100</f>
        <v>17.25</v>
      </c>
      <c r="AO215" s="19">
        <v>31</v>
      </c>
    </row>
    <row r="216" spans="1:41" s="4" customFormat="1">
      <c r="A216" s="117">
        <f t="shared" si="95"/>
        <v>215</v>
      </c>
      <c r="B216" s="4" t="s">
        <v>33</v>
      </c>
      <c r="C216" s="139">
        <v>9</v>
      </c>
      <c r="D216" s="29" t="s">
        <v>73</v>
      </c>
      <c r="E216" s="25" t="s">
        <v>72</v>
      </c>
      <c r="F216" s="25"/>
      <c r="G216" s="24"/>
      <c r="H216" s="24"/>
      <c r="I216" s="25"/>
      <c r="J216" s="25"/>
      <c r="K216" s="24"/>
      <c r="L216" s="24"/>
      <c r="M216" s="24"/>
      <c r="N216" s="24"/>
      <c r="O216" s="142"/>
      <c r="P216" s="141"/>
      <c r="Q216" s="141"/>
      <c r="R216" s="141"/>
      <c r="S216" s="141"/>
      <c r="T216" s="142"/>
      <c r="U216" s="25" t="s">
        <v>215</v>
      </c>
      <c r="V216" s="24">
        <v>41.63</v>
      </c>
      <c r="W216" s="24">
        <v>5.71</v>
      </c>
      <c r="X216" s="24">
        <v>0</v>
      </c>
      <c r="Y216" s="24">
        <v>0.31</v>
      </c>
      <c r="Z216" s="24">
        <v>52.35</v>
      </c>
      <c r="AA216" s="24"/>
      <c r="AB216" s="144">
        <f t="shared" si="94"/>
        <v>100</v>
      </c>
      <c r="AC216" s="24">
        <v>41.63</v>
      </c>
      <c r="AD216" s="24">
        <v>5.71</v>
      </c>
      <c r="AE216" s="24">
        <v>0</v>
      </c>
      <c r="AF216" s="24">
        <v>0.31</v>
      </c>
      <c r="AG216" s="24">
        <v>52.35</v>
      </c>
      <c r="AH216" s="140"/>
      <c r="AJ216" s="141"/>
      <c r="AK216" s="142"/>
      <c r="AM216" s="141"/>
      <c r="AN216" s="142"/>
      <c r="AO216" s="25">
        <v>31</v>
      </c>
    </row>
    <row r="217" spans="1:41" s="6" customFormat="1">
      <c r="A217" s="129">
        <f t="shared" si="95"/>
        <v>216</v>
      </c>
      <c r="B217" s="6" t="s">
        <v>33</v>
      </c>
      <c r="C217" s="130">
        <v>10</v>
      </c>
      <c r="D217" s="103" t="s">
        <v>152</v>
      </c>
      <c r="E217" s="102" t="s">
        <v>152</v>
      </c>
      <c r="F217" s="7" t="s">
        <v>9</v>
      </c>
      <c r="I217" s="7"/>
      <c r="J217" s="7" t="s">
        <v>17</v>
      </c>
      <c r="K217" s="6">
        <v>5.3</v>
      </c>
      <c r="N217" s="6">
        <v>13.36</v>
      </c>
      <c r="O217" s="131">
        <f t="shared" si="107"/>
        <v>18.66</v>
      </c>
      <c r="P217" s="136"/>
      <c r="Q217" s="136"/>
      <c r="R217" s="136"/>
      <c r="S217" s="136"/>
      <c r="T217" s="131"/>
      <c r="U217" s="7" t="s">
        <v>17</v>
      </c>
      <c r="V217" s="6">
        <v>37.340000000000003</v>
      </c>
      <c r="W217" s="6">
        <v>4.96</v>
      </c>
      <c r="X217" s="6">
        <v>0.17</v>
      </c>
      <c r="Y217" s="6">
        <v>0.05</v>
      </c>
      <c r="Z217" s="6">
        <v>38.82</v>
      </c>
      <c r="AB217" s="133">
        <f t="shared" si="94"/>
        <v>81.34</v>
      </c>
      <c r="AC217" s="132">
        <f>100*V217/$AB$217</f>
        <v>45.906073272682569</v>
      </c>
      <c r="AD217" s="132">
        <f>100*W217/$AB$217</f>
        <v>6.0978608310794193</v>
      </c>
      <c r="AE217" s="132">
        <f>100*X217/$AB$217</f>
        <v>0.20899926235554461</v>
      </c>
      <c r="AF217" s="132">
        <f>100*Y217/$AB$217</f>
        <v>6.1470371281042532E-2</v>
      </c>
      <c r="AG217" s="132">
        <f>100*Z217/$AB$217</f>
        <v>47.725596262601421</v>
      </c>
      <c r="AH217" s="134"/>
      <c r="AK217" s="7">
        <v>14.33</v>
      </c>
      <c r="AL217" s="6">
        <f t="shared" ref="AL217:AL222" si="111">AN217*100/(100-O217)</f>
        <v>17.61740840914679</v>
      </c>
      <c r="AM217" s="6">
        <f t="shared" ref="AM217:AM222" si="112">AN217*100/(100-K217)</f>
        <v>15.131995776135163</v>
      </c>
      <c r="AN217" s="7">
        <v>14.33</v>
      </c>
      <c r="AO217" s="7">
        <v>7</v>
      </c>
    </row>
    <row r="218" spans="1:41">
      <c r="A218" s="117">
        <f t="shared" si="95"/>
        <v>217</v>
      </c>
      <c r="B218" t="s">
        <v>33</v>
      </c>
      <c r="C218" s="109">
        <v>10</v>
      </c>
      <c r="D218" s="29" t="s">
        <v>152</v>
      </c>
      <c r="E218" s="3" t="s">
        <v>152</v>
      </c>
      <c r="F218" s="3" t="s">
        <v>10</v>
      </c>
      <c r="J218" s="3" t="s">
        <v>17</v>
      </c>
      <c r="K218">
        <v>6.16</v>
      </c>
      <c r="N218">
        <v>1.04</v>
      </c>
      <c r="O218" s="121">
        <f t="shared" si="107"/>
        <v>7.2</v>
      </c>
      <c r="P218" s="2"/>
      <c r="Q218" s="2"/>
      <c r="R218" s="2"/>
      <c r="S218" s="2"/>
      <c r="T218" s="121"/>
      <c r="U218" s="3" t="s">
        <v>17</v>
      </c>
      <c r="V218">
        <v>42.79</v>
      </c>
      <c r="W218">
        <v>5.48</v>
      </c>
      <c r="X218">
        <v>0.02</v>
      </c>
      <c r="Y218">
        <v>0.06</v>
      </c>
      <c r="Z218">
        <v>44.45</v>
      </c>
      <c r="AB218" s="122">
        <f t="shared" si="94"/>
        <v>92.800000000000011</v>
      </c>
      <c r="AC218" s="123">
        <f>100*V218/$AB$218</f>
        <v>46.109913793103445</v>
      </c>
      <c r="AD218" s="123">
        <f t="shared" ref="AD218:AG218" si="113">100*W218/$AB$218</f>
        <v>5.9051724137931023</v>
      </c>
      <c r="AE218" s="123">
        <f t="shared" si="113"/>
        <v>2.1551724137931032E-2</v>
      </c>
      <c r="AF218" s="123">
        <f t="shared" si="113"/>
        <v>6.4655172413793094E-2</v>
      </c>
      <c r="AG218" s="123">
        <f t="shared" si="113"/>
        <v>47.898706896551715</v>
      </c>
      <c r="AH218" s="124"/>
      <c r="AK218" s="3">
        <v>16.489999999999998</v>
      </c>
      <c r="AL218">
        <f t="shared" si="111"/>
        <v>17.769396551724135</v>
      </c>
      <c r="AM218">
        <f t="shared" si="112"/>
        <v>17.572463768115938</v>
      </c>
      <c r="AN218" s="3">
        <v>16.489999999999998</v>
      </c>
      <c r="AO218" s="3">
        <v>7</v>
      </c>
    </row>
    <row r="219" spans="1:41">
      <c r="A219" s="117">
        <f t="shared" si="95"/>
        <v>218</v>
      </c>
      <c r="B219" t="s">
        <v>33</v>
      </c>
      <c r="C219" s="109">
        <v>10</v>
      </c>
      <c r="D219" s="29" t="s">
        <v>152</v>
      </c>
      <c r="E219" s="3" t="s">
        <v>152</v>
      </c>
      <c r="F219" s="3" t="s">
        <v>11</v>
      </c>
      <c r="J219" s="3" t="s">
        <v>17</v>
      </c>
      <c r="K219">
        <v>5.38</v>
      </c>
      <c r="N219">
        <v>9.4</v>
      </c>
      <c r="O219" s="121">
        <f t="shared" si="107"/>
        <v>14.780000000000001</v>
      </c>
      <c r="P219" s="2"/>
      <c r="Q219" s="2"/>
      <c r="R219" s="2"/>
      <c r="S219" s="2"/>
      <c r="T219" s="121"/>
      <c r="U219" s="3" t="s">
        <v>17</v>
      </c>
      <c r="V219">
        <v>39.03</v>
      </c>
      <c r="W219">
        <v>5.35</v>
      </c>
      <c r="X219">
        <v>0.05</v>
      </c>
      <c r="Y219">
        <v>0.12</v>
      </c>
      <c r="Z219">
        <v>40.67</v>
      </c>
      <c r="AB219" s="122">
        <f t="shared" si="94"/>
        <v>85.22</v>
      </c>
      <c r="AC219" s="123">
        <f>100*V219/$AB$219</f>
        <v>45.799108190565597</v>
      </c>
      <c r="AD219" s="123">
        <f t="shared" ref="AD219:AG219" si="114">100*W219/$AB$219</f>
        <v>6.2778690448251586</v>
      </c>
      <c r="AE219" s="123">
        <f t="shared" si="114"/>
        <v>5.8671673316122976E-2</v>
      </c>
      <c r="AF219" s="123">
        <f t="shared" si="114"/>
        <v>0.14081201595869514</v>
      </c>
      <c r="AG219" s="123">
        <f t="shared" si="114"/>
        <v>47.723539075334429</v>
      </c>
      <c r="AH219" s="124"/>
      <c r="AK219" s="3">
        <v>15.46</v>
      </c>
      <c r="AL219">
        <f t="shared" si="111"/>
        <v>18.141281389345224</v>
      </c>
      <c r="AM219">
        <f t="shared" si="112"/>
        <v>16.339040372014374</v>
      </c>
      <c r="AN219" s="3">
        <v>15.46</v>
      </c>
      <c r="AO219" s="3">
        <v>7</v>
      </c>
    </row>
    <row r="220" spans="1:41">
      <c r="A220" s="117">
        <f t="shared" si="95"/>
        <v>219</v>
      </c>
      <c r="B220" t="s">
        <v>33</v>
      </c>
      <c r="C220" s="109">
        <v>10</v>
      </c>
      <c r="D220" s="29" t="s">
        <v>152</v>
      </c>
      <c r="E220" s="3" t="s">
        <v>152</v>
      </c>
      <c r="F220" s="3" t="s">
        <v>12</v>
      </c>
      <c r="J220" s="3" t="s">
        <v>17</v>
      </c>
      <c r="K220">
        <v>6.51</v>
      </c>
      <c r="N220">
        <v>0.59</v>
      </c>
      <c r="O220" s="121">
        <f t="shared" si="107"/>
        <v>7.1</v>
      </c>
      <c r="P220" s="2"/>
      <c r="Q220" s="2"/>
      <c r="R220" s="2"/>
      <c r="S220" s="2"/>
      <c r="T220" s="121"/>
      <c r="U220" s="3" t="s">
        <v>17</v>
      </c>
      <c r="V220">
        <v>42.01</v>
      </c>
      <c r="W220">
        <v>5.48</v>
      </c>
      <c r="X220">
        <v>0</v>
      </c>
      <c r="Y220">
        <v>0.04</v>
      </c>
      <c r="Z220">
        <v>45.37</v>
      </c>
      <c r="AB220" s="122">
        <f t="shared" si="94"/>
        <v>92.899999999999991</v>
      </c>
      <c r="AC220" s="123">
        <f>100*V220/$AB$220</f>
        <v>45.220667384284184</v>
      </c>
      <c r="AD220" s="123">
        <f t="shared" ref="AD220:AG220" si="115">100*W220/$AB$220</f>
        <v>5.8988159311087198</v>
      </c>
      <c r="AE220" s="123">
        <f t="shared" si="115"/>
        <v>0</v>
      </c>
      <c r="AF220" s="123">
        <f t="shared" si="115"/>
        <v>4.3057050592034449E-2</v>
      </c>
      <c r="AG220" s="123">
        <f t="shared" si="115"/>
        <v>48.837459634015076</v>
      </c>
      <c r="AH220" s="124"/>
      <c r="AK220" s="3">
        <v>16.54</v>
      </c>
      <c r="AL220">
        <f t="shared" si="111"/>
        <v>17.804090419806244</v>
      </c>
      <c r="AM220">
        <f t="shared" si="112"/>
        <v>17.69173173601455</v>
      </c>
      <c r="AN220" s="3">
        <v>16.54</v>
      </c>
      <c r="AO220" s="3">
        <v>7</v>
      </c>
    </row>
    <row r="221" spans="1:41">
      <c r="A221" s="117">
        <f t="shared" si="95"/>
        <v>220</v>
      </c>
      <c r="B221" t="s">
        <v>33</v>
      </c>
      <c r="C221" s="109">
        <v>10</v>
      </c>
      <c r="D221" s="29" t="s">
        <v>152</v>
      </c>
      <c r="E221" s="3" t="s">
        <v>152</v>
      </c>
      <c r="F221" s="3" t="s">
        <v>13</v>
      </c>
      <c r="J221" s="3" t="s">
        <v>17</v>
      </c>
      <c r="K221">
        <v>5.2</v>
      </c>
      <c r="N221">
        <v>9.41</v>
      </c>
      <c r="O221" s="121">
        <f t="shared" si="107"/>
        <v>14.61</v>
      </c>
      <c r="P221" s="2"/>
      <c r="Q221" s="2"/>
      <c r="R221" s="2"/>
      <c r="S221" s="2"/>
      <c r="T221" s="121"/>
      <c r="U221" s="3" t="s">
        <v>17</v>
      </c>
      <c r="V221">
        <v>42.97</v>
      </c>
      <c r="W221">
        <v>5.49</v>
      </c>
      <c r="X221">
        <v>0.03</v>
      </c>
      <c r="Y221">
        <v>0.03</v>
      </c>
      <c r="Z221">
        <v>36.880000000000003</v>
      </c>
      <c r="AB221" s="122">
        <f t="shared" si="94"/>
        <v>85.4</v>
      </c>
      <c r="AC221" s="123">
        <f>100*V221/$AB$221</f>
        <v>50.316159250585478</v>
      </c>
      <c r="AD221" s="123">
        <f t="shared" ref="AD221:AG221" si="116">100*W221/$AB$221</f>
        <v>6.4285714285714279</v>
      </c>
      <c r="AE221" s="123">
        <f t="shared" si="116"/>
        <v>3.5128805620608897E-2</v>
      </c>
      <c r="AF221" s="123">
        <f t="shared" si="116"/>
        <v>3.5128805620608897E-2</v>
      </c>
      <c r="AG221" s="123">
        <f t="shared" si="116"/>
        <v>43.185011709601874</v>
      </c>
      <c r="AH221" s="124"/>
      <c r="AK221" s="3">
        <v>17.399999999999999</v>
      </c>
      <c r="AL221">
        <f t="shared" si="111"/>
        <v>20.377093336456255</v>
      </c>
      <c r="AM221">
        <f t="shared" si="112"/>
        <v>18.354430379746834</v>
      </c>
      <c r="AN221" s="3">
        <v>17.399999999999999</v>
      </c>
      <c r="AO221" s="3">
        <v>7</v>
      </c>
    </row>
    <row r="222" spans="1:41">
      <c r="A222" s="117">
        <f t="shared" si="95"/>
        <v>221</v>
      </c>
      <c r="B222" t="s">
        <v>33</v>
      </c>
      <c r="C222" s="109">
        <v>10</v>
      </c>
      <c r="D222" s="29" t="s">
        <v>152</v>
      </c>
      <c r="E222" s="3" t="s">
        <v>152</v>
      </c>
      <c r="F222" s="3" t="s">
        <v>14</v>
      </c>
      <c r="J222" s="3" t="s">
        <v>17</v>
      </c>
      <c r="K222">
        <v>6.1</v>
      </c>
      <c r="N222">
        <v>1.19</v>
      </c>
      <c r="O222" s="121">
        <f t="shared" si="107"/>
        <v>7.2899999999999991</v>
      </c>
      <c r="P222" s="2"/>
      <c r="Q222" s="2"/>
      <c r="R222" s="2"/>
      <c r="S222" s="2"/>
      <c r="T222" s="121"/>
      <c r="U222" s="3" t="s">
        <v>17</v>
      </c>
      <c r="V222">
        <v>41.27</v>
      </c>
      <c r="W222">
        <v>5.57</v>
      </c>
      <c r="X222">
        <v>0</v>
      </c>
      <c r="Y222">
        <v>0.06</v>
      </c>
      <c r="Z222">
        <v>45.8</v>
      </c>
      <c r="AB222" s="122">
        <f t="shared" si="94"/>
        <v>92.7</v>
      </c>
      <c r="AC222" s="123">
        <f>100*V222/$AB$222</f>
        <v>44.519956850053937</v>
      </c>
      <c r="AD222" s="123">
        <f t="shared" ref="AD222:AG222" si="117">100*W222/$AB$222</f>
        <v>6.0086299892125137</v>
      </c>
      <c r="AE222" s="123">
        <f t="shared" si="117"/>
        <v>0</v>
      </c>
      <c r="AF222" s="123">
        <f t="shared" si="117"/>
        <v>6.4724919093851127E-2</v>
      </c>
      <c r="AG222" s="123">
        <f t="shared" si="117"/>
        <v>49.406688241639699</v>
      </c>
      <c r="AH222" s="124"/>
      <c r="AK222" s="3">
        <v>16.600000000000001</v>
      </c>
      <c r="AL222">
        <f t="shared" si="111"/>
        <v>17.905296084564771</v>
      </c>
      <c r="AM222">
        <f t="shared" si="112"/>
        <v>17.678381256656017</v>
      </c>
      <c r="AN222" s="3">
        <v>16.600000000000001</v>
      </c>
      <c r="AO222" s="3">
        <v>7</v>
      </c>
    </row>
    <row r="223" spans="1:41">
      <c r="A223" s="117">
        <f t="shared" si="95"/>
        <v>222</v>
      </c>
      <c r="B223" t="s">
        <v>33</v>
      </c>
      <c r="C223" s="109">
        <v>10</v>
      </c>
      <c r="D223" s="29" t="s">
        <v>152</v>
      </c>
      <c r="E223" s="3" t="s">
        <v>152</v>
      </c>
      <c r="F223" s="3" t="s">
        <v>145</v>
      </c>
      <c r="O223" s="121"/>
      <c r="P223" s="123"/>
      <c r="Q223" s="123"/>
      <c r="R223" s="123"/>
      <c r="S223" s="123"/>
      <c r="T223" s="121"/>
      <c r="U223" s="3" t="s">
        <v>215</v>
      </c>
      <c r="V223">
        <v>44.9</v>
      </c>
      <c r="W223">
        <v>6.1</v>
      </c>
      <c r="X223">
        <v>0</v>
      </c>
      <c r="Y223">
        <v>0.1</v>
      </c>
      <c r="Z223">
        <v>48.9</v>
      </c>
      <c r="AB223" s="122">
        <f>SUM(V223:AA223)</f>
        <v>100</v>
      </c>
      <c r="AC223">
        <v>44.9</v>
      </c>
      <c r="AD223">
        <v>6.1</v>
      </c>
      <c r="AE223">
        <v>0</v>
      </c>
      <c r="AF223">
        <v>0.1</v>
      </c>
      <c r="AG223">
        <v>48.9</v>
      </c>
      <c r="AH223" s="124"/>
      <c r="AI223">
        <v>16.899999999999999</v>
      </c>
      <c r="AL223">
        <v>16.899999999999999</v>
      </c>
      <c r="AM223"/>
      <c r="AN223" s="3"/>
      <c r="AO223" s="3">
        <v>29</v>
      </c>
    </row>
    <row r="224" spans="1:41">
      <c r="A224" s="117">
        <f t="shared" si="95"/>
        <v>223</v>
      </c>
      <c r="B224" t="s">
        <v>33</v>
      </c>
      <c r="C224" s="109">
        <v>10</v>
      </c>
      <c r="D224" s="29" t="s">
        <v>152</v>
      </c>
      <c r="E224" s="3" t="s">
        <v>152</v>
      </c>
      <c r="F224" s="3" t="s">
        <v>157</v>
      </c>
      <c r="J224" s="3" t="s">
        <v>221</v>
      </c>
      <c r="O224" s="121"/>
      <c r="P224" s="123"/>
      <c r="Q224" s="123"/>
      <c r="R224" s="123"/>
      <c r="S224" s="123"/>
      <c r="T224" s="121"/>
      <c r="U224" s="3" t="s">
        <v>215</v>
      </c>
      <c r="V224">
        <v>40</v>
      </c>
      <c r="W224">
        <v>5.8</v>
      </c>
      <c r="X224">
        <v>0.04</v>
      </c>
      <c r="Y224">
        <v>0.03</v>
      </c>
      <c r="Z224">
        <v>54.1</v>
      </c>
      <c r="AB224" s="122">
        <f>SUM(V224:AA224)</f>
        <v>99.97</v>
      </c>
      <c r="AC224" s="123">
        <f>100*V224/$AB$224</f>
        <v>40.012003601080323</v>
      </c>
      <c r="AD224" s="123">
        <f>100*W224/$AB$224</f>
        <v>5.8017405221566474</v>
      </c>
      <c r="AE224" s="123">
        <f>100*X224/$AB$224</f>
        <v>4.0012003601080322E-2</v>
      </c>
      <c r="AF224" s="123">
        <f>100*Y224/$AB$224</f>
        <v>3.0009002700810243E-2</v>
      </c>
      <c r="AG224" s="123">
        <f>100*Z224/$AB$224</f>
        <v>54.116234870461142</v>
      </c>
      <c r="AH224" s="124"/>
      <c r="AJ224">
        <v>15.53</v>
      </c>
      <c r="AL224"/>
      <c r="AM224">
        <v>15.53</v>
      </c>
      <c r="AN224" s="3"/>
      <c r="AO224" s="3">
        <v>30</v>
      </c>
    </row>
    <row r="225" spans="1:41">
      <c r="A225" s="117">
        <f t="shared" si="95"/>
        <v>224</v>
      </c>
      <c r="B225" t="s">
        <v>33</v>
      </c>
      <c r="C225" s="109">
        <v>10</v>
      </c>
      <c r="D225" s="29" t="s">
        <v>152</v>
      </c>
      <c r="E225" s="3" t="s">
        <v>152</v>
      </c>
      <c r="F225" s="3" t="s">
        <v>5</v>
      </c>
      <c r="J225" s="121" t="s">
        <v>453</v>
      </c>
      <c r="K225">
        <v>5.4</v>
      </c>
      <c r="L225">
        <v>73.599999999999994</v>
      </c>
      <c r="M225">
        <v>6.2</v>
      </c>
      <c r="N225">
        <v>20.2</v>
      </c>
      <c r="O225" s="121">
        <f t="shared" si="107"/>
        <v>105.4</v>
      </c>
      <c r="P225" s="123">
        <f>K225</f>
        <v>5.4</v>
      </c>
      <c r="Q225" s="123">
        <f>L225*(1-$K$225/100)</f>
        <v>69.625599999999991</v>
      </c>
      <c r="R225" s="123">
        <f t="shared" ref="R225:S225" si="118">M225*(1-$K$225/100)</f>
        <v>5.8651999999999997</v>
      </c>
      <c r="S225" s="123">
        <f t="shared" si="118"/>
        <v>19.109199999999998</v>
      </c>
      <c r="T225" s="121"/>
      <c r="AB225" s="122"/>
      <c r="AC225" s="123"/>
      <c r="AD225" s="123"/>
      <c r="AE225" s="123"/>
      <c r="AF225" s="123"/>
      <c r="AG225" s="123"/>
      <c r="AH225" s="124"/>
      <c r="AI225" s="11">
        <v>13.6</v>
      </c>
      <c r="AL225" s="11">
        <v>13.6</v>
      </c>
      <c r="AM225">
        <f>AL225*(Q225+R225)/(Q225+R225+S225)</f>
        <v>10.852799999999998</v>
      </c>
      <c r="AN225" s="3">
        <f>AL225*(Q225+R225)/100</f>
        <v>10.266748799999998</v>
      </c>
      <c r="AO225" s="3">
        <v>8</v>
      </c>
    </row>
    <row r="226" spans="1:41" ht="15.2" customHeight="1">
      <c r="A226" s="117">
        <f t="shared" si="95"/>
        <v>225</v>
      </c>
      <c r="B226" t="s">
        <v>33</v>
      </c>
      <c r="C226" s="109">
        <v>10</v>
      </c>
      <c r="D226" s="29" t="s">
        <v>152</v>
      </c>
      <c r="E226" s="3" t="s">
        <v>152</v>
      </c>
      <c r="F226" s="3" t="s">
        <v>7</v>
      </c>
      <c r="J226" s="121" t="s">
        <v>453</v>
      </c>
      <c r="K226">
        <v>5.0999999999999996</v>
      </c>
      <c r="L226">
        <v>90.4</v>
      </c>
      <c r="M226">
        <v>6.4</v>
      </c>
      <c r="N226">
        <v>3.2</v>
      </c>
      <c r="O226" s="121">
        <f t="shared" si="107"/>
        <v>105.10000000000001</v>
      </c>
      <c r="P226" s="123">
        <f>K226</f>
        <v>5.0999999999999996</v>
      </c>
      <c r="Q226" s="123">
        <f>L226*(1-$K$226/100)</f>
        <v>85.789600000000007</v>
      </c>
      <c r="R226" s="123">
        <f t="shared" ref="R226:S226" si="119">M226*(1-$K$226/100)</f>
        <v>6.0735999999999999</v>
      </c>
      <c r="S226" s="123">
        <f t="shared" si="119"/>
        <v>3.0367999999999999</v>
      </c>
      <c r="T226" s="121"/>
      <c r="AB226" s="122"/>
      <c r="AC226" s="123"/>
      <c r="AD226" s="123"/>
      <c r="AE226" s="123"/>
      <c r="AF226" s="123"/>
      <c r="AG226" s="123"/>
      <c r="AH226" s="124"/>
      <c r="AI226">
        <v>21</v>
      </c>
      <c r="AL226">
        <v>21</v>
      </c>
      <c r="AM226">
        <f>AL226*(Q226+R226)/(Q226+R226+S226)</f>
        <v>20.327999999999999</v>
      </c>
      <c r="AN226" s="3">
        <f>AL226*(Q226+R226)/100</f>
        <v>19.291272000000003</v>
      </c>
      <c r="AO226" s="3">
        <v>8</v>
      </c>
    </row>
    <row r="227" spans="1:41">
      <c r="A227" s="117">
        <f t="shared" si="95"/>
        <v>226</v>
      </c>
      <c r="B227" t="s">
        <v>33</v>
      </c>
      <c r="C227" s="109">
        <v>10</v>
      </c>
      <c r="D227" s="29" t="s">
        <v>152</v>
      </c>
      <c r="E227" s="3" t="s">
        <v>152</v>
      </c>
      <c r="F227" s="3" t="s">
        <v>8</v>
      </c>
      <c r="J227" s="121" t="s">
        <v>453</v>
      </c>
      <c r="K227">
        <v>4</v>
      </c>
      <c r="L227">
        <v>86</v>
      </c>
      <c r="M227">
        <v>6.1</v>
      </c>
      <c r="N227">
        <v>7.9</v>
      </c>
      <c r="O227" s="121">
        <f t="shared" si="107"/>
        <v>104</v>
      </c>
      <c r="P227" s="123">
        <f>K227</f>
        <v>4</v>
      </c>
      <c r="Q227" s="123">
        <f>L227*(1-$K$227/100)</f>
        <v>82.56</v>
      </c>
      <c r="R227" s="123">
        <f t="shared" ref="R227:S227" si="120">M227*(1-$K$227/100)</f>
        <v>5.8559999999999999</v>
      </c>
      <c r="S227" s="123">
        <f t="shared" si="120"/>
        <v>7.5839999999999996</v>
      </c>
      <c r="T227" s="121"/>
      <c r="AB227" s="122"/>
      <c r="AC227" s="123"/>
      <c r="AD227" s="123"/>
      <c r="AE227" s="123"/>
      <c r="AF227" s="123"/>
      <c r="AG227" s="123"/>
      <c r="AH227" s="124"/>
      <c r="AI227">
        <v>24.4</v>
      </c>
      <c r="AL227">
        <v>24.4</v>
      </c>
      <c r="AM227">
        <f>AL227*(Q227+R227)/(Q227+R227+S227)</f>
        <v>22.472399999999997</v>
      </c>
      <c r="AN227" s="3">
        <f>AL227*(Q227+R227)/100</f>
        <v>21.573504</v>
      </c>
      <c r="AO227" s="3">
        <v>8</v>
      </c>
    </row>
    <row r="228" spans="1:41">
      <c r="A228" s="117">
        <f t="shared" si="95"/>
        <v>227</v>
      </c>
      <c r="B228" t="s">
        <v>33</v>
      </c>
      <c r="C228" s="109">
        <v>10</v>
      </c>
      <c r="D228" s="29" t="s">
        <v>152</v>
      </c>
      <c r="E228" s="3" t="s">
        <v>152</v>
      </c>
      <c r="F228" s="3" t="s">
        <v>160</v>
      </c>
      <c r="J228" s="3" t="s">
        <v>454</v>
      </c>
      <c r="K228">
        <v>7.5</v>
      </c>
      <c r="L228">
        <v>75.8</v>
      </c>
      <c r="M228">
        <v>4.8099999999999996</v>
      </c>
      <c r="N228">
        <v>11.9</v>
      </c>
      <c r="O228" s="121">
        <f t="shared" si="107"/>
        <v>100.01</v>
      </c>
      <c r="P228" s="123">
        <f>K228</f>
        <v>7.5</v>
      </c>
      <c r="Q228" s="123">
        <f>L228*(1-$K$228/100)</f>
        <v>70.114999999999995</v>
      </c>
      <c r="R228" s="123">
        <f t="shared" ref="R228:S228" si="121">M228*(1-$K$228/100)</f>
        <v>4.4492500000000001</v>
      </c>
      <c r="S228" s="123">
        <f t="shared" si="121"/>
        <v>11.0075</v>
      </c>
      <c r="T228" s="121"/>
      <c r="U228" s="3" t="s">
        <v>221</v>
      </c>
      <c r="V228">
        <v>41.9</v>
      </c>
      <c r="W228">
        <v>5.5</v>
      </c>
      <c r="X228">
        <v>0.27</v>
      </c>
      <c r="Y228">
        <v>0</v>
      </c>
      <c r="Z228">
        <v>39.47</v>
      </c>
      <c r="AB228" s="122">
        <f>SUM(V228:AA228)</f>
        <v>87.14</v>
      </c>
      <c r="AC228" s="123">
        <f>100*V228/$AB$228</f>
        <v>48.083543722745006</v>
      </c>
      <c r="AD228" s="123">
        <f>100*W228/$AB$228</f>
        <v>6.3116823502409911</v>
      </c>
      <c r="AE228" s="123">
        <f t="shared" ref="AE228:AG228" si="122">100*X228/$AB$228</f>
        <v>0.30984622446637594</v>
      </c>
      <c r="AF228" s="123">
        <f t="shared" si="122"/>
        <v>0</v>
      </c>
      <c r="AG228" s="123">
        <f t="shared" si="122"/>
        <v>45.294927702547625</v>
      </c>
      <c r="AH228" s="124"/>
      <c r="AI228" s="123"/>
      <c r="AJ228">
        <v>15.2</v>
      </c>
      <c r="AL228">
        <f>AM228*(Q228+R228+S228)/(Q228+R228)</f>
        <v>17.44389033618658</v>
      </c>
      <c r="AM228">
        <v>15.2</v>
      </c>
      <c r="AN228" s="3">
        <f>AM228*(Q228+R228+S228)/100</f>
        <v>13.006906000000001</v>
      </c>
      <c r="AO228" s="3">
        <v>32</v>
      </c>
    </row>
    <row r="229" spans="1:41">
      <c r="A229" s="117">
        <f t="shared" si="95"/>
        <v>228</v>
      </c>
      <c r="B229" t="s">
        <v>33</v>
      </c>
      <c r="C229" s="109">
        <v>10</v>
      </c>
      <c r="D229" s="29" t="s">
        <v>152</v>
      </c>
      <c r="E229" s="3" t="s">
        <v>152</v>
      </c>
      <c r="F229" s="3" t="s">
        <v>161</v>
      </c>
      <c r="J229" s="3" t="s">
        <v>454</v>
      </c>
      <c r="K229">
        <v>1.2</v>
      </c>
      <c r="L229">
        <v>83.4</v>
      </c>
      <c r="M229">
        <v>8.9</v>
      </c>
      <c r="N229">
        <v>6.5</v>
      </c>
      <c r="O229" s="121">
        <f t="shared" si="107"/>
        <v>100.00000000000001</v>
      </c>
      <c r="P229" s="123">
        <f>K229</f>
        <v>1.2</v>
      </c>
      <c r="Q229" s="123">
        <f>L229*(1-$K$229/100)</f>
        <v>82.399200000000008</v>
      </c>
      <c r="R229" s="123">
        <f t="shared" ref="R229:S229" si="123">M229*(1-$K$229/100)</f>
        <v>8.7932000000000006</v>
      </c>
      <c r="S229" s="123">
        <f t="shared" si="123"/>
        <v>6.4219999999999997</v>
      </c>
      <c r="T229" s="121"/>
      <c r="U229" s="3" t="s">
        <v>221</v>
      </c>
      <c r="V229">
        <v>48</v>
      </c>
      <c r="W229">
        <v>6.3</v>
      </c>
      <c r="X229">
        <v>0.08</v>
      </c>
      <c r="Y229">
        <v>0</v>
      </c>
      <c r="Z229">
        <v>39.04</v>
      </c>
      <c r="AB229" s="122">
        <f>SUM(V229:AA229)</f>
        <v>93.419999999999987</v>
      </c>
      <c r="AC229" s="123">
        <f>100*V229/$AB$229</f>
        <v>51.380860629415551</v>
      </c>
      <c r="AD229" s="123">
        <f>100*W229/$AB$229</f>
        <v>6.743737957610791</v>
      </c>
      <c r="AE229" s="123">
        <f>100*X229/$AB$229</f>
        <v>8.5634767715692589E-2</v>
      </c>
      <c r="AF229" s="123">
        <f>100*Y229/$AB$229</f>
        <v>0</v>
      </c>
      <c r="AG229" s="123">
        <f>100*Z229/$AB$229</f>
        <v>41.789766645257977</v>
      </c>
      <c r="AH229" s="124"/>
      <c r="AI229" s="123"/>
      <c r="AJ229">
        <v>18.52</v>
      </c>
      <c r="AL229">
        <f>AM229*(Q229+R229+S229)/(Q229+R229)</f>
        <v>19.824225352112677</v>
      </c>
      <c r="AM229">
        <v>18.52</v>
      </c>
      <c r="AN229" s="3">
        <f>AM229*(Q229+R229+S229)/100</f>
        <v>18.078186880000001</v>
      </c>
      <c r="AO229" s="3">
        <v>32</v>
      </c>
    </row>
    <row r="230" spans="1:41">
      <c r="A230" s="117">
        <f t="shared" si="95"/>
        <v>229</v>
      </c>
      <c r="B230" t="s">
        <v>33</v>
      </c>
      <c r="C230" s="109">
        <v>10</v>
      </c>
      <c r="D230" s="29" t="s">
        <v>152</v>
      </c>
      <c r="E230" s="3" t="s">
        <v>152</v>
      </c>
      <c r="F230" s="3" t="s">
        <v>146</v>
      </c>
      <c r="O230" s="121"/>
      <c r="P230" s="123"/>
      <c r="Q230" s="123"/>
      <c r="R230" s="123"/>
      <c r="S230" s="123"/>
      <c r="T230" s="121"/>
      <c r="U230" s="3" t="s">
        <v>215</v>
      </c>
      <c r="V230">
        <v>38.1</v>
      </c>
      <c r="W230">
        <v>5.6</v>
      </c>
      <c r="X230">
        <v>0.2</v>
      </c>
      <c r="Y230">
        <v>0.1</v>
      </c>
      <c r="Z230">
        <v>56.1</v>
      </c>
      <c r="AB230" s="122">
        <f t="shared" si="94"/>
        <v>100.10000000000001</v>
      </c>
      <c r="AC230" s="123">
        <f>100*V230/$AB$230</f>
        <v>38.061938061938058</v>
      </c>
      <c r="AD230" s="123">
        <f t="shared" ref="AD230:AG230" si="124">100*W230/$AB$230</f>
        <v>5.5944055944055942</v>
      </c>
      <c r="AE230" s="123">
        <f t="shared" si="124"/>
        <v>0.19980019980019978</v>
      </c>
      <c r="AF230" s="123">
        <f t="shared" si="124"/>
        <v>9.990009990009989E-2</v>
      </c>
      <c r="AG230" s="123">
        <f t="shared" si="124"/>
        <v>56.043956043956037</v>
      </c>
      <c r="AH230" s="124"/>
      <c r="AI230">
        <v>15.2</v>
      </c>
      <c r="AL230">
        <v>15.2</v>
      </c>
      <c r="AM230"/>
      <c r="AN230" s="3"/>
      <c r="AO230" s="3">
        <v>29</v>
      </c>
    </row>
    <row r="231" spans="1:41">
      <c r="A231" s="117">
        <f t="shared" si="95"/>
        <v>230</v>
      </c>
      <c r="B231" t="s">
        <v>33</v>
      </c>
      <c r="C231" s="109">
        <v>10</v>
      </c>
      <c r="D231" s="29" t="s">
        <v>152</v>
      </c>
      <c r="E231" s="3" t="s">
        <v>152</v>
      </c>
      <c r="F231" s="3" t="s">
        <v>147</v>
      </c>
      <c r="O231" s="121"/>
      <c r="P231" s="123"/>
      <c r="Q231" s="123"/>
      <c r="R231" s="123"/>
      <c r="S231" s="123"/>
      <c r="T231" s="121"/>
      <c r="U231" s="3" t="s">
        <v>215</v>
      </c>
      <c r="V231">
        <v>37.9</v>
      </c>
      <c r="W231">
        <v>5.4</v>
      </c>
      <c r="X231">
        <v>0.2</v>
      </c>
      <c r="Y231">
        <v>0.1</v>
      </c>
      <c r="Z231">
        <v>56.5</v>
      </c>
      <c r="AB231" s="122">
        <f t="shared" si="94"/>
        <v>100.1</v>
      </c>
      <c r="AC231" s="123">
        <f>100*V231/$AB$231</f>
        <v>37.862137862137864</v>
      </c>
      <c r="AD231" s="123">
        <f t="shared" ref="AD231:AG232" si="125">100*W231/$AB$231</f>
        <v>5.3946053946053949</v>
      </c>
      <c r="AE231" s="123">
        <f t="shared" si="125"/>
        <v>0.19980019980019981</v>
      </c>
      <c r="AF231" s="123">
        <f t="shared" si="125"/>
        <v>9.9900099900099903E-2</v>
      </c>
      <c r="AG231" s="123">
        <f t="shared" si="125"/>
        <v>56.443556443556446</v>
      </c>
      <c r="AH231" s="124"/>
      <c r="AI231">
        <v>14.2</v>
      </c>
      <c r="AL231">
        <v>14.2</v>
      </c>
      <c r="AM231"/>
      <c r="AN231" s="3"/>
      <c r="AO231" s="3">
        <v>29</v>
      </c>
    </row>
    <row r="232" spans="1:41">
      <c r="A232" s="117">
        <f t="shared" si="95"/>
        <v>231</v>
      </c>
      <c r="B232" t="s">
        <v>33</v>
      </c>
      <c r="C232" s="109">
        <v>10</v>
      </c>
      <c r="D232" s="29" t="s">
        <v>152</v>
      </c>
      <c r="E232" s="3" t="s">
        <v>152</v>
      </c>
      <c r="F232" s="3" t="s">
        <v>148</v>
      </c>
      <c r="O232" s="121"/>
      <c r="P232" s="123"/>
      <c r="Q232" s="123"/>
      <c r="R232" s="123"/>
      <c r="S232" s="123"/>
      <c r="T232" s="121"/>
      <c r="U232" s="3" t="s">
        <v>215</v>
      </c>
      <c r="V232">
        <v>47.3</v>
      </c>
      <c r="W232">
        <v>6.1</v>
      </c>
      <c r="X232">
        <v>1.6</v>
      </c>
      <c r="Y232">
        <v>0.3</v>
      </c>
      <c r="Z232">
        <v>44.8</v>
      </c>
      <c r="AB232" s="122">
        <f t="shared" si="94"/>
        <v>100.1</v>
      </c>
      <c r="AC232" s="123">
        <f>100*V232/$AB$231</f>
        <v>47.252747252747255</v>
      </c>
      <c r="AD232" s="123">
        <f t="shared" si="125"/>
        <v>6.0939060939060941</v>
      </c>
      <c r="AE232" s="123">
        <f t="shared" si="125"/>
        <v>1.5984015984015985</v>
      </c>
      <c r="AF232" s="123">
        <f t="shared" si="125"/>
        <v>0.29970029970029971</v>
      </c>
      <c r="AG232" s="123">
        <f>100*Z232/$AB$231</f>
        <v>44.75524475524476</v>
      </c>
      <c r="AH232" s="124"/>
      <c r="AI232">
        <v>19.7</v>
      </c>
      <c r="AL232">
        <v>19.7</v>
      </c>
      <c r="AM232"/>
      <c r="AN232" s="3"/>
      <c r="AO232" s="3">
        <v>29</v>
      </c>
    </row>
    <row r="233" spans="1:41">
      <c r="A233" s="117">
        <f t="shared" si="95"/>
        <v>232</v>
      </c>
      <c r="B233" t="s">
        <v>33</v>
      </c>
      <c r="C233" s="109">
        <v>10</v>
      </c>
      <c r="D233" s="29" t="s">
        <v>152</v>
      </c>
      <c r="E233" s="3" t="s">
        <v>152</v>
      </c>
      <c r="F233" s="3" t="s">
        <v>153</v>
      </c>
      <c r="O233" s="121"/>
      <c r="P233" s="123"/>
      <c r="Q233" s="123"/>
      <c r="R233" s="123"/>
      <c r="S233" s="123"/>
      <c r="T233" s="121"/>
      <c r="U233" s="3" t="s">
        <v>215</v>
      </c>
      <c r="V233">
        <v>41.6</v>
      </c>
      <c r="W233">
        <v>5.6</v>
      </c>
      <c r="X233">
        <v>0.3</v>
      </c>
      <c r="Y233">
        <v>0.1</v>
      </c>
      <c r="Z233">
        <v>52.3</v>
      </c>
      <c r="AB233" s="122">
        <f t="shared" si="94"/>
        <v>99.9</v>
      </c>
      <c r="AC233" s="123">
        <f>100*V233/$AB$233</f>
        <v>41.641641641641641</v>
      </c>
      <c r="AD233" s="123">
        <f t="shared" ref="AD233:AG233" si="126">100*W233/$AB$233</f>
        <v>5.6056056056056054</v>
      </c>
      <c r="AE233" s="123">
        <f t="shared" si="126"/>
        <v>0.3003003003003003</v>
      </c>
      <c r="AF233" s="123">
        <f t="shared" si="126"/>
        <v>0.10010010010010009</v>
      </c>
      <c r="AG233" s="123">
        <f t="shared" si="126"/>
        <v>52.352352352352348</v>
      </c>
      <c r="AH233" s="124"/>
      <c r="AI233">
        <v>15.6</v>
      </c>
      <c r="AL233">
        <v>15.6</v>
      </c>
      <c r="AM233"/>
      <c r="AN233" s="3"/>
      <c r="AO233" s="3">
        <v>29</v>
      </c>
    </row>
    <row r="234" spans="1:41">
      <c r="A234" s="117">
        <f t="shared" si="95"/>
        <v>233</v>
      </c>
      <c r="B234" t="s">
        <v>33</v>
      </c>
      <c r="C234" s="109">
        <v>10</v>
      </c>
      <c r="D234" s="29" t="s">
        <v>152</v>
      </c>
      <c r="E234" s="3" t="s">
        <v>152</v>
      </c>
      <c r="F234" s="3" t="s">
        <v>154</v>
      </c>
      <c r="O234" s="121"/>
      <c r="P234" s="123"/>
      <c r="Q234" s="123"/>
      <c r="R234" s="123"/>
      <c r="S234" s="123"/>
      <c r="T234" s="121"/>
      <c r="U234" s="3" t="s">
        <v>215</v>
      </c>
      <c r="V234">
        <v>42.9</v>
      </c>
      <c r="W234">
        <v>5.8</v>
      </c>
      <c r="X234">
        <v>0.1</v>
      </c>
      <c r="Y234">
        <v>0.1</v>
      </c>
      <c r="Z234">
        <v>51.1</v>
      </c>
      <c r="AB234" s="122">
        <f t="shared" si="94"/>
        <v>100</v>
      </c>
      <c r="AC234">
        <v>42.9</v>
      </c>
      <c r="AD234">
        <v>5.8</v>
      </c>
      <c r="AE234">
        <v>0.1</v>
      </c>
      <c r="AF234">
        <v>0.1</v>
      </c>
      <c r="AG234">
        <v>51.1</v>
      </c>
      <c r="AH234" s="124"/>
      <c r="AI234">
        <v>17.399999999999999</v>
      </c>
      <c r="AL234">
        <v>17.399999999999999</v>
      </c>
      <c r="AM234"/>
      <c r="AN234" s="3"/>
      <c r="AO234" s="3">
        <v>29</v>
      </c>
    </row>
    <row r="235" spans="1:41" ht="17.25" customHeight="1">
      <c r="A235" s="117">
        <f t="shared" si="95"/>
        <v>234</v>
      </c>
      <c r="B235" t="s">
        <v>33</v>
      </c>
      <c r="C235" s="109">
        <v>10</v>
      </c>
      <c r="D235" s="29" t="s">
        <v>152</v>
      </c>
      <c r="E235" s="3" t="s">
        <v>152</v>
      </c>
      <c r="F235" s="3" t="s">
        <v>150</v>
      </c>
      <c r="O235" s="121"/>
      <c r="P235" s="123"/>
      <c r="Q235" s="123"/>
      <c r="R235" s="123"/>
      <c r="S235" s="123"/>
      <c r="T235" s="121"/>
      <c r="U235" s="3" t="s">
        <v>215</v>
      </c>
      <c r="V235">
        <v>59.2</v>
      </c>
      <c r="W235">
        <v>9.3000000000000007</v>
      </c>
      <c r="X235">
        <v>0.1</v>
      </c>
      <c r="Y235">
        <v>0.1</v>
      </c>
      <c r="Z235">
        <v>31.4</v>
      </c>
      <c r="AB235" s="122">
        <f t="shared" si="94"/>
        <v>100.1</v>
      </c>
      <c r="AC235" s="123">
        <f>100*V235/$AB$235</f>
        <v>59.140859140859142</v>
      </c>
      <c r="AD235" s="123">
        <f t="shared" ref="AD235:AG235" si="127">100*W235/$AB$235</f>
        <v>9.2907092907092927</v>
      </c>
      <c r="AE235" s="123">
        <f t="shared" si="127"/>
        <v>9.9900099900099903E-2</v>
      </c>
      <c r="AF235" s="123">
        <f t="shared" si="127"/>
        <v>9.9900099900099903E-2</v>
      </c>
      <c r="AG235" s="123">
        <f t="shared" si="127"/>
        <v>31.36863136863137</v>
      </c>
      <c r="AH235" s="124"/>
      <c r="AI235">
        <v>26.3</v>
      </c>
      <c r="AL235">
        <v>26.3</v>
      </c>
      <c r="AM235"/>
      <c r="AN235" s="3"/>
      <c r="AO235" s="3">
        <v>29</v>
      </c>
    </row>
  </sheetData>
  <phoneticPr fontId="4" type="noConversion"/>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23BD-BCF3-4F4C-B795-20326D97481D}">
  <dimension ref="A1:AO843"/>
  <sheetViews>
    <sheetView topLeftCell="A796" zoomScale="70" zoomScaleNormal="70" workbookViewId="0">
      <selection activeCell="B830" sqref="B830"/>
    </sheetView>
  </sheetViews>
  <sheetFormatPr baseColWidth="10" defaultColWidth="11.44140625" defaultRowHeight="15.05"/>
  <cols>
    <col min="1" max="1" width="11.44140625" style="20"/>
    <col min="2" max="2" width="9.6640625" style="27" customWidth="1"/>
    <col min="3" max="3" width="7.88671875" style="27" customWidth="1"/>
    <col min="4" max="4" width="13.88671875" style="27" customWidth="1"/>
    <col min="5" max="5" width="20.6640625" style="27" customWidth="1"/>
    <col min="6" max="6" width="20.109375" style="20" customWidth="1"/>
    <col min="7" max="8" width="11.44140625" style="27"/>
    <col min="9" max="9" width="11.44140625" style="20"/>
    <col min="10" max="10" width="11.109375" style="20"/>
    <col min="11" max="13" width="11.44140625" style="27"/>
    <col min="14" max="15" width="11.109375" style="20"/>
    <col min="16" max="18" width="11.44140625" style="27"/>
    <col min="19" max="20" width="11.44140625" style="20" customWidth="1"/>
    <col min="21" max="21" width="18.44140625" style="20" customWidth="1"/>
    <col min="22" max="26" width="11.44140625" style="27" customWidth="1"/>
    <col min="27" max="28" width="11.44140625" style="20" customWidth="1"/>
    <col min="29" max="30" width="11.88671875" style="27" customWidth="1"/>
    <col min="31" max="32" width="11.33203125" style="27" customWidth="1"/>
    <col min="33" max="33" width="11.88671875" style="27" customWidth="1"/>
    <col min="34" max="34" width="11.33203125" style="20" customWidth="1"/>
    <col min="35" max="35" width="11.44140625" style="27" customWidth="1"/>
    <col min="36" max="36" width="11.44140625" style="27"/>
    <col min="37" max="37" width="11.44140625" style="20"/>
    <col min="38" max="39" width="11.44140625" style="27"/>
    <col min="40" max="41" width="11.44140625" style="20"/>
    <col min="42" max="16384" width="11.44140625" style="27"/>
  </cols>
  <sheetData>
    <row r="1" spans="1:41" s="77" customFormat="1" ht="60.1">
      <c r="A1" s="74" t="s">
        <v>28</v>
      </c>
      <c r="B1" s="75" t="s">
        <v>29</v>
      </c>
      <c r="C1" s="76" t="s">
        <v>30</v>
      </c>
      <c r="D1" s="77" t="s">
        <v>1215</v>
      </c>
      <c r="E1" s="75" t="s">
        <v>0</v>
      </c>
      <c r="F1" s="79" t="s">
        <v>31</v>
      </c>
      <c r="G1" s="75" t="s">
        <v>32</v>
      </c>
      <c r="H1" s="75" t="s">
        <v>1</v>
      </c>
      <c r="I1" s="79" t="s">
        <v>1216</v>
      </c>
      <c r="J1" s="79" t="s">
        <v>31</v>
      </c>
      <c r="K1" s="75" t="s">
        <v>64</v>
      </c>
      <c r="L1" s="75" t="s">
        <v>63</v>
      </c>
      <c r="M1" s="75" t="s">
        <v>66</v>
      </c>
      <c r="N1" s="79" t="s">
        <v>65</v>
      </c>
      <c r="O1" s="79" t="s">
        <v>114</v>
      </c>
      <c r="P1" s="75" t="s">
        <v>115</v>
      </c>
      <c r="Q1" s="75" t="s">
        <v>116</v>
      </c>
      <c r="R1" s="75" t="s">
        <v>117</v>
      </c>
      <c r="S1" s="79" t="s">
        <v>118</v>
      </c>
      <c r="T1" s="79"/>
      <c r="U1" s="79" t="s">
        <v>67</v>
      </c>
      <c r="V1" s="75" t="s">
        <v>58</v>
      </c>
      <c r="W1" s="75" t="s">
        <v>59</v>
      </c>
      <c r="X1" s="75" t="s">
        <v>60</v>
      </c>
      <c r="Y1" s="75" t="s">
        <v>61</v>
      </c>
      <c r="Z1" s="75" t="s">
        <v>57</v>
      </c>
      <c r="AA1" s="79" t="s">
        <v>68</v>
      </c>
      <c r="AB1" s="79" t="s">
        <v>114</v>
      </c>
      <c r="AC1" s="111" t="s">
        <v>1217</v>
      </c>
      <c r="AD1" s="111" t="s">
        <v>1218</v>
      </c>
      <c r="AE1" s="111" t="s">
        <v>1219</v>
      </c>
      <c r="AF1" s="111" t="s">
        <v>1220</v>
      </c>
      <c r="AG1" s="111" t="s">
        <v>1222</v>
      </c>
      <c r="AH1" s="116" t="s">
        <v>1221</v>
      </c>
      <c r="AI1" s="75" t="s">
        <v>120</v>
      </c>
      <c r="AJ1" s="75" t="s">
        <v>151</v>
      </c>
      <c r="AK1" s="79" t="s">
        <v>155</v>
      </c>
      <c r="AL1" s="115" t="s">
        <v>1225</v>
      </c>
      <c r="AM1" s="115" t="s">
        <v>1224</v>
      </c>
      <c r="AN1" s="116" t="s">
        <v>1223</v>
      </c>
      <c r="AO1" s="79" t="s">
        <v>41</v>
      </c>
    </row>
    <row r="2" spans="1:41">
      <c r="A2" s="19">
        <v>1</v>
      </c>
      <c r="B2" s="29" t="s">
        <v>197</v>
      </c>
      <c r="C2" s="29">
        <v>1</v>
      </c>
      <c r="D2" s="29" t="s">
        <v>198</v>
      </c>
      <c r="E2" s="29" t="s">
        <v>199</v>
      </c>
      <c r="F2" s="19"/>
      <c r="G2" s="29"/>
      <c r="H2" s="29"/>
      <c r="I2" s="19"/>
      <c r="J2" s="20" t="s">
        <v>453</v>
      </c>
      <c r="K2" s="29">
        <v>89.09</v>
      </c>
      <c r="L2" s="29">
        <v>69.66</v>
      </c>
      <c r="M2" s="29">
        <v>16.77</v>
      </c>
      <c r="N2" s="19">
        <v>13.57</v>
      </c>
      <c r="O2" s="20">
        <f>SUM(K2:N2)</f>
        <v>189.09</v>
      </c>
      <c r="P2" s="30">
        <f>K2</f>
        <v>89.09</v>
      </c>
      <c r="Q2" s="30">
        <f>(100-$P$2)*L2/100</f>
        <v>7.5999059999999972</v>
      </c>
      <c r="R2" s="30">
        <f>(100-$P$2)*M2/100</f>
        <v>1.8296069999999995</v>
      </c>
      <c r="S2" s="21">
        <f>(100-$P$2)*N2/100</f>
        <v>1.4804869999999997</v>
      </c>
      <c r="U2" s="19" t="s">
        <v>214</v>
      </c>
      <c r="V2" s="29">
        <v>32.81</v>
      </c>
      <c r="W2" s="29">
        <v>4.7699999999999996</v>
      </c>
      <c r="X2" s="29">
        <v>2.35</v>
      </c>
      <c r="Y2" s="29">
        <v>0.13</v>
      </c>
      <c r="Z2" s="29">
        <v>59.93</v>
      </c>
      <c r="AA2" s="19"/>
      <c r="AB2" s="20">
        <f>SUM(V2:AA2)</f>
        <v>99.990000000000009</v>
      </c>
      <c r="AC2" s="30">
        <f>100*V2/AB2</f>
        <v>32.81328132813281</v>
      </c>
      <c r="AD2" s="30">
        <f>100*W2/AB2</f>
        <v>4.7704770477047695</v>
      </c>
      <c r="AE2" s="30">
        <f>100*X2/AB2</f>
        <v>2.3502350235023499</v>
      </c>
      <c r="AF2" s="30">
        <f>100*Y2/AB2</f>
        <v>0.13001300130012999</v>
      </c>
      <c r="AG2" s="30">
        <f>100*Z2/AB2</f>
        <v>59.935993599359932</v>
      </c>
      <c r="AH2" s="21"/>
      <c r="AI2" s="29"/>
      <c r="AL2" s="29"/>
      <c r="AO2" s="36">
        <v>18</v>
      </c>
    </row>
    <row r="3" spans="1:41">
      <c r="A3" s="19">
        <f t="shared" ref="A3:A66" si="0">A2+1</f>
        <v>2</v>
      </c>
      <c r="B3" s="29" t="s">
        <v>197</v>
      </c>
      <c r="C3" s="29">
        <v>1</v>
      </c>
      <c r="D3" s="29" t="s">
        <v>198</v>
      </c>
      <c r="E3" s="29" t="s">
        <v>199</v>
      </c>
      <c r="F3" s="19"/>
      <c r="G3" s="29"/>
      <c r="H3" s="29"/>
      <c r="I3" s="19"/>
      <c r="J3" s="20" t="s">
        <v>453</v>
      </c>
      <c r="K3" s="29">
        <v>86.62</v>
      </c>
      <c r="L3" s="29">
        <v>63.23</v>
      </c>
      <c r="M3" s="29">
        <v>19.96</v>
      </c>
      <c r="N3" s="19">
        <v>16.82</v>
      </c>
      <c r="O3" s="20">
        <f t="shared" ref="O3:O32" si="1">SUM(K3:N3)</f>
        <v>186.63</v>
      </c>
      <c r="P3" s="30">
        <f>K3</f>
        <v>86.62</v>
      </c>
      <c r="Q3" s="30">
        <f>(100-$P$3)*L3/100</f>
        <v>8.4601739999999968</v>
      </c>
      <c r="R3" s="30">
        <f>(100-$P$3)*M3/100</f>
        <v>2.6706479999999995</v>
      </c>
      <c r="S3" s="21">
        <f>(100-$P$3)*N3/100</f>
        <v>2.2505159999999993</v>
      </c>
      <c r="U3" s="19" t="s">
        <v>214</v>
      </c>
      <c r="V3" s="29">
        <v>41.42</v>
      </c>
      <c r="W3" s="29">
        <v>3.5</v>
      </c>
      <c r="X3" s="29">
        <v>5.57</v>
      </c>
      <c r="Y3" s="29">
        <v>0.27</v>
      </c>
      <c r="Z3" s="29">
        <v>49.24</v>
      </c>
      <c r="AA3" s="19"/>
      <c r="AB3" s="20">
        <f t="shared" ref="AB3:AB32" si="2">SUM(V3:AA3)</f>
        <v>100</v>
      </c>
      <c r="AC3" s="30">
        <f t="shared" ref="AC3:AC4" si="3">100*V3/AB3</f>
        <v>41.42</v>
      </c>
      <c r="AD3" s="30">
        <f t="shared" ref="AD3:AD4" si="4">100*W3/AB3</f>
        <v>3.5</v>
      </c>
      <c r="AE3" s="30">
        <f t="shared" ref="AE3:AE4" si="5">100*X3/AB3</f>
        <v>5.57</v>
      </c>
      <c r="AF3" s="30">
        <f t="shared" ref="AF3:AF4" si="6">100*Y3/AB3</f>
        <v>0.27</v>
      </c>
      <c r="AG3" s="30">
        <f t="shared" ref="AG3:AG4" si="7">100*Z3/AB3</f>
        <v>49.24</v>
      </c>
      <c r="AH3" s="21"/>
      <c r="AI3" s="29"/>
      <c r="AL3" s="29"/>
      <c r="AO3" s="36">
        <v>18</v>
      </c>
    </row>
    <row r="4" spans="1:41">
      <c r="A4" s="19">
        <f t="shared" si="0"/>
        <v>3</v>
      </c>
      <c r="B4" s="29" t="s">
        <v>197</v>
      </c>
      <c r="C4" s="29">
        <v>1</v>
      </c>
      <c r="D4" s="29" t="s">
        <v>198</v>
      </c>
      <c r="E4" s="29" t="s">
        <v>199</v>
      </c>
      <c r="F4" s="19"/>
      <c r="G4" s="29"/>
      <c r="H4" s="29"/>
      <c r="I4" s="19"/>
      <c r="J4" s="20" t="s">
        <v>453</v>
      </c>
      <c r="K4" s="29">
        <v>78.12</v>
      </c>
      <c r="L4" s="29">
        <v>87.3</v>
      </c>
      <c r="M4" s="29">
        <v>9.9600000000000009</v>
      </c>
      <c r="N4" s="19">
        <v>2.74</v>
      </c>
      <c r="O4" s="20">
        <f t="shared" si="1"/>
        <v>178.12000000000003</v>
      </c>
      <c r="P4" s="30">
        <f t="shared" ref="P4:P12" si="8">K4</f>
        <v>78.12</v>
      </c>
      <c r="Q4" s="30">
        <f>(100-$P$4)*L4/100</f>
        <v>19.101239999999997</v>
      </c>
      <c r="R4" s="30">
        <f t="shared" ref="R4:S4" si="9">(100-$P$4)*M4/100</f>
        <v>2.1792479999999999</v>
      </c>
      <c r="S4" s="21">
        <f t="shared" si="9"/>
        <v>0.59951199999999993</v>
      </c>
      <c r="U4" s="19" t="s">
        <v>214</v>
      </c>
      <c r="V4" s="29">
        <v>52.4</v>
      </c>
      <c r="W4" s="29">
        <v>6.91</v>
      </c>
      <c r="X4" s="29">
        <v>7.75</v>
      </c>
      <c r="Y4" s="29">
        <v>0.52</v>
      </c>
      <c r="Z4" s="29">
        <v>32.42</v>
      </c>
      <c r="AA4" s="19"/>
      <c r="AB4" s="20">
        <f t="shared" si="2"/>
        <v>100</v>
      </c>
      <c r="AC4" s="30">
        <f t="shared" si="3"/>
        <v>52.4</v>
      </c>
      <c r="AD4" s="30">
        <f t="shared" si="4"/>
        <v>6.91</v>
      </c>
      <c r="AE4" s="30">
        <f t="shared" si="5"/>
        <v>7.75</v>
      </c>
      <c r="AF4" s="30">
        <f t="shared" si="6"/>
        <v>0.52</v>
      </c>
      <c r="AG4" s="30">
        <f t="shared" si="7"/>
        <v>32.42</v>
      </c>
      <c r="AH4" s="21"/>
      <c r="AI4" s="29"/>
      <c r="AJ4" s="27">
        <v>17.347000000000001</v>
      </c>
      <c r="AL4" s="29">
        <f>AM4*(Q4+R4+S4)/(Q4+R4)</f>
        <v>17.835698128727124</v>
      </c>
      <c r="AM4" s="27">
        <v>17.347000000000001</v>
      </c>
      <c r="AN4" s="19">
        <f>AM4*(Q4+R4+S4)/(P4+Q4+R4+S4)</f>
        <v>3.7955236000000001</v>
      </c>
      <c r="AO4" s="36">
        <v>18</v>
      </c>
    </row>
    <row r="5" spans="1:41">
      <c r="A5" s="19">
        <f t="shared" si="0"/>
        <v>4</v>
      </c>
      <c r="B5" s="29" t="s">
        <v>197</v>
      </c>
      <c r="C5" s="29">
        <v>1</v>
      </c>
      <c r="D5" s="29" t="s">
        <v>198</v>
      </c>
      <c r="E5" s="29" t="s">
        <v>199</v>
      </c>
      <c r="F5" s="19"/>
      <c r="G5" s="29"/>
      <c r="H5" s="29"/>
      <c r="I5" s="19"/>
      <c r="J5" s="20" t="s">
        <v>453</v>
      </c>
      <c r="K5" s="29">
        <v>72</v>
      </c>
      <c r="L5" s="29">
        <v>72.36</v>
      </c>
      <c r="M5" s="29">
        <v>11.64</v>
      </c>
      <c r="N5" s="19">
        <v>16</v>
      </c>
      <c r="O5" s="20">
        <f t="shared" si="1"/>
        <v>172</v>
      </c>
      <c r="P5" s="30">
        <f t="shared" si="8"/>
        <v>72</v>
      </c>
      <c r="Q5" s="30">
        <f>(100-$P$5)*L5/100</f>
        <v>20.2608</v>
      </c>
      <c r="R5" s="30">
        <f t="shared" ref="R5:S5" si="10">(100-$P$5)*M5/100</f>
        <v>3.2592000000000003</v>
      </c>
      <c r="S5" s="21">
        <f t="shared" si="10"/>
        <v>4.4800000000000004</v>
      </c>
      <c r="U5" s="19"/>
      <c r="V5" s="29"/>
      <c r="W5" s="29"/>
      <c r="X5" s="29"/>
      <c r="Y5" s="29"/>
      <c r="Z5" s="29"/>
      <c r="AA5" s="19"/>
      <c r="AB5" s="20">
        <f t="shared" si="2"/>
        <v>0</v>
      </c>
      <c r="AC5" s="30"/>
      <c r="AD5" s="30"/>
      <c r="AE5" s="30"/>
      <c r="AF5" s="30"/>
      <c r="AG5" s="30"/>
      <c r="AH5" s="21"/>
      <c r="AI5" s="29"/>
      <c r="AL5" s="29"/>
      <c r="AO5" s="36">
        <v>18</v>
      </c>
    </row>
    <row r="6" spans="1:41">
      <c r="A6" s="19">
        <f t="shared" si="0"/>
        <v>5</v>
      </c>
      <c r="B6" s="29" t="s">
        <v>197</v>
      </c>
      <c r="C6" s="29">
        <v>1</v>
      </c>
      <c r="D6" s="29" t="s">
        <v>198</v>
      </c>
      <c r="E6" s="29" t="s">
        <v>199</v>
      </c>
      <c r="F6" s="19"/>
      <c r="G6" s="29"/>
      <c r="H6" s="29"/>
      <c r="I6" s="19"/>
      <c r="J6" s="20" t="s">
        <v>453</v>
      </c>
      <c r="K6" s="29">
        <v>71.64</v>
      </c>
      <c r="L6" s="29">
        <v>62.83</v>
      </c>
      <c r="M6" s="29">
        <v>9.6300000000000008</v>
      </c>
      <c r="N6" s="19">
        <v>27.54</v>
      </c>
      <c r="O6" s="20">
        <f t="shared" si="1"/>
        <v>171.64</v>
      </c>
      <c r="P6" s="30">
        <f t="shared" si="8"/>
        <v>71.64</v>
      </c>
      <c r="Q6" s="30">
        <f>(100-$P$6)*L6/100</f>
        <v>17.818587999999998</v>
      </c>
      <c r="R6" s="30">
        <f t="shared" ref="R6:S6" si="11">(100-$P$6)*M6/100</f>
        <v>2.7310680000000001</v>
      </c>
      <c r="S6" s="21">
        <f t="shared" si="11"/>
        <v>7.8103439999999997</v>
      </c>
      <c r="U6" s="19"/>
      <c r="V6" s="29"/>
      <c r="W6" s="29"/>
      <c r="X6" s="29"/>
      <c r="Y6" s="29"/>
      <c r="Z6" s="29"/>
      <c r="AA6" s="19"/>
      <c r="AB6" s="20">
        <f t="shared" si="2"/>
        <v>0</v>
      </c>
      <c r="AC6" s="30"/>
      <c r="AD6" s="30"/>
      <c r="AE6" s="30"/>
      <c r="AF6" s="30"/>
      <c r="AG6" s="30"/>
      <c r="AH6" s="21"/>
      <c r="AI6" s="29"/>
      <c r="AL6" s="29"/>
      <c r="AO6" s="36">
        <v>18</v>
      </c>
    </row>
    <row r="7" spans="1:41">
      <c r="A7" s="19">
        <f t="shared" si="0"/>
        <v>6</v>
      </c>
      <c r="B7" s="29" t="s">
        <v>197</v>
      </c>
      <c r="C7" s="29">
        <v>1</v>
      </c>
      <c r="D7" s="29" t="s">
        <v>198</v>
      </c>
      <c r="E7" s="29" t="s">
        <v>199</v>
      </c>
      <c r="F7" s="19"/>
      <c r="G7" s="29"/>
      <c r="H7" s="29"/>
      <c r="I7" s="19"/>
      <c r="J7" s="20" t="s">
        <v>453</v>
      </c>
      <c r="K7" s="29">
        <v>70</v>
      </c>
      <c r="L7" s="29"/>
      <c r="M7" s="29"/>
      <c r="N7" s="19"/>
      <c r="O7" s="20">
        <f t="shared" si="1"/>
        <v>70</v>
      </c>
      <c r="P7" s="30"/>
      <c r="Q7" s="30"/>
      <c r="R7" s="30"/>
      <c r="S7" s="21"/>
      <c r="U7" s="19" t="s">
        <v>214</v>
      </c>
      <c r="V7" s="29">
        <v>50.53</v>
      </c>
      <c r="W7" s="29">
        <v>6.74</v>
      </c>
      <c r="X7" s="29">
        <v>2.74</v>
      </c>
      <c r="Y7" s="29">
        <v>0.42</v>
      </c>
      <c r="Z7" s="29">
        <v>39.58</v>
      </c>
      <c r="AA7" s="19"/>
      <c r="AB7" s="20">
        <f t="shared" si="2"/>
        <v>100.01</v>
      </c>
      <c r="AC7" s="30">
        <f>100*V7/AB7</f>
        <v>50.524947505249472</v>
      </c>
      <c r="AD7" s="30">
        <f>100*W7/AB7</f>
        <v>6.73932606739326</v>
      </c>
      <c r="AE7" s="30">
        <f>100*X7/AB7</f>
        <v>2.7397260273972601</v>
      </c>
      <c r="AF7" s="30">
        <f>100*Y7/AB7</f>
        <v>0.41995800419958002</v>
      </c>
      <c r="AG7" s="30">
        <f>100*Z7/AB7</f>
        <v>39.576042395760425</v>
      </c>
      <c r="AH7" s="21"/>
      <c r="AI7" s="29"/>
      <c r="AJ7" s="27">
        <v>13.917</v>
      </c>
      <c r="AL7" s="29"/>
      <c r="AM7" s="27">
        <v>13.917</v>
      </c>
      <c r="AN7" s="20">
        <f>AM7*(1-O7/100)</f>
        <v>4.1751000000000005</v>
      </c>
      <c r="AO7" s="36">
        <v>18</v>
      </c>
    </row>
    <row r="8" spans="1:41">
      <c r="A8" s="19">
        <f t="shared" si="0"/>
        <v>7</v>
      </c>
      <c r="B8" s="29" t="s">
        <v>197</v>
      </c>
      <c r="C8" s="29">
        <v>1</v>
      </c>
      <c r="D8" s="29" t="s">
        <v>198</v>
      </c>
      <c r="E8" s="29" t="s">
        <v>199</v>
      </c>
      <c r="F8" s="19"/>
      <c r="G8" s="29"/>
      <c r="H8" s="29"/>
      <c r="I8" s="19"/>
      <c r="J8" s="20" t="s">
        <v>453</v>
      </c>
      <c r="K8" s="29">
        <v>69.37</v>
      </c>
      <c r="L8" s="29">
        <v>59.13</v>
      </c>
      <c r="M8" s="29">
        <v>9.4499999999999993</v>
      </c>
      <c r="N8" s="19">
        <v>31.42</v>
      </c>
      <c r="O8" s="20">
        <f t="shared" si="1"/>
        <v>169.37</v>
      </c>
      <c r="P8" s="30">
        <f t="shared" si="8"/>
        <v>69.37</v>
      </c>
      <c r="Q8" s="30">
        <f>(100-$P$8)*L8/100</f>
        <v>18.111518999999998</v>
      </c>
      <c r="R8" s="30">
        <f t="shared" ref="R8:S8" si="12">(100-$P$8)*M8/100</f>
        <v>2.8945349999999994</v>
      </c>
      <c r="S8" s="21">
        <f t="shared" si="12"/>
        <v>9.6239459999999983</v>
      </c>
      <c r="U8" s="19"/>
      <c r="V8" s="29"/>
      <c r="W8" s="29"/>
      <c r="X8" s="29"/>
      <c r="Y8" s="29"/>
      <c r="Z8" s="29"/>
      <c r="AA8" s="19"/>
      <c r="AB8" s="20">
        <f t="shared" si="2"/>
        <v>0</v>
      </c>
      <c r="AC8" s="30"/>
      <c r="AD8" s="30"/>
      <c r="AE8" s="30"/>
      <c r="AF8" s="30"/>
      <c r="AG8" s="30"/>
      <c r="AH8" s="21"/>
      <c r="AI8" s="29"/>
      <c r="AL8" s="29"/>
      <c r="AO8" s="36">
        <v>18</v>
      </c>
    </row>
    <row r="9" spans="1:41">
      <c r="A9" s="19">
        <f t="shared" si="0"/>
        <v>8</v>
      </c>
      <c r="B9" s="29" t="s">
        <v>197</v>
      </c>
      <c r="C9" s="29">
        <v>1</v>
      </c>
      <c r="D9" s="29" t="s">
        <v>198</v>
      </c>
      <c r="E9" s="29" t="s">
        <v>199</v>
      </c>
      <c r="F9" s="19"/>
      <c r="G9" s="29"/>
      <c r="H9" s="29"/>
      <c r="I9" s="19"/>
      <c r="J9" s="20" t="s">
        <v>453</v>
      </c>
      <c r="K9" s="29">
        <v>67.67</v>
      </c>
      <c r="L9" s="29"/>
      <c r="M9" s="29"/>
      <c r="N9" s="19"/>
      <c r="O9" s="20">
        <f t="shared" si="1"/>
        <v>67.67</v>
      </c>
      <c r="P9" s="30"/>
      <c r="Q9" s="30"/>
      <c r="R9" s="30"/>
      <c r="S9" s="21"/>
      <c r="U9" s="19"/>
      <c r="V9" s="29"/>
      <c r="W9" s="29"/>
      <c r="X9" s="29"/>
      <c r="Y9" s="29"/>
      <c r="Z9" s="29"/>
      <c r="AA9" s="19"/>
      <c r="AB9" s="20">
        <f t="shared" si="2"/>
        <v>0</v>
      </c>
      <c r="AC9" s="30"/>
      <c r="AD9" s="30"/>
      <c r="AE9" s="30"/>
      <c r="AF9" s="30"/>
      <c r="AG9" s="30"/>
      <c r="AH9" s="21"/>
      <c r="AI9" s="29"/>
      <c r="AJ9" s="27">
        <v>12.582000000000001</v>
      </c>
      <c r="AL9" s="29"/>
      <c r="AM9" s="27">
        <v>12.582000000000001</v>
      </c>
      <c r="AN9" s="20">
        <f>AM9*(1-O9/100)</f>
        <v>4.0677606000000006</v>
      </c>
      <c r="AO9" s="36">
        <v>18</v>
      </c>
    </row>
    <row r="10" spans="1:41">
      <c r="A10" s="19">
        <f t="shared" si="0"/>
        <v>9</v>
      </c>
      <c r="B10" s="29" t="s">
        <v>197</v>
      </c>
      <c r="C10" s="29">
        <v>1</v>
      </c>
      <c r="D10" s="29" t="s">
        <v>198</v>
      </c>
      <c r="E10" s="29" t="s">
        <v>199</v>
      </c>
      <c r="F10" s="19"/>
      <c r="G10" s="29"/>
      <c r="H10" s="29"/>
      <c r="I10" s="19"/>
      <c r="J10" s="20" t="s">
        <v>453</v>
      </c>
      <c r="K10" s="29">
        <v>63.06</v>
      </c>
      <c r="L10" s="29">
        <v>50.3</v>
      </c>
      <c r="M10" s="29">
        <v>12.56</v>
      </c>
      <c r="N10" s="19">
        <v>37.14</v>
      </c>
      <c r="O10" s="20">
        <f t="shared" si="1"/>
        <v>163.06</v>
      </c>
      <c r="P10" s="30">
        <f t="shared" si="8"/>
        <v>63.06</v>
      </c>
      <c r="Q10" s="30">
        <f>(100-$P$10)*L10/100</f>
        <v>18.580819999999999</v>
      </c>
      <c r="R10" s="30">
        <f t="shared" ref="R10:S10" si="13">(100-$P$10)*M10/100</f>
        <v>4.6396639999999998</v>
      </c>
      <c r="S10" s="21">
        <f t="shared" si="13"/>
        <v>13.719515999999999</v>
      </c>
      <c r="U10" s="19"/>
      <c r="V10" s="29"/>
      <c r="W10" s="29"/>
      <c r="X10" s="29"/>
      <c r="Y10" s="29"/>
      <c r="Z10" s="29"/>
      <c r="AA10" s="19"/>
      <c r="AB10" s="20">
        <f t="shared" si="2"/>
        <v>0</v>
      </c>
      <c r="AC10" s="30"/>
      <c r="AD10" s="30"/>
      <c r="AE10" s="30"/>
      <c r="AF10" s="30"/>
      <c r="AG10" s="30"/>
      <c r="AH10" s="21"/>
      <c r="AI10" s="29"/>
      <c r="AL10" s="29"/>
      <c r="AO10" s="36">
        <v>18</v>
      </c>
    </row>
    <row r="11" spans="1:41">
      <c r="A11" s="19">
        <f t="shared" si="0"/>
        <v>10</v>
      </c>
      <c r="B11" s="29" t="s">
        <v>197</v>
      </c>
      <c r="C11" s="29">
        <v>1</v>
      </c>
      <c r="D11" s="29" t="s">
        <v>198</v>
      </c>
      <c r="E11" s="29" t="s">
        <v>199</v>
      </c>
      <c r="F11" s="19"/>
      <c r="G11" s="29"/>
      <c r="H11" s="29"/>
      <c r="I11" s="19"/>
      <c r="J11" s="20" t="s">
        <v>453</v>
      </c>
      <c r="K11" s="29">
        <v>60</v>
      </c>
      <c r="L11" s="29"/>
      <c r="M11" s="29"/>
      <c r="N11" s="19"/>
      <c r="O11" s="20">
        <f t="shared" si="1"/>
        <v>60</v>
      </c>
      <c r="P11" s="30"/>
      <c r="Q11" s="30"/>
      <c r="R11" s="30"/>
      <c r="S11" s="21"/>
      <c r="U11" s="19" t="s">
        <v>214</v>
      </c>
      <c r="V11" s="29">
        <v>51.38</v>
      </c>
      <c r="W11" s="29">
        <v>7.31</v>
      </c>
      <c r="X11" s="29">
        <v>3.24</v>
      </c>
      <c r="Y11" s="29">
        <v>0.17</v>
      </c>
      <c r="Z11" s="29">
        <v>36.82</v>
      </c>
      <c r="AA11" s="19">
        <v>1.0900000000000001</v>
      </c>
      <c r="AB11" s="20">
        <f t="shared" si="2"/>
        <v>100.01000000000002</v>
      </c>
      <c r="AC11" s="30">
        <f t="shared" ref="AC11:AC23" si="14">100*V11/AB11</f>
        <v>51.374862513748617</v>
      </c>
      <c r="AD11" s="30">
        <f t="shared" ref="AD11:AD23" si="15">100*W11/AB11</f>
        <v>7.3092690730926897</v>
      </c>
      <c r="AE11" s="30">
        <f t="shared" ref="AE11:AE23" si="16">100*X11/AB11</f>
        <v>3.2396760323967597</v>
      </c>
      <c r="AF11" s="30">
        <f t="shared" ref="AF11:AF23" si="17">100*Y11/AB11</f>
        <v>0.16998300169982999</v>
      </c>
      <c r="AG11" s="30">
        <f t="shared" ref="AG11:AG23" si="18">100*Z11/AB11</f>
        <v>36.816318368163174</v>
      </c>
      <c r="AH11" s="21">
        <f>100*AA11/AB11</f>
        <v>1.0898910108989099</v>
      </c>
      <c r="AI11" s="29"/>
      <c r="AL11" s="29"/>
      <c r="AO11" s="36">
        <v>18</v>
      </c>
    </row>
    <row r="12" spans="1:41">
      <c r="A12" s="19">
        <f t="shared" si="0"/>
        <v>11</v>
      </c>
      <c r="B12" s="29" t="s">
        <v>197</v>
      </c>
      <c r="C12" s="29">
        <v>1</v>
      </c>
      <c r="D12" s="29" t="s">
        <v>198</v>
      </c>
      <c r="E12" s="29" t="s">
        <v>199</v>
      </c>
      <c r="F12" s="19"/>
      <c r="G12" s="29"/>
      <c r="H12" s="29"/>
      <c r="I12" s="19"/>
      <c r="J12" s="20" t="s">
        <v>453</v>
      </c>
      <c r="K12" s="29">
        <v>56.12</v>
      </c>
      <c r="L12" s="29">
        <v>54.97</v>
      </c>
      <c r="M12" s="29">
        <v>7.29</v>
      </c>
      <c r="N12" s="19">
        <v>37.74</v>
      </c>
      <c r="O12" s="20">
        <f t="shared" si="1"/>
        <v>156.12</v>
      </c>
      <c r="P12" s="30">
        <f t="shared" si="8"/>
        <v>56.12</v>
      </c>
      <c r="Q12" s="30">
        <f>(100-$P$12)*L12/100</f>
        <v>24.120836000000001</v>
      </c>
      <c r="R12" s="30">
        <f t="shared" ref="R12:S12" si="19">(100-$P$12)*M12/100</f>
        <v>3.198852</v>
      </c>
      <c r="S12" s="21">
        <f t="shared" si="19"/>
        <v>16.560312</v>
      </c>
      <c r="U12" s="19" t="s">
        <v>214</v>
      </c>
      <c r="V12" s="29">
        <v>56.5</v>
      </c>
      <c r="W12" s="29">
        <v>6.68</v>
      </c>
      <c r="X12" s="29">
        <v>4.08</v>
      </c>
      <c r="Y12" s="29">
        <v>0.4</v>
      </c>
      <c r="Z12" s="29">
        <v>31.07</v>
      </c>
      <c r="AA12" s="19">
        <v>1.27</v>
      </c>
      <c r="AB12" s="20">
        <f t="shared" si="2"/>
        <v>100.00000000000001</v>
      </c>
      <c r="AC12" s="30">
        <f t="shared" si="14"/>
        <v>56.499999999999993</v>
      </c>
      <c r="AD12" s="30">
        <f t="shared" si="15"/>
        <v>6.6799999999999988</v>
      </c>
      <c r="AE12" s="30">
        <f t="shared" si="16"/>
        <v>4.0799999999999992</v>
      </c>
      <c r="AF12" s="30">
        <f t="shared" si="17"/>
        <v>0.39999999999999997</v>
      </c>
      <c r="AG12" s="30">
        <f t="shared" si="18"/>
        <v>31.069999999999997</v>
      </c>
      <c r="AH12" s="21">
        <f>100*AA12/AB12</f>
        <v>1.2699999999999998</v>
      </c>
      <c r="AI12" s="29"/>
      <c r="AJ12" s="27">
        <v>9.6430000000000007</v>
      </c>
      <c r="AL12" s="29">
        <f>AM12*(Q12+R12+S12)/(Q12+R12)</f>
        <v>15.488274975907485</v>
      </c>
      <c r="AM12" s="27">
        <v>9.6430000000000007</v>
      </c>
      <c r="AN12" s="19">
        <f>AM12*(Q12+R12+S12)/(P12+Q12+R12+S12)</f>
        <v>4.2313483999999999</v>
      </c>
      <c r="AO12" s="36">
        <v>18</v>
      </c>
    </row>
    <row r="13" spans="1:41">
      <c r="A13" s="19">
        <f t="shared" si="0"/>
        <v>12</v>
      </c>
      <c r="B13" s="29" t="s">
        <v>197</v>
      </c>
      <c r="C13" s="29">
        <v>1</v>
      </c>
      <c r="D13" s="29" t="s">
        <v>198</v>
      </c>
      <c r="E13" s="29" t="s">
        <v>199</v>
      </c>
      <c r="F13" s="19"/>
      <c r="G13" s="29"/>
      <c r="H13" s="29"/>
      <c r="I13" s="19"/>
      <c r="J13" s="20" t="s">
        <v>453</v>
      </c>
      <c r="K13" s="29">
        <v>54.51</v>
      </c>
      <c r="L13" s="29"/>
      <c r="M13" s="29"/>
      <c r="N13" s="19"/>
      <c r="O13" s="20">
        <f t="shared" si="1"/>
        <v>54.51</v>
      </c>
      <c r="P13" s="30"/>
      <c r="Q13" s="30"/>
      <c r="R13" s="30"/>
      <c r="S13" s="21"/>
      <c r="U13" s="19" t="s">
        <v>214</v>
      </c>
      <c r="V13" s="29">
        <v>50.69</v>
      </c>
      <c r="W13" s="29">
        <v>6.8</v>
      </c>
      <c r="X13" s="29">
        <v>1.7</v>
      </c>
      <c r="Y13" s="29">
        <v>0.43</v>
      </c>
      <c r="Z13" s="29">
        <v>40.380000000000003</v>
      </c>
      <c r="AA13" s="19"/>
      <c r="AB13" s="20">
        <f t="shared" si="2"/>
        <v>100</v>
      </c>
      <c r="AC13" s="30">
        <f t="shared" si="14"/>
        <v>50.69</v>
      </c>
      <c r="AD13" s="30">
        <f t="shared" si="15"/>
        <v>6.8</v>
      </c>
      <c r="AE13" s="30">
        <f t="shared" si="16"/>
        <v>1.7</v>
      </c>
      <c r="AF13" s="30">
        <f t="shared" si="17"/>
        <v>0.43</v>
      </c>
      <c r="AG13" s="30">
        <f t="shared" si="18"/>
        <v>40.380000000000003</v>
      </c>
      <c r="AH13" s="21"/>
      <c r="AI13" s="29"/>
      <c r="AL13" s="29"/>
      <c r="AO13" s="36">
        <v>18</v>
      </c>
    </row>
    <row r="14" spans="1:41">
      <c r="A14" s="19">
        <f t="shared" si="0"/>
        <v>13</v>
      </c>
      <c r="B14" s="29" t="s">
        <v>197</v>
      </c>
      <c r="C14" s="29">
        <v>1</v>
      </c>
      <c r="D14" s="29" t="s">
        <v>198</v>
      </c>
      <c r="E14" s="29" t="s">
        <v>199</v>
      </c>
      <c r="F14" s="19"/>
      <c r="G14" s="29"/>
      <c r="H14" s="29"/>
      <c r="I14" s="19"/>
      <c r="J14" s="20" t="s">
        <v>221</v>
      </c>
      <c r="K14" s="29"/>
      <c r="L14" s="29">
        <v>55.98</v>
      </c>
      <c r="M14" s="29">
        <v>7.17</v>
      </c>
      <c r="N14" s="19">
        <v>36.86</v>
      </c>
      <c r="O14" s="20">
        <f t="shared" si="1"/>
        <v>100.00999999999999</v>
      </c>
      <c r="P14" s="30">
        <f t="shared" ref="P14:P20" si="20">100*K14/O14</f>
        <v>0</v>
      </c>
      <c r="Q14" s="30">
        <f t="shared" ref="Q14:Q20" si="21">100*L14/O14</f>
        <v>55.974402559744028</v>
      </c>
      <c r="R14" s="30">
        <f t="shared" ref="R14:R20" si="22">100*M14/O14</f>
        <v>7.1692830716928313</v>
      </c>
      <c r="S14" s="21">
        <f t="shared" ref="S14:S20" si="23">100*N14/O14</f>
        <v>36.856314368563147</v>
      </c>
      <c r="U14" s="19" t="s">
        <v>214</v>
      </c>
      <c r="V14" s="29">
        <v>59.95</v>
      </c>
      <c r="W14" s="29">
        <v>9.1300000000000008</v>
      </c>
      <c r="X14" s="29">
        <v>3.95</v>
      </c>
      <c r="Y14" s="29">
        <v>0.44</v>
      </c>
      <c r="Z14" s="29">
        <v>26.54</v>
      </c>
      <c r="AA14" s="19"/>
      <c r="AB14" s="20">
        <f t="shared" si="2"/>
        <v>100.00999999999999</v>
      </c>
      <c r="AC14" s="30">
        <f t="shared" si="14"/>
        <v>59.944005599440061</v>
      </c>
      <c r="AD14" s="30">
        <f t="shared" si="15"/>
        <v>9.1290870912908737</v>
      </c>
      <c r="AE14" s="30">
        <f t="shared" si="16"/>
        <v>3.9496050394960509</v>
      </c>
      <c r="AF14" s="30">
        <f t="shared" si="17"/>
        <v>0.43995600439956006</v>
      </c>
      <c r="AG14" s="30">
        <f t="shared" si="18"/>
        <v>26.537346265373465</v>
      </c>
      <c r="AH14" s="21"/>
      <c r="AI14" s="29"/>
      <c r="AJ14" s="27">
        <v>17.927</v>
      </c>
      <c r="AL14" s="29">
        <f>AM14*(Q14+R14+S14)/(Q14+R14)</f>
        <v>28.390803958828187</v>
      </c>
      <c r="AM14" s="27">
        <v>17.927</v>
      </c>
      <c r="AN14" s="19">
        <f>AM14*(Q14+R14+S14)/(P14+Q14+R14+S14)</f>
        <v>17.927</v>
      </c>
      <c r="AO14" s="36">
        <v>18</v>
      </c>
    </row>
    <row r="15" spans="1:41">
      <c r="A15" s="19">
        <f t="shared" si="0"/>
        <v>14</v>
      </c>
      <c r="B15" s="29" t="s">
        <v>197</v>
      </c>
      <c r="C15" s="29">
        <v>1</v>
      </c>
      <c r="D15" s="29" t="s">
        <v>198</v>
      </c>
      <c r="E15" s="29" t="s">
        <v>199</v>
      </c>
      <c r="F15" s="19"/>
      <c r="G15" s="29"/>
      <c r="H15" s="29"/>
      <c r="I15" s="19"/>
      <c r="J15" s="20" t="s">
        <v>221</v>
      </c>
      <c r="K15" s="29"/>
      <c r="L15" s="29">
        <v>77.97</v>
      </c>
      <c r="M15" s="29">
        <v>12.32</v>
      </c>
      <c r="N15" s="19">
        <v>9.7100000000000009</v>
      </c>
      <c r="O15" s="20">
        <f t="shared" si="1"/>
        <v>100</v>
      </c>
      <c r="P15" s="30">
        <f t="shared" si="20"/>
        <v>0</v>
      </c>
      <c r="Q15" s="30">
        <f t="shared" si="21"/>
        <v>77.97</v>
      </c>
      <c r="R15" s="30">
        <f t="shared" si="22"/>
        <v>12.32</v>
      </c>
      <c r="S15" s="21">
        <f t="shared" si="23"/>
        <v>9.7100000000000009</v>
      </c>
      <c r="U15" s="19" t="s">
        <v>214</v>
      </c>
      <c r="V15" s="29">
        <v>52.24</v>
      </c>
      <c r="W15" s="29">
        <v>7.3</v>
      </c>
      <c r="X15" s="29">
        <v>4.97</v>
      </c>
      <c r="Y15" s="29">
        <v>1.01</v>
      </c>
      <c r="Z15" s="29">
        <v>34.35</v>
      </c>
      <c r="AA15" s="19">
        <v>0.12</v>
      </c>
      <c r="AB15" s="20">
        <f t="shared" si="2"/>
        <v>99.990000000000009</v>
      </c>
      <c r="AC15" s="30">
        <f t="shared" si="14"/>
        <v>52.24522452245224</v>
      </c>
      <c r="AD15" s="30">
        <f t="shared" si="15"/>
        <v>7.3007300730073004</v>
      </c>
      <c r="AE15" s="30">
        <f t="shared" si="16"/>
        <v>4.9704970497049699</v>
      </c>
      <c r="AF15" s="30">
        <f t="shared" si="17"/>
        <v>1.0101010101010099</v>
      </c>
      <c r="AG15" s="30">
        <f t="shared" si="18"/>
        <v>34.35343534353435</v>
      </c>
      <c r="AH15" s="21">
        <f>100*AA15/AB15</f>
        <v>0.12001200120012</v>
      </c>
      <c r="AI15" s="29"/>
      <c r="AJ15" s="27">
        <v>19.795999999999999</v>
      </c>
      <c r="AL15" s="29">
        <f>AM15*(Q15+R15+S15)/(Q15+R15)</f>
        <v>21.924908627755013</v>
      </c>
      <c r="AM15" s="27">
        <v>19.795999999999999</v>
      </c>
      <c r="AN15" s="19">
        <f>AM15*(Q15+R15+S15)/(P15+Q15+R15+S15)</f>
        <v>19.795999999999999</v>
      </c>
      <c r="AO15" s="36">
        <v>18</v>
      </c>
    </row>
    <row r="16" spans="1:41">
      <c r="A16" s="19">
        <f t="shared" si="0"/>
        <v>15</v>
      </c>
      <c r="B16" s="29" t="s">
        <v>197</v>
      </c>
      <c r="C16" s="29">
        <v>1</v>
      </c>
      <c r="D16" s="29" t="s">
        <v>198</v>
      </c>
      <c r="E16" s="29" t="s">
        <v>199</v>
      </c>
      <c r="F16" s="19"/>
      <c r="G16" s="29"/>
      <c r="H16" s="29"/>
      <c r="I16" s="19"/>
      <c r="J16" s="20" t="s">
        <v>221</v>
      </c>
      <c r="K16" s="29"/>
      <c r="L16" s="29">
        <v>68.03</v>
      </c>
      <c r="M16" s="29">
        <v>15.05</v>
      </c>
      <c r="N16" s="19">
        <v>16.920000000000002</v>
      </c>
      <c r="O16" s="20">
        <f t="shared" si="1"/>
        <v>100</v>
      </c>
      <c r="P16" s="30">
        <f t="shared" si="20"/>
        <v>0</v>
      </c>
      <c r="Q16" s="30">
        <f t="shared" si="21"/>
        <v>68.03</v>
      </c>
      <c r="R16" s="30">
        <f t="shared" si="22"/>
        <v>15.05</v>
      </c>
      <c r="S16" s="21">
        <f t="shared" si="23"/>
        <v>16.920000000000002</v>
      </c>
      <c r="U16" s="19" t="s">
        <v>214</v>
      </c>
      <c r="V16" s="29">
        <v>50.09</v>
      </c>
      <c r="W16" s="29">
        <v>5.08</v>
      </c>
      <c r="X16" s="29">
        <v>6.58</v>
      </c>
      <c r="Y16" s="29">
        <v>1.1000000000000001</v>
      </c>
      <c r="Z16" s="29">
        <v>37.14</v>
      </c>
      <c r="AA16" s="19"/>
      <c r="AB16" s="20">
        <f t="shared" si="2"/>
        <v>99.990000000000009</v>
      </c>
      <c r="AC16" s="30">
        <f t="shared" si="14"/>
        <v>50.095009500950091</v>
      </c>
      <c r="AD16" s="30">
        <f t="shared" si="15"/>
        <v>5.0805080508050802</v>
      </c>
      <c r="AE16" s="30">
        <f t="shared" si="16"/>
        <v>6.5806580658065803</v>
      </c>
      <c r="AF16" s="30">
        <f t="shared" si="17"/>
        <v>1.1001100110011002</v>
      </c>
      <c r="AG16" s="30">
        <f t="shared" si="18"/>
        <v>37.143714371437142</v>
      </c>
      <c r="AH16" s="21"/>
      <c r="AI16" s="29"/>
      <c r="AJ16" s="27">
        <v>16.446999999999999</v>
      </c>
      <c r="AL16" s="29">
        <f>AM16*(Q16+R16+S16)/(Q16+R16)</f>
        <v>19.796581608088587</v>
      </c>
      <c r="AM16" s="27">
        <v>16.446999999999999</v>
      </c>
      <c r="AN16" s="19">
        <f>AM16*(Q16+R16+S16)/(P16+Q16+R16+S16)</f>
        <v>16.446999999999999</v>
      </c>
      <c r="AO16" s="36">
        <v>18</v>
      </c>
    </row>
    <row r="17" spans="1:41">
      <c r="A17" s="19">
        <f t="shared" si="0"/>
        <v>16</v>
      </c>
      <c r="B17" s="29" t="s">
        <v>197</v>
      </c>
      <c r="C17" s="29">
        <v>1</v>
      </c>
      <c r="D17" s="29" t="s">
        <v>198</v>
      </c>
      <c r="E17" s="29" t="s">
        <v>199</v>
      </c>
      <c r="F17" s="19"/>
      <c r="G17" s="29"/>
      <c r="H17" s="29"/>
      <c r="I17" s="19"/>
      <c r="J17" s="20" t="s">
        <v>221</v>
      </c>
      <c r="K17" s="29"/>
      <c r="L17" s="29">
        <v>67.95</v>
      </c>
      <c r="M17" s="29">
        <v>14.62</v>
      </c>
      <c r="N17" s="19">
        <v>17.43</v>
      </c>
      <c r="O17" s="20">
        <f t="shared" si="1"/>
        <v>100</v>
      </c>
      <c r="P17" s="30">
        <f t="shared" si="20"/>
        <v>0</v>
      </c>
      <c r="Q17" s="30">
        <f t="shared" si="21"/>
        <v>67.95</v>
      </c>
      <c r="R17" s="30">
        <f t="shared" si="22"/>
        <v>14.62</v>
      </c>
      <c r="S17" s="21">
        <f t="shared" si="23"/>
        <v>17.43</v>
      </c>
      <c r="U17" s="19" t="s">
        <v>214</v>
      </c>
      <c r="V17" s="29">
        <v>50.07</v>
      </c>
      <c r="W17" s="29">
        <v>5.4</v>
      </c>
      <c r="X17" s="29">
        <v>6.73</v>
      </c>
      <c r="Y17" s="29">
        <v>0.93</v>
      </c>
      <c r="Z17" s="29">
        <v>36.880000000000003</v>
      </c>
      <c r="AA17" s="19"/>
      <c r="AB17" s="20">
        <f t="shared" si="2"/>
        <v>100.01</v>
      </c>
      <c r="AC17" s="30">
        <f t="shared" si="14"/>
        <v>50.064993500649933</v>
      </c>
      <c r="AD17" s="30">
        <f t="shared" si="15"/>
        <v>5.3994600539946003</v>
      </c>
      <c r="AE17" s="30">
        <f t="shared" si="16"/>
        <v>6.7293270672932701</v>
      </c>
      <c r="AF17" s="30">
        <f t="shared" si="17"/>
        <v>0.92990700929907</v>
      </c>
      <c r="AG17" s="30">
        <f t="shared" si="18"/>
        <v>36.876312368763124</v>
      </c>
      <c r="AH17" s="21"/>
      <c r="AI17" s="29"/>
      <c r="AL17" s="29"/>
      <c r="AO17" s="36">
        <v>18</v>
      </c>
    </row>
    <row r="18" spans="1:41">
      <c r="A18" s="19">
        <f t="shared" si="0"/>
        <v>17</v>
      </c>
      <c r="B18" s="29" t="s">
        <v>197</v>
      </c>
      <c r="C18" s="29">
        <v>1</v>
      </c>
      <c r="D18" s="29" t="s">
        <v>198</v>
      </c>
      <c r="E18" s="29" t="s">
        <v>199</v>
      </c>
      <c r="F18" s="19"/>
      <c r="G18" s="29"/>
      <c r="H18" s="29"/>
      <c r="I18" s="19"/>
      <c r="J18" s="20" t="s">
        <v>221</v>
      </c>
      <c r="K18" s="29"/>
      <c r="L18" s="29">
        <v>72.66</v>
      </c>
      <c r="M18" s="29">
        <v>15.03</v>
      </c>
      <c r="N18" s="19">
        <v>12.31</v>
      </c>
      <c r="O18" s="20">
        <f t="shared" si="1"/>
        <v>100</v>
      </c>
      <c r="P18" s="30">
        <f t="shared" si="20"/>
        <v>0</v>
      </c>
      <c r="Q18" s="30">
        <f t="shared" si="21"/>
        <v>72.66</v>
      </c>
      <c r="R18" s="30">
        <f t="shared" si="22"/>
        <v>15.03</v>
      </c>
      <c r="S18" s="21">
        <f t="shared" si="23"/>
        <v>12.31</v>
      </c>
      <c r="U18" s="19" t="s">
        <v>214</v>
      </c>
      <c r="V18" s="29">
        <v>49.94</v>
      </c>
      <c r="W18" s="29">
        <v>4.8499999999999996</v>
      </c>
      <c r="X18" s="29">
        <v>3.04</v>
      </c>
      <c r="Y18" s="29">
        <v>0.56000000000000005</v>
      </c>
      <c r="Z18" s="29">
        <v>41.6</v>
      </c>
      <c r="AA18" s="19"/>
      <c r="AB18" s="20">
        <f t="shared" si="2"/>
        <v>99.990000000000009</v>
      </c>
      <c r="AC18" s="30">
        <f t="shared" si="14"/>
        <v>49.94499449944994</v>
      </c>
      <c r="AD18" s="30">
        <f t="shared" si="15"/>
        <v>4.8504850485048498</v>
      </c>
      <c r="AE18" s="30">
        <f t="shared" si="16"/>
        <v>3.04030403040304</v>
      </c>
      <c r="AF18" s="30">
        <f t="shared" si="17"/>
        <v>0.56005600560056013</v>
      </c>
      <c r="AG18" s="30">
        <f t="shared" si="18"/>
        <v>41.604160416041601</v>
      </c>
      <c r="AH18" s="21"/>
      <c r="AI18" s="29"/>
      <c r="AL18" s="29"/>
      <c r="AO18" s="36">
        <v>18</v>
      </c>
    </row>
    <row r="19" spans="1:41">
      <c r="A19" s="19">
        <f t="shared" si="0"/>
        <v>18</v>
      </c>
      <c r="B19" s="29" t="s">
        <v>197</v>
      </c>
      <c r="C19" s="29">
        <v>1</v>
      </c>
      <c r="D19" s="29" t="s">
        <v>198</v>
      </c>
      <c r="E19" s="29" t="s">
        <v>199</v>
      </c>
      <c r="F19" s="19"/>
      <c r="G19" s="29"/>
      <c r="H19" s="29"/>
      <c r="I19" s="19"/>
      <c r="J19" s="20" t="s">
        <v>221</v>
      </c>
      <c r="K19" s="29"/>
      <c r="L19" s="29">
        <v>80.61</v>
      </c>
      <c r="M19" s="29">
        <v>16.559999999999999</v>
      </c>
      <c r="N19" s="19">
        <v>2.84</v>
      </c>
      <c r="O19" s="20">
        <f t="shared" si="1"/>
        <v>100.01</v>
      </c>
      <c r="P19" s="30">
        <f t="shared" si="20"/>
        <v>0</v>
      </c>
      <c r="Q19" s="30">
        <f t="shared" si="21"/>
        <v>80.601939806019388</v>
      </c>
      <c r="R19" s="30">
        <f t="shared" si="22"/>
        <v>16.558344165583438</v>
      </c>
      <c r="S19" s="21">
        <f t="shared" si="23"/>
        <v>2.8397160283971603</v>
      </c>
      <c r="U19" s="19" t="s">
        <v>214</v>
      </c>
      <c r="V19" s="29">
        <v>49.1</v>
      </c>
      <c r="W19" s="29">
        <v>7.26</v>
      </c>
      <c r="X19" s="29">
        <v>4.3899999999999997</v>
      </c>
      <c r="Y19" s="29">
        <v>0.23</v>
      </c>
      <c r="Z19" s="29">
        <v>39.020000000000003</v>
      </c>
      <c r="AA19" s="19"/>
      <c r="AB19" s="20">
        <f t="shared" si="2"/>
        <v>100</v>
      </c>
      <c r="AC19" s="30">
        <f t="shared" si="14"/>
        <v>49.1</v>
      </c>
      <c r="AD19" s="30">
        <f t="shared" si="15"/>
        <v>7.26</v>
      </c>
      <c r="AE19" s="30">
        <f t="shared" si="16"/>
        <v>4.3899999999999997</v>
      </c>
      <c r="AF19" s="30">
        <f t="shared" si="17"/>
        <v>0.23</v>
      </c>
      <c r="AG19" s="30">
        <f t="shared" si="18"/>
        <v>39.020000000000003</v>
      </c>
      <c r="AH19" s="21"/>
      <c r="AI19" s="29"/>
      <c r="AJ19" s="27">
        <v>20.106999999999999</v>
      </c>
      <c r="AL19" s="29">
        <f>AM19*(Q19+R19+S19)/(Q19+R19)</f>
        <v>20.694669856951734</v>
      </c>
      <c r="AM19" s="27">
        <v>20.106999999999999</v>
      </c>
      <c r="AN19" s="19">
        <f>AM19*(Q19+R19+S19)/(P19+Q19+R19+S19)</f>
        <v>20.106999999999999</v>
      </c>
      <c r="AO19" s="36">
        <v>18</v>
      </c>
    </row>
    <row r="20" spans="1:41">
      <c r="A20" s="19">
        <f t="shared" si="0"/>
        <v>19</v>
      </c>
      <c r="B20" s="29" t="s">
        <v>197</v>
      </c>
      <c r="C20" s="29">
        <v>1</v>
      </c>
      <c r="D20" s="29" t="s">
        <v>198</v>
      </c>
      <c r="E20" s="29" t="s">
        <v>199</v>
      </c>
      <c r="F20" s="19"/>
      <c r="G20" s="29"/>
      <c r="H20" s="29"/>
      <c r="I20" s="19"/>
      <c r="J20" s="20" t="s">
        <v>221</v>
      </c>
      <c r="K20" s="29"/>
      <c r="L20" s="29">
        <v>72.349999999999994</v>
      </c>
      <c r="M20" s="29">
        <v>11.65</v>
      </c>
      <c r="N20" s="19">
        <v>16</v>
      </c>
      <c r="O20" s="20">
        <f t="shared" si="1"/>
        <v>100</v>
      </c>
      <c r="P20" s="30">
        <f t="shared" si="20"/>
        <v>0</v>
      </c>
      <c r="Q20" s="30">
        <f t="shared" si="21"/>
        <v>72.349999999999994</v>
      </c>
      <c r="R20" s="30">
        <f t="shared" si="22"/>
        <v>11.65</v>
      </c>
      <c r="S20" s="21">
        <f t="shared" si="23"/>
        <v>16</v>
      </c>
      <c r="U20" s="19" t="s">
        <v>214</v>
      </c>
      <c r="V20" s="29">
        <v>48.5</v>
      </c>
      <c r="W20" s="29">
        <v>14.2</v>
      </c>
      <c r="X20" s="29">
        <v>1.3</v>
      </c>
      <c r="Y20" s="29">
        <v>0.2</v>
      </c>
      <c r="Z20" s="29">
        <v>35.799999999999997</v>
      </c>
      <c r="AA20" s="19"/>
      <c r="AB20" s="20">
        <f t="shared" si="2"/>
        <v>100</v>
      </c>
      <c r="AC20" s="30">
        <f t="shared" si="14"/>
        <v>48.5</v>
      </c>
      <c r="AD20" s="30">
        <f t="shared" si="15"/>
        <v>14.2</v>
      </c>
      <c r="AE20" s="30">
        <f t="shared" si="16"/>
        <v>1.3</v>
      </c>
      <c r="AF20" s="30">
        <f t="shared" si="17"/>
        <v>0.2</v>
      </c>
      <c r="AG20" s="30">
        <f t="shared" si="18"/>
        <v>35.799999999999997</v>
      </c>
      <c r="AH20" s="21"/>
      <c r="AI20" s="29"/>
      <c r="AL20" s="29"/>
      <c r="AO20" s="36">
        <v>18</v>
      </c>
    </row>
    <row r="21" spans="1:41">
      <c r="A21" s="19">
        <f t="shared" si="0"/>
        <v>20</v>
      </c>
      <c r="B21" s="29" t="s">
        <v>197</v>
      </c>
      <c r="C21" s="29">
        <v>1</v>
      </c>
      <c r="D21" s="29" t="s">
        <v>198</v>
      </c>
      <c r="E21" s="29" t="s">
        <v>199</v>
      </c>
      <c r="F21" s="19"/>
      <c r="G21" s="29"/>
      <c r="H21" s="29"/>
      <c r="I21" s="19"/>
      <c r="K21" s="29"/>
      <c r="L21" s="29"/>
      <c r="M21" s="29"/>
      <c r="N21" s="19"/>
      <c r="P21" s="30"/>
      <c r="Q21" s="30"/>
      <c r="R21" s="30"/>
      <c r="S21" s="21"/>
      <c r="U21" s="19" t="s">
        <v>214</v>
      </c>
      <c r="V21" s="29">
        <v>47.55</v>
      </c>
      <c r="W21" s="29">
        <v>6.36</v>
      </c>
      <c r="X21" s="29">
        <v>0.82</v>
      </c>
      <c r="Y21" s="29">
        <v>0</v>
      </c>
      <c r="Z21" s="29">
        <v>45.27</v>
      </c>
      <c r="AA21" s="19"/>
      <c r="AB21" s="20">
        <f t="shared" si="2"/>
        <v>100</v>
      </c>
      <c r="AC21" s="30">
        <f t="shared" si="14"/>
        <v>47.55</v>
      </c>
      <c r="AD21" s="30">
        <f t="shared" si="15"/>
        <v>6.36</v>
      </c>
      <c r="AE21" s="30">
        <f t="shared" si="16"/>
        <v>0.82</v>
      </c>
      <c r="AF21" s="30">
        <f t="shared" si="17"/>
        <v>0</v>
      </c>
      <c r="AG21" s="30">
        <f t="shared" si="18"/>
        <v>45.27</v>
      </c>
      <c r="AH21" s="21"/>
      <c r="AI21" s="29"/>
      <c r="AL21" s="29"/>
      <c r="AO21" s="36">
        <v>18</v>
      </c>
    </row>
    <row r="22" spans="1:41">
      <c r="A22" s="19">
        <f t="shared" si="0"/>
        <v>21</v>
      </c>
      <c r="B22" s="29" t="s">
        <v>197</v>
      </c>
      <c r="C22" s="29">
        <v>1</v>
      </c>
      <c r="D22" s="29" t="s">
        <v>198</v>
      </c>
      <c r="E22" s="29" t="s">
        <v>199</v>
      </c>
      <c r="F22" s="19"/>
      <c r="G22" s="29"/>
      <c r="H22" s="29"/>
      <c r="I22" s="19"/>
      <c r="K22" s="29"/>
      <c r="L22" s="29"/>
      <c r="M22" s="29"/>
      <c r="N22" s="19"/>
      <c r="P22" s="30"/>
      <c r="Q22" s="30"/>
      <c r="R22" s="30"/>
      <c r="S22" s="21"/>
      <c r="U22" s="19" t="s">
        <v>214</v>
      </c>
      <c r="V22" s="29">
        <v>46.33</v>
      </c>
      <c r="W22" s="29">
        <v>5.49</v>
      </c>
      <c r="X22" s="29">
        <v>3</v>
      </c>
      <c r="Y22" s="29">
        <v>0.36</v>
      </c>
      <c r="Z22" s="29">
        <v>42.31</v>
      </c>
      <c r="AA22" s="19">
        <v>2.5</v>
      </c>
      <c r="AB22" s="20">
        <f t="shared" si="2"/>
        <v>99.990000000000009</v>
      </c>
      <c r="AC22" s="30">
        <f t="shared" si="14"/>
        <v>46.334633463346329</v>
      </c>
      <c r="AD22" s="30">
        <f t="shared" si="15"/>
        <v>5.4905490549054896</v>
      </c>
      <c r="AE22" s="30">
        <f t="shared" si="16"/>
        <v>3.0003000300029998</v>
      </c>
      <c r="AF22" s="30">
        <f t="shared" si="17"/>
        <v>0.36003600360035998</v>
      </c>
      <c r="AG22" s="30">
        <f t="shared" si="18"/>
        <v>42.31423142314231</v>
      </c>
      <c r="AH22" s="21">
        <f>100*AA22/AB22</f>
        <v>2.5002500250024999</v>
      </c>
      <c r="AI22" s="29"/>
      <c r="AL22" s="29"/>
      <c r="AO22" s="36">
        <v>18</v>
      </c>
    </row>
    <row r="23" spans="1:41">
      <c r="A23" s="19">
        <f t="shared" si="0"/>
        <v>22</v>
      </c>
      <c r="B23" s="29" t="s">
        <v>197</v>
      </c>
      <c r="C23" s="29">
        <v>1</v>
      </c>
      <c r="D23" s="29" t="s">
        <v>198</v>
      </c>
      <c r="E23" s="29" t="s">
        <v>199</v>
      </c>
      <c r="F23" s="19"/>
      <c r="G23" s="29"/>
      <c r="H23" s="29"/>
      <c r="I23" s="19"/>
      <c r="J23" s="20" t="s">
        <v>221</v>
      </c>
      <c r="K23" s="29"/>
      <c r="L23" s="29">
        <v>70.87</v>
      </c>
      <c r="M23" s="29">
        <v>13.73</v>
      </c>
      <c r="N23" s="19">
        <v>15.4</v>
      </c>
      <c r="O23" s="20">
        <f t="shared" si="1"/>
        <v>100.00000000000001</v>
      </c>
      <c r="P23" s="30">
        <f>100*K23/O23</f>
        <v>0</v>
      </c>
      <c r="Q23" s="30">
        <f t="shared" ref="Q23:Q25" si="24">100*L23/O23</f>
        <v>70.86999999999999</v>
      </c>
      <c r="R23" s="30">
        <f t="shared" ref="R23:R25" si="25">100*M23/O23</f>
        <v>13.729999999999999</v>
      </c>
      <c r="S23" s="21">
        <f t="shared" ref="S23:S25" si="26">100*N23/O23</f>
        <v>15.399999999999999</v>
      </c>
      <c r="U23" s="19" t="s">
        <v>214</v>
      </c>
      <c r="V23" s="29">
        <v>43.25</v>
      </c>
      <c r="W23" s="29">
        <v>6.38</v>
      </c>
      <c r="X23" s="29">
        <v>2.4300000000000002</v>
      </c>
      <c r="Y23" s="29">
        <v>0.47</v>
      </c>
      <c r="Z23" s="29">
        <v>47.47</v>
      </c>
      <c r="AA23" s="19"/>
      <c r="AB23" s="20">
        <f t="shared" si="2"/>
        <v>100</v>
      </c>
      <c r="AC23" s="30">
        <f t="shared" si="14"/>
        <v>43.25</v>
      </c>
      <c r="AD23" s="30">
        <f t="shared" si="15"/>
        <v>6.38</v>
      </c>
      <c r="AE23" s="30">
        <f t="shared" si="16"/>
        <v>2.4300000000000002</v>
      </c>
      <c r="AF23" s="30">
        <f t="shared" si="17"/>
        <v>0.47</v>
      </c>
      <c r="AG23" s="30">
        <f t="shared" si="18"/>
        <v>47.47</v>
      </c>
      <c r="AH23" s="21"/>
      <c r="AI23" s="29"/>
      <c r="AL23" s="29"/>
      <c r="AO23" s="36">
        <v>18</v>
      </c>
    </row>
    <row r="24" spans="1:41">
      <c r="A24" s="19">
        <f t="shared" si="0"/>
        <v>23</v>
      </c>
      <c r="B24" s="29" t="s">
        <v>197</v>
      </c>
      <c r="C24" s="29">
        <v>1</v>
      </c>
      <c r="D24" s="29" t="s">
        <v>198</v>
      </c>
      <c r="E24" s="29" t="s">
        <v>199</v>
      </c>
      <c r="F24" s="19"/>
      <c r="G24" s="29"/>
      <c r="H24" s="29"/>
      <c r="I24" s="19"/>
      <c r="J24" s="20" t="s">
        <v>221</v>
      </c>
      <c r="K24" s="29"/>
      <c r="L24" s="29">
        <v>83.3</v>
      </c>
      <c r="M24" s="29">
        <v>7.45</v>
      </c>
      <c r="N24" s="19">
        <v>9.25</v>
      </c>
      <c r="O24" s="20">
        <f t="shared" si="1"/>
        <v>100</v>
      </c>
      <c r="P24" s="30">
        <f>100*K24/O24</f>
        <v>0</v>
      </c>
      <c r="Q24" s="30">
        <f t="shared" si="24"/>
        <v>83.3</v>
      </c>
      <c r="R24" s="30">
        <f t="shared" si="25"/>
        <v>7.45</v>
      </c>
      <c r="S24" s="21">
        <f t="shared" si="26"/>
        <v>9.25</v>
      </c>
      <c r="U24" s="19"/>
      <c r="V24" s="29"/>
      <c r="W24" s="29"/>
      <c r="X24" s="29"/>
      <c r="Y24" s="29"/>
      <c r="Z24" s="29"/>
      <c r="AA24" s="19"/>
      <c r="AB24" s="20">
        <f t="shared" si="2"/>
        <v>0</v>
      </c>
      <c r="AC24" s="30"/>
      <c r="AD24" s="30"/>
      <c r="AE24" s="30"/>
      <c r="AF24" s="30"/>
      <c r="AG24" s="30"/>
      <c r="AH24" s="21"/>
      <c r="AI24" s="29"/>
      <c r="AL24" s="29"/>
      <c r="AO24" s="36">
        <v>18</v>
      </c>
    </row>
    <row r="25" spans="1:41">
      <c r="A25" s="19">
        <f t="shared" si="0"/>
        <v>24</v>
      </c>
      <c r="B25" s="29" t="s">
        <v>197</v>
      </c>
      <c r="C25" s="29">
        <v>1</v>
      </c>
      <c r="D25" s="29" t="s">
        <v>198</v>
      </c>
      <c r="E25" s="29" t="s">
        <v>199</v>
      </c>
      <c r="F25" s="19"/>
      <c r="G25" s="29"/>
      <c r="H25" s="29"/>
      <c r="I25" s="19"/>
      <c r="J25" s="20" t="s">
        <v>221</v>
      </c>
      <c r="K25" s="29"/>
      <c r="L25" s="29">
        <v>53.5</v>
      </c>
      <c r="M25" s="29">
        <v>8.75</v>
      </c>
      <c r="N25" s="19">
        <v>37.75</v>
      </c>
      <c r="O25" s="20">
        <f t="shared" si="1"/>
        <v>100</v>
      </c>
      <c r="P25" s="30">
        <f>100*K25/O25</f>
        <v>0</v>
      </c>
      <c r="Q25" s="30">
        <f t="shared" si="24"/>
        <v>53.5</v>
      </c>
      <c r="R25" s="30">
        <f t="shared" si="25"/>
        <v>8.75</v>
      </c>
      <c r="S25" s="21">
        <f t="shared" si="26"/>
        <v>37.75</v>
      </c>
      <c r="U25" s="19" t="s">
        <v>215</v>
      </c>
      <c r="V25" s="29">
        <v>41.3</v>
      </c>
      <c r="W25" s="29">
        <v>3.1</v>
      </c>
      <c r="X25" s="29">
        <v>5.36</v>
      </c>
      <c r="Y25" s="29">
        <v>0.66</v>
      </c>
      <c r="Z25" s="29">
        <v>49.58</v>
      </c>
      <c r="AA25" s="19"/>
      <c r="AB25" s="20">
        <f t="shared" si="2"/>
        <v>100</v>
      </c>
      <c r="AC25" s="30">
        <f t="shared" ref="AC25:AC27" si="27">100*V25/AB25</f>
        <v>41.3</v>
      </c>
      <c r="AD25" s="30">
        <f t="shared" ref="AD25:AD27" si="28">100*W25/AB25</f>
        <v>3.1</v>
      </c>
      <c r="AE25" s="30">
        <f t="shared" ref="AE25:AE27" si="29">100*X25/AB25</f>
        <v>5.36</v>
      </c>
      <c r="AF25" s="30">
        <f t="shared" ref="AF25:AF27" si="30">100*Y25/AB25</f>
        <v>0.66</v>
      </c>
      <c r="AG25" s="30">
        <f t="shared" ref="AG25:AG27" si="31">100*Z25/AB25</f>
        <v>49.58</v>
      </c>
      <c r="AH25" s="21"/>
      <c r="AI25" s="29"/>
      <c r="AL25" s="29"/>
      <c r="AO25" s="36">
        <v>18</v>
      </c>
    </row>
    <row r="26" spans="1:41">
      <c r="A26" s="19">
        <f t="shared" si="0"/>
        <v>25</v>
      </c>
      <c r="B26" s="29" t="s">
        <v>197</v>
      </c>
      <c r="C26" s="29">
        <v>1</v>
      </c>
      <c r="D26" s="29" t="s">
        <v>198</v>
      </c>
      <c r="E26" s="29" t="s">
        <v>199</v>
      </c>
      <c r="F26" s="19"/>
      <c r="G26" s="29"/>
      <c r="H26" s="29"/>
      <c r="I26" s="19"/>
      <c r="K26" s="29"/>
      <c r="L26" s="29"/>
      <c r="M26" s="29"/>
      <c r="N26" s="19"/>
      <c r="P26" s="30"/>
      <c r="Q26" s="30"/>
      <c r="R26" s="30"/>
      <c r="S26" s="21"/>
      <c r="U26" s="19" t="s">
        <v>215</v>
      </c>
      <c r="V26" s="29">
        <v>35.6</v>
      </c>
      <c r="W26" s="29">
        <v>5.2</v>
      </c>
      <c r="X26" s="29">
        <v>2.6</v>
      </c>
      <c r="Y26" s="29">
        <v>0.5</v>
      </c>
      <c r="Z26" s="29">
        <v>55.8</v>
      </c>
      <c r="AA26" s="19">
        <v>0.3</v>
      </c>
      <c r="AB26" s="20">
        <f t="shared" si="2"/>
        <v>100</v>
      </c>
      <c r="AC26" s="30">
        <f t="shared" si="27"/>
        <v>35.6</v>
      </c>
      <c r="AD26" s="30">
        <f t="shared" si="28"/>
        <v>5.2</v>
      </c>
      <c r="AE26" s="30">
        <f t="shared" si="29"/>
        <v>2.6</v>
      </c>
      <c r="AF26" s="30">
        <f t="shared" si="30"/>
        <v>0.5</v>
      </c>
      <c r="AG26" s="30">
        <f t="shared" si="31"/>
        <v>55.8</v>
      </c>
      <c r="AH26" s="21">
        <f>100*AA26/AB26</f>
        <v>0.3</v>
      </c>
      <c r="AI26" s="29"/>
      <c r="AL26" s="29"/>
      <c r="AO26" s="36">
        <v>18</v>
      </c>
    </row>
    <row r="27" spans="1:41">
      <c r="A27" s="19">
        <f t="shared" si="0"/>
        <v>26</v>
      </c>
      <c r="B27" s="29" t="s">
        <v>197</v>
      </c>
      <c r="C27" s="29">
        <v>1</v>
      </c>
      <c r="D27" s="29" t="s">
        <v>198</v>
      </c>
      <c r="E27" s="29" t="s">
        <v>199</v>
      </c>
      <c r="F27" s="19"/>
      <c r="G27" s="29"/>
      <c r="H27" s="29"/>
      <c r="I27" s="19"/>
      <c r="J27" s="20" t="s">
        <v>221</v>
      </c>
      <c r="K27" s="29"/>
      <c r="L27" s="29">
        <v>63.5</v>
      </c>
      <c r="M27" s="29">
        <v>8.75</v>
      </c>
      <c r="N27" s="19">
        <v>27.75</v>
      </c>
      <c r="O27" s="20">
        <f t="shared" si="1"/>
        <v>100</v>
      </c>
      <c r="P27" s="30">
        <f>100*K27/O27</f>
        <v>0</v>
      </c>
      <c r="Q27" s="30">
        <f t="shared" ref="Q27:Q31" si="32">100*L27/O27</f>
        <v>63.5</v>
      </c>
      <c r="R27" s="30">
        <f t="shared" ref="R27:R31" si="33">100*M27/O27</f>
        <v>8.75</v>
      </c>
      <c r="S27" s="21">
        <f t="shared" ref="S27:S31" si="34">100*N27/O27</f>
        <v>27.75</v>
      </c>
      <c r="U27" s="19" t="s">
        <v>215</v>
      </c>
      <c r="V27" s="29">
        <v>34.76</v>
      </c>
      <c r="W27" s="29">
        <v>18.45</v>
      </c>
      <c r="X27" s="29">
        <v>4.51</v>
      </c>
      <c r="Y27" s="29">
        <v>0.55000000000000004</v>
      </c>
      <c r="Z27" s="29">
        <v>41.73</v>
      </c>
      <c r="AA27" s="19"/>
      <c r="AB27" s="20">
        <f t="shared" si="2"/>
        <v>99.999999999999986</v>
      </c>
      <c r="AC27" s="30">
        <f t="shared" si="27"/>
        <v>34.760000000000005</v>
      </c>
      <c r="AD27" s="30">
        <f t="shared" si="28"/>
        <v>18.450000000000003</v>
      </c>
      <c r="AE27" s="30">
        <f t="shared" si="29"/>
        <v>4.5100000000000007</v>
      </c>
      <c r="AF27" s="30">
        <f t="shared" si="30"/>
        <v>0.55000000000000016</v>
      </c>
      <c r="AG27" s="30">
        <f t="shared" si="31"/>
        <v>41.730000000000004</v>
      </c>
      <c r="AH27" s="21"/>
      <c r="AI27" s="29"/>
      <c r="AL27" s="29"/>
      <c r="AO27" s="36">
        <v>18</v>
      </c>
    </row>
    <row r="28" spans="1:41">
      <c r="A28" s="19">
        <f t="shared" si="0"/>
        <v>27</v>
      </c>
      <c r="B28" s="29" t="s">
        <v>197</v>
      </c>
      <c r="C28" s="29">
        <v>1</v>
      </c>
      <c r="D28" s="29" t="s">
        <v>198</v>
      </c>
      <c r="E28" s="29" t="s">
        <v>199</v>
      </c>
      <c r="F28" s="19"/>
      <c r="G28" s="29"/>
      <c r="H28" s="29"/>
      <c r="I28" s="19"/>
      <c r="J28" s="20" t="s">
        <v>221</v>
      </c>
      <c r="K28" s="29"/>
      <c r="L28" s="29">
        <v>70.38</v>
      </c>
      <c r="M28" s="29">
        <v>24.94</v>
      </c>
      <c r="N28" s="19">
        <v>4.68</v>
      </c>
      <c r="O28" s="20">
        <f t="shared" si="1"/>
        <v>100</v>
      </c>
      <c r="P28" s="30">
        <f>100*K28/O28</f>
        <v>0</v>
      </c>
      <c r="Q28" s="30">
        <f t="shared" si="32"/>
        <v>70.38</v>
      </c>
      <c r="R28" s="30">
        <f t="shared" si="33"/>
        <v>24.94</v>
      </c>
      <c r="S28" s="21">
        <f t="shared" si="34"/>
        <v>4.68</v>
      </c>
      <c r="U28" s="19"/>
      <c r="V28" s="29"/>
      <c r="W28" s="29"/>
      <c r="X28" s="29"/>
      <c r="Y28" s="29"/>
      <c r="Z28" s="29"/>
      <c r="AA28" s="19"/>
      <c r="AB28" s="20">
        <f t="shared" si="2"/>
        <v>0</v>
      </c>
      <c r="AC28" s="30"/>
      <c r="AD28" s="30"/>
      <c r="AE28" s="30"/>
      <c r="AF28" s="30"/>
      <c r="AG28" s="30"/>
      <c r="AH28" s="21"/>
      <c r="AI28" s="29"/>
      <c r="AL28" s="29"/>
      <c r="AO28" s="36">
        <v>18</v>
      </c>
    </row>
    <row r="29" spans="1:41">
      <c r="A29" s="19">
        <f t="shared" si="0"/>
        <v>28</v>
      </c>
      <c r="B29" s="29" t="s">
        <v>197</v>
      </c>
      <c r="C29" s="29">
        <v>1</v>
      </c>
      <c r="D29" s="29" t="s">
        <v>198</v>
      </c>
      <c r="E29" s="29" t="s">
        <v>199</v>
      </c>
      <c r="F29" s="19"/>
      <c r="G29" s="29"/>
      <c r="H29" s="29"/>
      <c r="I29" s="19"/>
      <c r="J29" s="20" t="s">
        <v>221</v>
      </c>
      <c r="K29" s="29"/>
      <c r="L29" s="29">
        <v>51.23</v>
      </c>
      <c r="M29" s="29">
        <v>15.53</v>
      </c>
      <c r="N29" s="19">
        <v>33.229999999999997</v>
      </c>
      <c r="O29" s="20">
        <f t="shared" si="1"/>
        <v>99.989999999999981</v>
      </c>
      <c r="P29" s="30">
        <f>100*K29/O29</f>
        <v>0</v>
      </c>
      <c r="Q29" s="30">
        <f t="shared" si="32"/>
        <v>51.235123512351244</v>
      </c>
      <c r="R29" s="30">
        <f t="shared" si="33"/>
        <v>15.531553155315535</v>
      </c>
      <c r="S29" s="21">
        <f t="shared" si="34"/>
        <v>33.233323332333235</v>
      </c>
      <c r="U29" s="19"/>
      <c r="V29" s="29"/>
      <c r="W29" s="29"/>
      <c r="X29" s="29"/>
      <c r="Y29" s="29"/>
      <c r="Z29" s="29"/>
      <c r="AA29" s="19"/>
      <c r="AB29" s="20">
        <f t="shared" si="2"/>
        <v>0</v>
      </c>
      <c r="AC29" s="30"/>
      <c r="AD29" s="30"/>
      <c r="AE29" s="30"/>
      <c r="AF29" s="30"/>
      <c r="AG29" s="30"/>
      <c r="AH29" s="21"/>
      <c r="AI29" s="29"/>
      <c r="AL29" s="29"/>
      <c r="AO29" s="36">
        <v>18</v>
      </c>
    </row>
    <row r="30" spans="1:41">
      <c r="A30" s="19">
        <f t="shared" si="0"/>
        <v>29</v>
      </c>
      <c r="B30" s="29" t="s">
        <v>197</v>
      </c>
      <c r="C30" s="29">
        <v>1</v>
      </c>
      <c r="D30" s="29" t="s">
        <v>198</v>
      </c>
      <c r="E30" s="29" t="s">
        <v>199</v>
      </c>
      <c r="F30" s="19"/>
      <c r="G30" s="29"/>
      <c r="H30" s="29"/>
      <c r="I30" s="19"/>
      <c r="J30" s="20" t="s">
        <v>221</v>
      </c>
      <c r="K30" s="29"/>
      <c r="L30" s="29">
        <v>45.5</v>
      </c>
      <c r="M30" s="29">
        <v>12.5</v>
      </c>
      <c r="N30" s="19">
        <v>42</v>
      </c>
      <c r="O30" s="20">
        <f t="shared" si="1"/>
        <v>100</v>
      </c>
      <c r="P30" s="30">
        <f>100*K30/O30</f>
        <v>0</v>
      </c>
      <c r="Q30" s="30">
        <f t="shared" si="32"/>
        <v>45.5</v>
      </c>
      <c r="R30" s="30">
        <f t="shared" si="33"/>
        <v>12.5</v>
      </c>
      <c r="S30" s="21">
        <f t="shared" si="34"/>
        <v>42</v>
      </c>
      <c r="U30" s="19"/>
      <c r="V30" s="29"/>
      <c r="W30" s="29"/>
      <c r="X30" s="29"/>
      <c r="Y30" s="29"/>
      <c r="Z30" s="29"/>
      <c r="AA30" s="19"/>
      <c r="AB30" s="20">
        <f t="shared" si="2"/>
        <v>0</v>
      </c>
      <c r="AC30" s="30"/>
      <c r="AD30" s="30"/>
      <c r="AE30" s="30"/>
      <c r="AF30" s="30"/>
      <c r="AG30" s="30"/>
      <c r="AH30" s="21"/>
      <c r="AI30" s="29"/>
      <c r="AJ30" s="27">
        <v>10.707000000000001</v>
      </c>
      <c r="AL30" s="29">
        <f>AM30*(Q30+R30+S30)/(Q30+R30)</f>
        <v>18.460344827586209</v>
      </c>
      <c r="AM30" s="27">
        <v>10.707000000000001</v>
      </c>
      <c r="AN30" s="19">
        <f>AM30*(Q30+R30+S30)/(P30+Q30+R30+S30)</f>
        <v>10.707000000000001</v>
      </c>
      <c r="AO30" s="36">
        <v>18</v>
      </c>
    </row>
    <row r="31" spans="1:41">
      <c r="A31" s="19">
        <f t="shared" si="0"/>
        <v>30</v>
      </c>
      <c r="B31" s="29" t="s">
        <v>197</v>
      </c>
      <c r="C31" s="29">
        <v>1</v>
      </c>
      <c r="D31" s="29" t="s">
        <v>198</v>
      </c>
      <c r="E31" s="29" t="s">
        <v>199</v>
      </c>
      <c r="F31" s="19"/>
      <c r="G31" s="29"/>
      <c r="H31" s="29"/>
      <c r="I31" s="19"/>
      <c r="J31" s="20" t="s">
        <v>221</v>
      </c>
      <c r="K31" s="29"/>
      <c r="L31" s="29">
        <v>82.47</v>
      </c>
      <c r="M31" s="29">
        <v>0.04</v>
      </c>
      <c r="N31" s="19">
        <v>17.489999999999998</v>
      </c>
      <c r="O31" s="20">
        <f t="shared" si="1"/>
        <v>100</v>
      </c>
      <c r="P31" s="30">
        <f>100*K31/O31</f>
        <v>0</v>
      </c>
      <c r="Q31" s="30">
        <f t="shared" si="32"/>
        <v>82.47</v>
      </c>
      <c r="R31" s="30">
        <f t="shared" si="33"/>
        <v>0.04</v>
      </c>
      <c r="S31" s="21">
        <f t="shared" si="34"/>
        <v>17.489999999999998</v>
      </c>
      <c r="U31" s="19"/>
      <c r="V31" s="29"/>
      <c r="W31" s="29"/>
      <c r="X31" s="29"/>
      <c r="Y31" s="29"/>
      <c r="Z31" s="29"/>
      <c r="AA31" s="19"/>
      <c r="AB31" s="20">
        <f t="shared" si="2"/>
        <v>0</v>
      </c>
      <c r="AI31" s="29"/>
      <c r="AL31" s="29"/>
      <c r="AO31" s="36">
        <v>18</v>
      </c>
    </row>
    <row r="32" spans="1:41">
      <c r="A32" s="19">
        <f t="shared" si="0"/>
        <v>31</v>
      </c>
      <c r="B32" s="29" t="s">
        <v>197</v>
      </c>
      <c r="C32" s="29">
        <v>1</v>
      </c>
      <c r="D32" s="29" t="s">
        <v>198</v>
      </c>
      <c r="E32" s="29" t="s">
        <v>200</v>
      </c>
      <c r="F32" s="19"/>
      <c r="G32" s="29"/>
      <c r="H32" s="29"/>
      <c r="I32" s="19"/>
      <c r="J32" s="20" t="s">
        <v>1172</v>
      </c>
      <c r="K32" s="29">
        <v>70</v>
      </c>
      <c r="L32" s="29"/>
      <c r="M32" s="29"/>
      <c r="N32" s="19">
        <v>5</v>
      </c>
      <c r="O32" s="20">
        <f t="shared" si="1"/>
        <v>75</v>
      </c>
      <c r="U32" s="19" t="s">
        <v>214</v>
      </c>
      <c r="V32" s="31">
        <v>49</v>
      </c>
      <c r="W32" s="31">
        <v>6.33</v>
      </c>
      <c r="X32" s="31">
        <v>2.4</v>
      </c>
      <c r="Y32" s="31">
        <v>0.23</v>
      </c>
      <c r="Z32" s="31">
        <v>36.409999999999997</v>
      </c>
      <c r="AA32" s="22">
        <v>0.63</v>
      </c>
      <c r="AB32" s="20">
        <f t="shared" si="2"/>
        <v>94.999999999999986</v>
      </c>
      <c r="AC32" s="30">
        <f t="shared" ref="AC32" si="35">100*V32/AB32</f>
        <v>51.578947368421062</v>
      </c>
      <c r="AD32" s="30">
        <f t="shared" ref="AD32" si="36">100*W32/AB32</f>
        <v>6.6631578947368428</v>
      </c>
      <c r="AE32" s="30">
        <f t="shared" ref="AE32" si="37">100*X32/AB32</f>
        <v>2.5263157894736845</v>
      </c>
      <c r="AF32" s="30">
        <f t="shared" ref="AF32" si="38">100*Y32/AB32</f>
        <v>0.24210526315789477</v>
      </c>
      <c r="AG32" s="30">
        <f t="shared" ref="AG32" si="39">100*Z32/AB32</f>
        <v>38.326315789473682</v>
      </c>
      <c r="AH32" s="21">
        <f>100*AA32/AB32</f>
        <v>0.66315789473684217</v>
      </c>
      <c r="AI32" s="31">
        <v>20.7</v>
      </c>
      <c r="AL32" s="31">
        <v>20.7</v>
      </c>
      <c r="AM32" s="27">
        <f>AL32*(100-O32)/(100-K32)</f>
        <v>17.25</v>
      </c>
      <c r="AN32" s="20">
        <f>AL32*(100-O32)/(100)</f>
        <v>5.1749999999999998</v>
      </c>
      <c r="AO32" s="36">
        <v>8</v>
      </c>
    </row>
    <row r="33" spans="1:41">
      <c r="A33" s="19">
        <f t="shared" si="0"/>
        <v>32</v>
      </c>
      <c r="B33" s="29" t="s">
        <v>197</v>
      </c>
      <c r="C33" s="29">
        <v>1</v>
      </c>
      <c r="D33" s="29" t="s">
        <v>198</v>
      </c>
      <c r="E33" s="29" t="s">
        <v>203</v>
      </c>
      <c r="F33" s="19"/>
      <c r="G33" s="29"/>
      <c r="H33" s="29"/>
      <c r="I33" s="19"/>
      <c r="J33" s="20" t="s">
        <v>221</v>
      </c>
      <c r="K33" s="29">
        <v>75.2</v>
      </c>
      <c r="L33" s="29"/>
      <c r="M33" s="29"/>
      <c r="N33" s="19">
        <v>1.1000000000000001</v>
      </c>
      <c r="O33" s="20">
        <f t="shared" ref="O33:O64" si="40">SUM(K33:N33)</f>
        <v>76.3</v>
      </c>
      <c r="U33" s="19" t="s">
        <v>214</v>
      </c>
      <c r="V33" s="31">
        <v>43.1</v>
      </c>
      <c r="W33" s="31">
        <v>7.3</v>
      </c>
      <c r="X33" s="31">
        <v>0.9</v>
      </c>
      <c r="Y33" s="31">
        <v>2.0222446916076844E-2</v>
      </c>
      <c r="Z33" s="31">
        <v>47.5</v>
      </c>
      <c r="AA33" s="19"/>
      <c r="AB33" s="20">
        <f t="shared" ref="AB33:AB64" si="41">SUM(V33:AA33)</f>
        <v>98.820222446916077</v>
      </c>
      <c r="AC33" s="30">
        <f t="shared" ref="AC33:AC34" si="42">100*V33/AB33</f>
        <v>43.614554726541236</v>
      </c>
      <c r="AD33" s="30">
        <f t="shared" ref="AD33:AD34" si="43">100*W33/AB33</f>
        <v>7.3871519606438758</v>
      </c>
      <c r="AE33" s="30">
        <f t="shared" ref="AE33:AE34" si="44">100*X33/AB33</f>
        <v>0.91074476227116274</v>
      </c>
      <c r="AF33" s="30">
        <f t="shared" ref="AF33:AF34" si="45">100*Y33/AB33</f>
        <v>2.0463875121248462E-2</v>
      </c>
      <c r="AG33" s="30">
        <f t="shared" ref="AG33:AG34" si="46">100*Z33/AB33</f>
        <v>48.067084675422478</v>
      </c>
      <c r="AH33" s="21"/>
      <c r="AJ33" s="31">
        <v>16.86</v>
      </c>
      <c r="AM33" s="31">
        <v>16.86</v>
      </c>
      <c r="AO33" s="36">
        <v>30</v>
      </c>
    </row>
    <row r="34" spans="1:41">
      <c r="A34" s="19">
        <f t="shared" si="0"/>
        <v>33</v>
      </c>
      <c r="B34" s="29" t="s">
        <v>197</v>
      </c>
      <c r="C34" s="29">
        <v>1</v>
      </c>
      <c r="D34" s="29" t="s">
        <v>198</v>
      </c>
      <c r="E34" s="29" t="s">
        <v>203</v>
      </c>
      <c r="F34" s="19"/>
      <c r="G34" s="29"/>
      <c r="H34" s="29"/>
      <c r="I34" s="19"/>
      <c r="J34" s="20" t="s">
        <v>455</v>
      </c>
      <c r="K34" s="29">
        <v>8.48</v>
      </c>
      <c r="L34" s="31">
        <v>72.52</v>
      </c>
      <c r="M34" s="31">
        <v>14.49</v>
      </c>
      <c r="N34" s="22">
        <v>4.51</v>
      </c>
      <c r="O34" s="20">
        <f t="shared" si="40"/>
        <v>100</v>
      </c>
      <c r="P34" s="29">
        <v>8.48</v>
      </c>
      <c r="Q34" s="31">
        <v>72.52</v>
      </c>
      <c r="R34" s="31">
        <v>14.49</v>
      </c>
      <c r="S34" s="22">
        <v>4.51</v>
      </c>
      <c r="U34" s="20" t="s">
        <v>455</v>
      </c>
      <c r="V34" s="31">
        <v>45.06</v>
      </c>
      <c r="W34" s="31">
        <v>6.98</v>
      </c>
      <c r="X34" s="31">
        <v>2.9</v>
      </c>
      <c r="Y34" s="31">
        <v>0.27</v>
      </c>
      <c r="Z34" s="31">
        <v>40.28</v>
      </c>
      <c r="AA34" s="19">
        <v>2.7</v>
      </c>
      <c r="AB34" s="20">
        <f t="shared" si="41"/>
        <v>98.190000000000012</v>
      </c>
      <c r="AC34" s="30">
        <f t="shared" si="42"/>
        <v>45.890620226092267</v>
      </c>
      <c r="AD34" s="30">
        <f t="shared" si="43"/>
        <v>7.108666870353396</v>
      </c>
      <c r="AE34" s="30">
        <f t="shared" si="44"/>
        <v>2.9534575822385167</v>
      </c>
      <c r="AF34" s="30">
        <f t="shared" si="45"/>
        <v>0.27497708524289638</v>
      </c>
      <c r="AG34" s="30">
        <f t="shared" si="46"/>
        <v>41.022507383643948</v>
      </c>
      <c r="AH34" s="21">
        <f>100*AA34/AB34</f>
        <v>2.7497708524289641</v>
      </c>
      <c r="AI34" s="31"/>
      <c r="AJ34" s="31">
        <v>20</v>
      </c>
      <c r="AL34" s="29">
        <f>AM34*(Q34+R34+S34)/(Q34+R34)</f>
        <v>21.036662452591656</v>
      </c>
      <c r="AM34" s="31">
        <v>20</v>
      </c>
      <c r="AN34" s="19">
        <f>AM34*(Q34+R34+S34)/(P34+Q34+R34+S34)</f>
        <v>18.303999999999998</v>
      </c>
      <c r="AO34" s="36">
        <v>38</v>
      </c>
    </row>
    <row r="35" spans="1:41">
      <c r="A35" s="19">
        <f t="shared" si="0"/>
        <v>34</v>
      </c>
      <c r="B35" s="29" t="s">
        <v>197</v>
      </c>
      <c r="C35" s="29">
        <v>1</v>
      </c>
      <c r="D35" s="29" t="s">
        <v>198</v>
      </c>
      <c r="E35" s="29" t="s">
        <v>203</v>
      </c>
      <c r="F35" s="19"/>
      <c r="G35" s="29"/>
      <c r="H35" s="29"/>
      <c r="I35" s="19"/>
      <c r="J35" s="20" t="s">
        <v>1172</v>
      </c>
      <c r="K35" s="29">
        <v>81.760000000000005</v>
      </c>
      <c r="L35" s="29"/>
      <c r="M35" s="29"/>
      <c r="N35" s="19">
        <v>4.0599999999999996</v>
      </c>
      <c r="O35" s="20">
        <f t="shared" si="40"/>
        <v>85.820000000000007</v>
      </c>
      <c r="U35" s="19" t="s">
        <v>221</v>
      </c>
      <c r="V35" s="31">
        <v>37.97</v>
      </c>
      <c r="W35" s="31">
        <v>8.41</v>
      </c>
      <c r="X35" s="31">
        <v>1.78</v>
      </c>
      <c r="Y35" s="31">
        <v>0.44</v>
      </c>
      <c r="Z35" s="31">
        <v>47.34</v>
      </c>
      <c r="AA35" s="19"/>
      <c r="AB35" s="20">
        <f t="shared" si="41"/>
        <v>95.94</v>
      </c>
      <c r="AC35" s="30">
        <f t="shared" ref="AC35" si="47">100*V35/AB35</f>
        <v>39.576818845111532</v>
      </c>
      <c r="AD35" s="30">
        <f t="shared" ref="AD35" si="48">100*W35/AB35</f>
        <v>8.7658953512612054</v>
      </c>
      <c r="AE35" s="30">
        <f t="shared" ref="AE35" si="49">100*X35/AB35</f>
        <v>1.855326245570148</v>
      </c>
      <c r="AF35" s="30">
        <f t="shared" ref="AF35" si="50">100*Y35/AB35</f>
        <v>0.45861997081509276</v>
      </c>
      <c r="AG35" s="30">
        <f t="shared" ref="AG35" si="51">100*Z35/AB35</f>
        <v>49.343339587242028</v>
      </c>
      <c r="AH35" s="21"/>
      <c r="AI35" s="29"/>
      <c r="AK35" s="20">
        <v>3.25</v>
      </c>
      <c r="AL35" s="27">
        <f>AN35*100/(100-O35)</f>
        <v>22.919605077574062</v>
      </c>
      <c r="AM35" s="27">
        <f>AN35*(100)/(100-K35)</f>
        <v>17.817982456140356</v>
      </c>
      <c r="AN35" s="20">
        <v>3.25</v>
      </c>
      <c r="AO35" s="36">
        <v>22</v>
      </c>
    </row>
    <row r="36" spans="1:41">
      <c r="A36" s="19">
        <f t="shared" si="0"/>
        <v>35</v>
      </c>
      <c r="B36" s="29" t="s">
        <v>197</v>
      </c>
      <c r="C36" s="29">
        <v>1</v>
      </c>
      <c r="D36" s="29" t="s">
        <v>198</v>
      </c>
      <c r="E36" s="29" t="s">
        <v>199</v>
      </c>
      <c r="F36" s="19"/>
      <c r="G36" s="29"/>
      <c r="H36" s="29"/>
      <c r="I36" s="19"/>
      <c r="J36" s="20" t="s">
        <v>221</v>
      </c>
      <c r="K36" s="29"/>
      <c r="L36" s="29"/>
      <c r="M36" s="29"/>
      <c r="N36" s="19">
        <v>3.8889999999999998</v>
      </c>
      <c r="O36" s="20">
        <f t="shared" si="40"/>
        <v>3.8889999999999998</v>
      </c>
      <c r="U36" s="19" t="s">
        <v>215</v>
      </c>
      <c r="V36" s="29">
        <v>47.58</v>
      </c>
      <c r="W36" s="29">
        <v>6.66</v>
      </c>
      <c r="X36" s="29">
        <v>2.52</v>
      </c>
      <c r="Y36" s="29">
        <v>1.05</v>
      </c>
      <c r="Z36" s="29">
        <v>43.98</v>
      </c>
      <c r="AA36" s="19"/>
      <c r="AB36" s="20">
        <f t="shared" si="41"/>
        <v>101.78999999999999</v>
      </c>
      <c r="AC36" s="30">
        <f>100*V36/AB36</f>
        <v>46.743295019157095</v>
      </c>
      <c r="AD36" s="30">
        <f>100*W36/AB36</f>
        <v>6.5428824049513707</v>
      </c>
      <c r="AE36" s="30">
        <f>100*X36/AB36</f>
        <v>2.4756852343059244</v>
      </c>
      <c r="AF36" s="30">
        <f>100*Y36/AB36</f>
        <v>1.0315355142941351</v>
      </c>
      <c r="AG36" s="30">
        <f>100*Z36/AB36</f>
        <v>43.206601827291486</v>
      </c>
      <c r="AH36" s="21"/>
      <c r="AI36" s="29">
        <v>18.21</v>
      </c>
      <c r="AL36" s="29">
        <v>18.21</v>
      </c>
      <c r="AO36" s="36">
        <v>25</v>
      </c>
    </row>
    <row r="37" spans="1:41">
      <c r="A37" s="19">
        <f t="shared" si="0"/>
        <v>36</v>
      </c>
      <c r="B37" s="29" t="s">
        <v>197</v>
      </c>
      <c r="C37" s="29">
        <v>1</v>
      </c>
      <c r="D37" s="29" t="s">
        <v>198</v>
      </c>
      <c r="E37" s="29" t="s">
        <v>200</v>
      </c>
      <c r="F37" s="19"/>
      <c r="G37" s="29"/>
      <c r="H37" s="29"/>
      <c r="I37" s="19"/>
      <c r="J37" s="20" t="s">
        <v>221</v>
      </c>
      <c r="K37" s="29"/>
      <c r="L37" s="29"/>
      <c r="M37" s="29"/>
      <c r="N37" s="19">
        <v>10.8</v>
      </c>
      <c r="O37" s="20">
        <f t="shared" si="40"/>
        <v>10.8</v>
      </c>
      <c r="U37" s="19" t="s">
        <v>214</v>
      </c>
      <c r="V37" s="31">
        <v>37.74</v>
      </c>
      <c r="W37" s="31">
        <v>6.79</v>
      </c>
      <c r="X37" s="31">
        <v>2.73</v>
      </c>
      <c r="Y37" s="31">
        <v>0.53</v>
      </c>
      <c r="Z37" s="31">
        <v>41.41</v>
      </c>
      <c r="AA37" s="19"/>
      <c r="AB37" s="20">
        <f t="shared" si="41"/>
        <v>89.199999999999989</v>
      </c>
      <c r="AC37" s="30">
        <f>100*V37/AB37</f>
        <v>42.309417040358753</v>
      </c>
      <c r="AD37" s="30">
        <f>100*W37/AB37</f>
        <v>7.6121076233183862</v>
      </c>
      <c r="AE37" s="30">
        <f>100*X37/AB37</f>
        <v>3.0605381165919288</v>
      </c>
      <c r="AF37" s="30">
        <f>100*Y37/AB37</f>
        <v>0.594170403587444</v>
      </c>
      <c r="AG37" s="30">
        <f>100*Z37/AB37</f>
        <v>46.423766816143505</v>
      </c>
      <c r="AH37" s="21"/>
      <c r="AJ37" s="29">
        <v>14.757</v>
      </c>
      <c r="AM37" s="29">
        <v>14.757</v>
      </c>
      <c r="AN37" s="19"/>
      <c r="AO37" s="36">
        <v>24</v>
      </c>
    </row>
    <row r="38" spans="1:41">
      <c r="A38" s="19">
        <f t="shared" si="0"/>
        <v>37</v>
      </c>
      <c r="B38" s="29" t="s">
        <v>197</v>
      </c>
      <c r="C38" s="29">
        <v>1</v>
      </c>
      <c r="D38" s="29" t="s">
        <v>198</v>
      </c>
      <c r="E38" s="29" t="s">
        <v>203</v>
      </c>
      <c r="F38" s="19"/>
      <c r="G38" s="29"/>
      <c r="H38" s="29"/>
      <c r="I38" s="19"/>
      <c r="K38" s="29"/>
      <c r="L38" s="29"/>
      <c r="M38" s="29"/>
      <c r="N38" s="19"/>
      <c r="U38" s="19" t="s">
        <v>215</v>
      </c>
      <c r="V38" s="29">
        <v>44.8</v>
      </c>
      <c r="W38" s="29">
        <v>6.4</v>
      </c>
      <c r="X38" s="29">
        <v>2.8</v>
      </c>
      <c r="Y38" s="29">
        <v>0.2</v>
      </c>
      <c r="Z38" s="29">
        <v>45.8</v>
      </c>
      <c r="AA38" s="19"/>
      <c r="AB38" s="20">
        <f t="shared" si="41"/>
        <v>100</v>
      </c>
      <c r="AC38" s="30">
        <f t="shared" ref="AC38:AC47" si="52">100*V38/AB38</f>
        <v>44.8</v>
      </c>
      <c r="AD38" s="30">
        <f t="shared" ref="AD38:AD47" si="53">100*W38/AB38</f>
        <v>6.4</v>
      </c>
      <c r="AE38" s="30">
        <f t="shared" ref="AE38:AE47" si="54">100*X38/AB38</f>
        <v>2.8</v>
      </c>
      <c r="AF38" s="30">
        <f t="shared" ref="AF38:AF47" si="55">100*Y38/AB38</f>
        <v>0.2</v>
      </c>
      <c r="AG38" s="30">
        <f t="shared" ref="AG38:AG47" si="56">100*Z38/AB38</f>
        <v>45.8</v>
      </c>
      <c r="AH38" s="21"/>
      <c r="AI38" s="29">
        <v>7.6</v>
      </c>
      <c r="AL38" s="29">
        <v>7.6</v>
      </c>
      <c r="AO38" s="36">
        <v>29</v>
      </c>
    </row>
    <row r="39" spans="1:41">
      <c r="A39" s="19">
        <f t="shared" si="0"/>
        <v>38</v>
      </c>
      <c r="B39" s="29" t="s">
        <v>197</v>
      </c>
      <c r="C39" s="29">
        <v>1</v>
      </c>
      <c r="D39" s="29" t="s">
        <v>198</v>
      </c>
      <c r="E39" s="29" t="s">
        <v>203</v>
      </c>
      <c r="F39" s="19"/>
      <c r="G39" s="29"/>
      <c r="H39" s="29"/>
      <c r="I39" s="19"/>
      <c r="K39" s="29"/>
      <c r="L39" s="29"/>
      <c r="M39" s="29"/>
      <c r="N39" s="19"/>
      <c r="U39" s="19" t="s">
        <v>215</v>
      </c>
      <c r="V39" s="29">
        <v>47.2</v>
      </c>
      <c r="W39" s="29">
        <v>7</v>
      </c>
      <c r="X39" s="29">
        <v>3.9</v>
      </c>
      <c r="Y39" s="29">
        <v>0.5</v>
      </c>
      <c r="Z39" s="29">
        <v>41.4</v>
      </c>
      <c r="AA39" s="19"/>
      <c r="AB39" s="20">
        <f t="shared" si="41"/>
        <v>100</v>
      </c>
      <c r="AC39" s="30">
        <f t="shared" si="52"/>
        <v>47.2</v>
      </c>
      <c r="AD39" s="30">
        <f t="shared" si="53"/>
        <v>7</v>
      </c>
      <c r="AE39" s="30">
        <f t="shared" si="54"/>
        <v>3.9</v>
      </c>
      <c r="AF39" s="30">
        <f t="shared" si="55"/>
        <v>0.5</v>
      </c>
      <c r="AG39" s="30">
        <f t="shared" si="56"/>
        <v>41.4</v>
      </c>
      <c r="AH39" s="21"/>
      <c r="AI39" s="29">
        <v>15.4</v>
      </c>
      <c r="AL39" s="29">
        <v>15.4</v>
      </c>
      <c r="AO39" s="36">
        <v>29</v>
      </c>
    </row>
    <row r="40" spans="1:41">
      <c r="A40" s="19">
        <f t="shared" si="0"/>
        <v>39</v>
      </c>
      <c r="B40" s="29" t="s">
        <v>197</v>
      </c>
      <c r="C40" s="29">
        <v>1</v>
      </c>
      <c r="D40" s="29" t="s">
        <v>198</v>
      </c>
      <c r="E40" s="29" t="s">
        <v>200</v>
      </c>
      <c r="F40" s="19"/>
      <c r="G40" s="29"/>
      <c r="H40" s="29"/>
      <c r="I40" s="19"/>
      <c r="K40" s="29"/>
      <c r="L40" s="29"/>
      <c r="M40" s="29"/>
      <c r="N40" s="19"/>
      <c r="U40" s="19" t="s">
        <v>214</v>
      </c>
      <c r="V40" s="29">
        <v>11.4</v>
      </c>
      <c r="W40" s="29">
        <v>1.5</v>
      </c>
      <c r="X40" s="29">
        <v>0.8</v>
      </c>
      <c r="Y40" s="29">
        <v>0.2</v>
      </c>
      <c r="Z40" s="29">
        <v>86.1</v>
      </c>
      <c r="AA40" s="19"/>
      <c r="AB40" s="20">
        <f t="shared" si="41"/>
        <v>100</v>
      </c>
      <c r="AC40" s="30">
        <f t="shared" si="52"/>
        <v>11.4</v>
      </c>
      <c r="AD40" s="30">
        <f t="shared" si="53"/>
        <v>1.5</v>
      </c>
      <c r="AE40" s="30">
        <f t="shared" si="54"/>
        <v>0.8</v>
      </c>
      <c r="AF40" s="30">
        <f t="shared" si="55"/>
        <v>0.2</v>
      </c>
      <c r="AG40" s="30">
        <f t="shared" si="56"/>
        <v>86.1</v>
      </c>
      <c r="AH40" s="21"/>
      <c r="AI40" s="29">
        <v>4.9000000000000004</v>
      </c>
      <c r="AL40" s="29">
        <v>4.9000000000000004</v>
      </c>
      <c r="AO40" s="36">
        <v>29</v>
      </c>
    </row>
    <row r="41" spans="1:41">
      <c r="A41" s="19">
        <f t="shared" si="0"/>
        <v>40</v>
      </c>
      <c r="B41" s="29" t="s">
        <v>197</v>
      </c>
      <c r="C41" s="29">
        <v>1</v>
      </c>
      <c r="D41" s="29" t="s">
        <v>198</v>
      </c>
      <c r="E41" s="29" t="s">
        <v>200</v>
      </c>
      <c r="F41" s="19"/>
      <c r="G41" s="29"/>
      <c r="H41" s="29"/>
      <c r="I41" s="19"/>
      <c r="K41" s="29"/>
      <c r="L41" s="29"/>
      <c r="M41" s="29"/>
      <c r="N41" s="19"/>
      <c r="U41" s="19" t="s">
        <v>214</v>
      </c>
      <c r="V41" s="29">
        <v>34.700000000000003</v>
      </c>
      <c r="W41" s="29">
        <v>3.9</v>
      </c>
      <c r="X41" s="29">
        <v>0.8</v>
      </c>
      <c r="Y41" s="29">
        <v>0.2</v>
      </c>
      <c r="Z41" s="29">
        <v>60.5</v>
      </c>
      <c r="AA41" s="19"/>
      <c r="AB41" s="20">
        <f t="shared" si="41"/>
        <v>100.1</v>
      </c>
      <c r="AC41" s="30">
        <f t="shared" si="52"/>
        <v>34.665334665334669</v>
      </c>
      <c r="AD41" s="30">
        <f t="shared" si="53"/>
        <v>3.8961038961038965</v>
      </c>
      <c r="AE41" s="30">
        <f t="shared" si="54"/>
        <v>0.79920079920079923</v>
      </c>
      <c r="AF41" s="30">
        <f t="shared" si="55"/>
        <v>0.19980019980019981</v>
      </c>
      <c r="AG41" s="30">
        <f t="shared" si="56"/>
        <v>60.439560439560445</v>
      </c>
      <c r="AH41" s="21"/>
      <c r="AI41" s="29">
        <v>13.8</v>
      </c>
      <c r="AL41" s="29">
        <v>13.8</v>
      </c>
      <c r="AO41" s="36">
        <v>29</v>
      </c>
    </row>
    <row r="42" spans="1:41">
      <c r="A42" s="19">
        <f t="shared" si="0"/>
        <v>41</v>
      </c>
      <c r="B42" s="29" t="s">
        <v>197</v>
      </c>
      <c r="C42" s="29">
        <v>1</v>
      </c>
      <c r="D42" s="29" t="s">
        <v>198</v>
      </c>
      <c r="E42" s="29" t="s">
        <v>200</v>
      </c>
      <c r="F42" s="19"/>
      <c r="G42" s="29"/>
      <c r="H42" s="29"/>
      <c r="I42" s="19"/>
      <c r="K42" s="29"/>
      <c r="L42" s="29"/>
      <c r="M42" s="29"/>
      <c r="N42" s="19"/>
      <c r="U42" s="19" t="s">
        <v>214</v>
      </c>
      <c r="V42" s="29">
        <v>33.9</v>
      </c>
      <c r="W42" s="29">
        <v>4.7</v>
      </c>
      <c r="X42" s="29">
        <v>0.8</v>
      </c>
      <c r="Y42" s="29">
        <v>0.2</v>
      </c>
      <c r="Z42" s="29">
        <v>60.5</v>
      </c>
      <c r="AA42" s="19"/>
      <c r="AB42" s="20">
        <f t="shared" si="41"/>
        <v>100.1</v>
      </c>
      <c r="AC42" s="30">
        <f t="shared" si="52"/>
        <v>33.866133866133865</v>
      </c>
      <c r="AD42" s="30">
        <f t="shared" si="53"/>
        <v>4.6953046953046957</v>
      </c>
      <c r="AE42" s="30">
        <f t="shared" si="54"/>
        <v>0.79920079920079923</v>
      </c>
      <c r="AF42" s="30">
        <f t="shared" si="55"/>
        <v>0.19980019980019981</v>
      </c>
      <c r="AG42" s="30">
        <f t="shared" si="56"/>
        <v>60.439560439560445</v>
      </c>
      <c r="AH42" s="21"/>
      <c r="AI42" s="29">
        <v>14</v>
      </c>
      <c r="AL42" s="29">
        <v>14</v>
      </c>
      <c r="AO42" s="36">
        <v>29</v>
      </c>
    </row>
    <row r="43" spans="1:41">
      <c r="A43" s="19">
        <f t="shared" si="0"/>
        <v>42</v>
      </c>
      <c r="B43" s="29" t="s">
        <v>197</v>
      </c>
      <c r="C43" s="29">
        <v>1</v>
      </c>
      <c r="D43" s="29" t="s">
        <v>198</v>
      </c>
      <c r="E43" s="29" t="s">
        <v>200</v>
      </c>
      <c r="F43" s="19"/>
      <c r="G43" s="29"/>
      <c r="H43" s="29"/>
      <c r="I43" s="19"/>
      <c r="K43" s="29"/>
      <c r="L43" s="29"/>
      <c r="M43" s="29"/>
      <c r="N43" s="19"/>
      <c r="U43" s="19" t="s">
        <v>214</v>
      </c>
      <c r="V43" s="29">
        <v>50.5</v>
      </c>
      <c r="W43" s="29">
        <v>4.7</v>
      </c>
      <c r="X43" s="29">
        <v>0.8</v>
      </c>
      <c r="Y43" s="29">
        <v>0.2</v>
      </c>
      <c r="Z43" s="29">
        <v>43.9</v>
      </c>
      <c r="AA43" s="19"/>
      <c r="AB43" s="20">
        <f t="shared" si="41"/>
        <v>100.1</v>
      </c>
      <c r="AC43" s="30">
        <f t="shared" si="52"/>
        <v>50.449550449550451</v>
      </c>
      <c r="AD43" s="30">
        <f t="shared" si="53"/>
        <v>4.6953046953046957</v>
      </c>
      <c r="AE43" s="30">
        <f t="shared" si="54"/>
        <v>0.79920079920079923</v>
      </c>
      <c r="AF43" s="30">
        <f t="shared" si="55"/>
        <v>0.19980019980019981</v>
      </c>
      <c r="AG43" s="30">
        <f t="shared" si="56"/>
        <v>43.856143856143859</v>
      </c>
      <c r="AH43" s="21"/>
      <c r="AI43" s="29">
        <v>19.899999999999999</v>
      </c>
      <c r="AL43" s="29">
        <v>19.899999999999999</v>
      </c>
      <c r="AO43" s="36">
        <v>29</v>
      </c>
    </row>
    <row r="44" spans="1:41">
      <c r="A44" s="19">
        <f t="shared" si="0"/>
        <v>43</v>
      </c>
      <c r="B44" s="29" t="s">
        <v>197</v>
      </c>
      <c r="C44" s="29">
        <v>1</v>
      </c>
      <c r="D44" s="29" t="s">
        <v>198</v>
      </c>
      <c r="E44" s="29" t="s">
        <v>1450</v>
      </c>
      <c r="F44" s="19"/>
      <c r="G44" s="29"/>
      <c r="H44" s="29"/>
      <c r="I44" s="19"/>
      <c r="K44" s="29"/>
      <c r="L44" s="29"/>
      <c r="M44" s="29"/>
      <c r="N44" s="19"/>
      <c r="U44" s="19" t="s">
        <v>214</v>
      </c>
      <c r="V44" s="29">
        <v>3.5</v>
      </c>
      <c r="W44" s="29">
        <v>0.1</v>
      </c>
      <c r="X44" s="29">
        <v>0.2</v>
      </c>
      <c r="Y44" s="29">
        <v>0.2</v>
      </c>
      <c r="Z44" s="29">
        <v>96</v>
      </c>
      <c r="AA44" s="19"/>
      <c r="AB44" s="20">
        <f t="shared" si="41"/>
        <v>100</v>
      </c>
      <c r="AC44" s="30">
        <f>100*V44/AB44</f>
        <v>3.5</v>
      </c>
      <c r="AD44" s="30">
        <f t="shared" si="53"/>
        <v>0.1</v>
      </c>
      <c r="AE44" s="30">
        <f t="shared" si="54"/>
        <v>0.2</v>
      </c>
      <c r="AF44" s="30">
        <f t="shared" si="55"/>
        <v>0.2</v>
      </c>
      <c r="AG44" s="30">
        <f t="shared" si="56"/>
        <v>96</v>
      </c>
      <c r="AH44" s="21"/>
      <c r="AI44" s="29">
        <v>1.3</v>
      </c>
      <c r="AL44" s="29">
        <v>1.3</v>
      </c>
      <c r="AO44" s="36">
        <v>29</v>
      </c>
    </row>
    <row r="45" spans="1:41">
      <c r="A45" s="19">
        <f t="shared" si="0"/>
        <v>44</v>
      </c>
      <c r="B45" s="29" t="s">
        <v>197</v>
      </c>
      <c r="C45" s="29">
        <v>1</v>
      </c>
      <c r="D45" s="29" t="s">
        <v>198</v>
      </c>
      <c r="E45" s="29" t="s">
        <v>200</v>
      </c>
      <c r="F45" s="19"/>
      <c r="G45" s="29"/>
      <c r="H45" s="29"/>
      <c r="I45" s="19"/>
      <c r="K45" s="29"/>
      <c r="L45" s="29"/>
      <c r="M45" s="29"/>
      <c r="N45" s="19"/>
      <c r="U45" s="19" t="s">
        <v>214</v>
      </c>
      <c r="V45" s="29">
        <v>34.6</v>
      </c>
      <c r="W45" s="29">
        <v>4.3</v>
      </c>
      <c r="X45" s="29">
        <v>1.1000000000000001</v>
      </c>
      <c r="Y45" s="29">
        <v>0.4</v>
      </c>
      <c r="Z45" s="29">
        <v>59.7</v>
      </c>
      <c r="AA45" s="19"/>
      <c r="AB45" s="20">
        <f t="shared" si="41"/>
        <v>100.1</v>
      </c>
      <c r="AC45" s="30">
        <f>100*V45/AB45</f>
        <v>34.565434565434565</v>
      </c>
      <c r="AD45" s="30">
        <f t="shared" si="53"/>
        <v>4.2957042957042963</v>
      </c>
      <c r="AE45" s="30">
        <f t="shared" si="54"/>
        <v>1.0989010989010992</v>
      </c>
      <c r="AF45" s="31">
        <v>1.0960868674451956</v>
      </c>
      <c r="AG45" s="30">
        <f t="shared" si="56"/>
        <v>59.640359640359641</v>
      </c>
      <c r="AH45" s="21"/>
      <c r="AI45" s="29">
        <v>16.5</v>
      </c>
      <c r="AL45" s="29">
        <v>16.5</v>
      </c>
      <c r="AO45" s="36">
        <v>29</v>
      </c>
    </row>
    <row r="46" spans="1:41">
      <c r="A46" s="19">
        <f t="shared" si="0"/>
        <v>45</v>
      </c>
      <c r="B46" s="29" t="s">
        <v>197</v>
      </c>
      <c r="C46" s="29">
        <v>1</v>
      </c>
      <c r="D46" s="29" t="s">
        <v>198</v>
      </c>
      <c r="E46" s="29" t="s">
        <v>200</v>
      </c>
      <c r="F46" s="19"/>
      <c r="G46" s="29"/>
      <c r="H46" s="29"/>
      <c r="I46" s="19"/>
      <c r="K46" s="29"/>
      <c r="L46" s="29"/>
      <c r="M46" s="29"/>
      <c r="N46" s="19"/>
      <c r="U46" s="19" t="s">
        <v>214</v>
      </c>
      <c r="V46" s="29">
        <v>46.2</v>
      </c>
      <c r="W46" s="29">
        <v>6.1</v>
      </c>
      <c r="X46" s="29">
        <v>1.9</v>
      </c>
      <c r="Y46" s="29">
        <v>0.4</v>
      </c>
      <c r="Z46" s="29">
        <v>45.4</v>
      </c>
      <c r="AA46" s="19"/>
      <c r="AB46" s="20">
        <f t="shared" si="41"/>
        <v>100</v>
      </c>
      <c r="AC46" s="30">
        <f t="shared" si="52"/>
        <v>46.2</v>
      </c>
      <c r="AD46" s="30">
        <f t="shared" si="53"/>
        <v>6.1</v>
      </c>
      <c r="AE46" s="30">
        <f t="shared" si="54"/>
        <v>1.9</v>
      </c>
      <c r="AF46" s="30">
        <f t="shared" si="55"/>
        <v>0.4</v>
      </c>
      <c r="AG46" s="30">
        <f t="shared" si="56"/>
        <v>45.4</v>
      </c>
      <c r="AH46" s="21"/>
      <c r="AI46" s="29">
        <v>20.2</v>
      </c>
      <c r="AL46" s="29">
        <v>20.2</v>
      </c>
      <c r="AO46" s="36">
        <v>29</v>
      </c>
    </row>
    <row r="47" spans="1:41">
      <c r="A47" s="19">
        <f t="shared" si="0"/>
        <v>46</v>
      </c>
      <c r="B47" s="29" t="s">
        <v>197</v>
      </c>
      <c r="C47" s="29">
        <v>1</v>
      </c>
      <c r="D47" s="29" t="s">
        <v>198</v>
      </c>
      <c r="E47" s="29" t="s">
        <v>200</v>
      </c>
      <c r="F47" s="19"/>
      <c r="G47" s="29"/>
      <c r="H47" s="29"/>
      <c r="I47" s="19"/>
      <c r="K47" s="29"/>
      <c r="L47" s="29"/>
      <c r="M47" s="29"/>
      <c r="N47" s="19"/>
      <c r="U47" s="19" t="s">
        <v>214</v>
      </c>
      <c r="V47" s="29">
        <v>44.2</v>
      </c>
      <c r="W47" s="29">
        <v>5.3</v>
      </c>
      <c r="X47" s="29">
        <v>1.8</v>
      </c>
      <c r="Y47" s="29">
        <v>0.8</v>
      </c>
      <c r="Z47" s="29">
        <v>47.9</v>
      </c>
      <c r="AA47" s="19"/>
      <c r="AB47" s="20">
        <f t="shared" si="41"/>
        <v>100</v>
      </c>
      <c r="AC47" s="30">
        <f t="shared" si="52"/>
        <v>44.2</v>
      </c>
      <c r="AD47" s="30">
        <f t="shared" si="53"/>
        <v>5.3</v>
      </c>
      <c r="AE47" s="30">
        <f t="shared" si="54"/>
        <v>1.8</v>
      </c>
      <c r="AF47" s="30">
        <f t="shared" si="55"/>
        <v>0.8</v>
      </c>
      <c r="AG47" s="30">
        <f t="shared" si="56"/>
        <v>47.9</v>
      </c>
      <c r="AH47" s="21"/>
      <c r="AI47" s="29">
        <v>17.3</v>
      </c>
      <c r="AL47" s="29">
        <v>17.3</v>
      </c>
      <c r="AO47" s="36">
        <v>29</v>
      </c>
    </row>
    <row r="48" spans="1:41">
      <c r="A48" s="19">
        <f t="shared" si="0"/>
        <v>47</v>
      </c>
      <c r="B48" s="29" t="s">
        <v>197</v>
      </c>
      <c r="C48" s="29">
        <v>1</v>
      </c>
      <c r="D48" s="29" t="s">
        <v>198</v>
      </c>
      <c r="E48" s="29" t="s">
        <v>206</v>
      </c>
      <c r="F48" s="19"/>
      <c r="G48" s="29"/>
      <c r="H48" s="29"/>
      <c r="I48" s="19"/>
      <c r="K48" s="29"/>
      <c r="L48" s="29"/>
      <c r="M48" s="29"/>
      <c r="N48" s="19"/>
      <c r="U48" s="19" t="s">
        <v>214</v>
      </c>
      <c r="V48" s="29">
        <v>49.1</v>
      </c>
      <c r="W48" s="29">
        <v>6.6</v>
      </c>
      <c r="X48" s="29">
        <v>1.7</v>
      </c>
      <c r="Y48" s="29">
        <v>0.2</v>
      </c>
      <c r="Z48" s="29">
        <v>42.4</v>
      </c>
      <c r="AA48" s="19"/>
      <c r="AB48" s="20">
        <f t="shared" si="41"/>
        <v>100</v>
      </c>
      <c r="AC48" s="31">
        <v>49.1</v>
      </c>
      <c r="AD48" s="31">
        <v>6.6</v>
      </c>
      <c r="AE48" s="31">
        <v>1.7</v>
      </c>
      <c r="AF48" s="31">
        <v>0.2</v>
      </c>
      <c r="AG48" s="31">
        <v>42.4</v>
      </c>
      <c r="AH48" s="21"/>
      <c r="AI48" s="29">
        <v>4.2</v>
      </c>
      <c r="AL48" s="29">
        <v>4.2</v>
      </c>
      <c r="AO48" s="36">
        <v>29</v>
      </c>
    </row>
    <row r="49" spans="1:41">
      <c r="A49" s="19">
        <f t="shared" si="0"/>
        <v>48</v>
      </c>
      <c r="B49" s="29" t="s">
        <v>197</v>
      </c>
      <c r="C49" s="29">
        <v>1</v>
      </c>
      <c r="D49" s="29" t="s">
        <v>198</v>
      </c>
      <c r="E49" s="29" t="s">
        <v>207</v>
      </c>
      <c r="F49" s="19"/>
      <c r="G49" s="29"/>
      <c r="H49" s="29"/>
      <c r="I49" s="19"/>
      <c r="K49" s="29"/>
      <c r="L49" s="29"/>
      <c r="M49" s="29"/>
      <c r="N49" s="19"/>
      <c r="U49" s="19" t="s">
        <v>214</v>
      </c>
      <c r="V49" s="29">
        <v>48</v>
      </c>
      <c r="W49" s="29">
        <v>6.3</v>
      </c>
      <c r="X49" s="29">
        <v>2.8</v>
      </c>
      <c r="Y49" s="29">
        <v>0.2</v>
      </c>
      <c r="Z49" s="29">
        <v>42.7</v>
      </c>
      <c r="AA49" s="19"/>
      <c r="AB49" s="20">
        <f t="shared" si="41"/>
        <v>100</v>
      </c>
      <c r="AC49" s="31">
        <v>48</v>
      </c>
      <c r="AD49" s="31">
        <v>6.3</v>
      </c>
      <c r="AE49" s="31">
        <v>2.8</v>
      </c>
      <c r="AF49" s="31">
        <v>0.2</v>
      </c>
      <c r="AG49" s="31">
        <v>42.7</v>
      </c>
      <c r="AH49" s="21"/>
      <c r="AI49" s="29">
        <v>19.8</v>
      </c>
      <c r="AL49" s="29">
        <v>19.8</v>
      </c>
      <c r="AO49" s="36">
        <v>29</v>
      </c>
    </row>
    <row r="50" spans="1:41">
      <c r="A50" s="19">
        <f t="shared" si="0"/>
        <v>49</v>
      </c>
      <c r="B50" s="29" t="s">
        <v>197</v>
      </c>
      <c r="C50" s="29">
        <v>1</v>
      </c>
      <c r="D50" s="29" t="s">
        <v>198</v>
      </c>
      <c r="E50" s="29" t="s">
        <v>208</v>
      </c>
      <c r="F50" s="19"/>
      <c r="G50" s="29"/>
      <c r="H50" s="29"/>
      <c r="I50" s="19"/>
      <c r="K50" s="29"/>
      <c r="L50" s="29"/>
      <c r="M50" s="29"/>
      <c r="N50" s="19"/>
      <c r="U50" s="19" t="s">
        <v>214</v>
      </c>
      <c r="V50" s="29">
        <v>48.6</v>
      </c>
      <c r="W50" s="29">
        <v>5.5</v>
      </c>
      <c r="X50" s="29">
        <v>0.5</v>
      </c>
      <c r="Y50" s="29">
        <v>0</v>
      </c>
      <c r="Z50" s="29">
        <v>45.4</v>
      </c>
      <c r="AA50" s="19"/>
      <c r="AB50" s="20">
        <f t="shared" si="41"/>
        <v>100</v>
      </c>
      <c r="AC50" s="31">
        <v>48.6</v>
      </c>
      <c r="AD50" s="31">
        <v>5.5</v>
      </c>
      <c r="AE50" s="31">
        <v>0.5</v>
      </c>
      <c r="AF50" s="31">
        <v>0</v>
      </c>
      <c r="AG50" s="31">
        <v>45.4</v>
      </c>
      <c r="AH50" s="21"/>
      <c r="AI50" s="29">
        <v>17.100000000000001</v>
      </c>
      <c r="AL50" s="29">
        <v>17.100000000000001</v>
      </c>
      <c r="AO50" s="36">
        <v>29</v>
      </c>
    </row>
    <row r="51" spans="1:41">
      <c r="A51" s="19">
        <f t="shared" si="0"/>
        <v>50</v>
      </c>
      <c r="B51" s="29" t="s">
        <v>197</v>
      </c>
      <c r="C51" s="29">
        <v>1</v>
      </c>
      <c r="D51" s="29" t="s">
        <v>198</v>
      </c>
      <c r="E51" s="29" t="s">
        <v>199</v>
      </c>
      <c r="F51" s="19"/>
      <c r="G51" s="29"/>
      <c r="H51" s="29"/>
      <c r="I51" s="19"/>
      <c r="J51" s="20" t="s">
        <v>454</v>
      </c>
      <c r="K51" s="29">
        <v>4.92</v>
      </c>
      <c r="L51" s="31">
        <v>64.680000000000007</v>
      </c>
      <c r="M51" s="31">
        <v>14.31</v>
      </c>
      <c r="N51" s="22">
        <v>16.09</v>
      </c>
      <c r="O51" s="20">
        <f t="shared" si="40"/>
        <v>100.00000000000001</v>
      </c>
      <c r="P51" s="29">
        <v>4.92</v>
      </c>
      <c r="Q51" s="31">
        <v>64.680000000000007</v>
      </c>
      <c r="R51" s="31">
        <v>14.31</v>
      </c>
      <c r="S51" s="22">
        <v>16.09</v>
      </c>
      <c r="U51" s="19" t="s">
        <v>215</v>
      </c>
      <c r="V51" s="31">
        <v>39.57</v>
      </c>
      <c r="W51" s="31">
        <v>4.01</v>
      </c>
      <c r="X51" s="31">
        <v>5.2</v>
      </c>
      <c r="Y51" s="31">
        <v>0.87</v>
      </c>
      <c r="Z51" s="31">
        <v>29.34</v>
      </c>
      <c r="AA51" s="19"/>
      <c r="AB51" s="20">
        <f t="shared" si="41"/>
        <v>78.989999999999995</v>
      </c>
      <c r="AC51" s="30">
        <f t="shared" ref="AC51" si="57">100*V51/AB51</f>
        <v>50.094948727687054</v>
      </c>
      <c r="AD51" s="30">
        <f t="shared" ref="AD51" si="58">100*W51/AB51</f>
        <v>5.0765919736675533</v>
      </c>
      <c r="AE51" s="30">
        <f>100*X51/AB51</f>
        <v>6.5831117863020641</v>
      </c>
      <c r="AF51" s="30">
        <f t="shared" ref="AF51" si="59">100*Y51/AB51</f>
        <v>1.1014052411697683</v>
      </c>
      <c r="AG51" s="30">
        <f t="shared" ref="AG51" si="60">100*Z51/AB51</f>
        <v>37.143942271173572</v>
      </c>
      <c r="AH51" s="21"/>
      <c r="AJ51" s="31">
        <v>15.638</v>
      </c>
      <c r="AL51" s="29">
        <f>AM51*(Q51+R51+S51)/(Q51+R51)</f>
        <v>18.823408532725662</v>
      </c>
      <c r="AM51" s="31">
        <v>15.638</v>
      </c>
      <c r="AN51" s="19">
        <f>AM51*(Q51+R51+S51)/(P51+Q51+R51+S51)</f>
        <v>14.8686104</v>
      </c>
      <c r="AO51" s="36">
        <v>10</v>
      </c>
    </row>
    <row r="52" spans="1:41">
      <c r="A52" s="19">
        <f t="shared" si="0"/>
        <v>51</v>
      </c>
      <c r="B52" s="29" t="s">
        <v>197</v>
      </c>
      <c r="C52" s="29">
        <v>1</v>
      </c>
      <c r="D52" s="29" t="s">
        <v>198</v>
      </c>
      <c r="E52" s="29" t="s">
        <v>203</v>
      </c>
      <c r="F52" s="19"/>
      <c r="G52" s="29"/>
      <c r="H52" s="29"/>
      <c r="I52" s="19"/>
      <c r="J52" s="20" t="s">
        <v>453</v>
      </c>
      <c r="K52" s="29">
        <v>4.38</v>
      </c>
      <c r="L52" s="29">
        <v>70.7</v>
      </c>
      <c r="M52" s="29">
        <v>18.5</v>
      </c>
      <c r="N52" s="19">
        <v>10.8</v>
      </c>
      <c r="O52" s="20">
        <f t="shared" si="40"/>
        <v>104.38</v>
      </c>
      <c r="P52" s="30">
        <f>K52</f>
        <v>4.38</v>
      </c>
      <c r="Q52" s="30">
        <f>(100-$P$52)*L52/100</f>
        <v>67.603340000000003</v>
      </c>
      <c r="R52" s="30">
        <f t="shared" ref="R52:S52" si="61">(100-$P$52)*M52/100</f>
        <v>17.689700000000002</v>
      </c>
      <c r="S52" s="21">
        <f t="shared" si="61"/>
        <v>10.326960000000001</v>
      </c>
      <c r="U52" s="19" t="s">
        <v>214</v>
      </c>
      <c r="V52" s="31">
        <v>51.68</v>
      </c>
      <c r="W52" s="31">
        <v>6.21</v>
      </c>
      <c r="X52" s="31">
        <v>1.1399999999999999</v>
      </c>
      <c r="Y52" s="31">
        <v>0</v>
      </c>
      <c r="Z52" s="31">
        <v>40.97</v>
      </c>
      <c r="AA52" s="19"/>
      <c r="AB52" s="20">
        <f t="shared" si="41"/>
        <v>100</v>
      </c>
      <c r="AC52" s="31">
        <v>51.68</v>
      </c>
      <c r="AD52" s="31">
        <v>6.21</v>
      </c>
      <c r="AE52" s="31">
        <v>1.1399999999999999</v>
      </c>
      <c r="AF52" s="31">
        <v>0</v>
      </c>
      <c r="AG52" s="31">
        <v>40.97</v>
      </c>
      <c r="AH52" s="21"/>
      <c r="AI52" s="31"/>
      <c r="AL52" s="31"/>
      <c r="AO52" s="36">
        <v>11</v>
      </c>
    </row>
    <row r="53" spans="1:41">
      <c r="A53" s="19">
        <f t="shared" si="0"/>
        <v>52</v>
      </c>
      <c r="B53" s="29" t="s">
        <v>197</v>
      </c>
      <c r="C53" s="29">
        <v>1</v>
      </c>
      <c r="D53" s="29" t="s">
        <v>198</v>
      </c>
      <c r="E53" s="29" t="s">
        <v>203</v>
      </c>
      <c r="F53" s="19"/>
      <c r="G53" s="29"/>
      <c r="H53" s="29"/>
      <c r="I53" s="19"/>
      <c r="J53" s="20" t="s">
        <v>453</v>
      </c>
      <c r="K53" s="29">
        <v>69.849999999999994</v>
      </c>
      <c r="L53" s="29">
        <v>66.790000000000006</v>
      </c>
      <c r="M53" s="29">
        <v>12.23</v>
      </c>
      <c r="N53" s="19">
        <v>20.98</v>
      </c>
      <c r="O53" s="20">
        <f t="shared" si="40"/>
        <v>169.84999999999997</v>
      </c>
      <c r="P53" s="30">
        <f>K53</f>
        <v>69.849999999999994</v>
      </c>
      <c r="Q53" s="30">
        <f>(100-$P$53)*L53/100</f>
        <v>20.137185000000006</v>
      </c>
      <c r="R53" s="30">
        <f t="shared" ref="R53:S53" si="62">(100-$P$53)*M53/100</f>
        <v>3.687345000000001</v>
      </c>
      <c r="S53" s="21">
        <f t="shared" si="62"/>
        <v>6.325470000000001</v>
      </c>
      <c r="U53" s="19" t="s">
        <v>214</v>
      </c>
      <c r="V53" s="31">
        <v>47.22</v>
      </c>
      <c r="W53" s="31">
        <v>7.04</v>
      </c>
      <c r="X53" s="31">
        <v>3.86</v>
      </c>
      <c r="Y53" s="31">
        <v>0.49</v>
      </c>
      <c r="Z53" s="31">
        <v>41.15</v>
      </c>
      <c r="AA53" s="19">
        <v>1.06</v>
      </c>
      <c r="AB53" s="20">
        <f t="shared" si="41"/>
        <v>100.82</v>
      </c>
      <c r="AC53" s="30">
        <f>100*V53/AB53</f>
        <v>46.835945248958545</v>
      </c>
      <c r="AD53" s="30">
        <f>100*W53/AB53</f>
        <v>6.9827415195397746</v>
      </c>
      <c r="AE53" s="30">
        <f>100*X53/AB53</f>
        <v>3.8286054354294787</v>
      </c>
      <c r="AF53" s="30">
        <f>100*Y53/AB53</f>
        <v>0.48601467962705813</v>
      </c>
      <c r="AG53" s="30">
        <f>100*Z53/AB53</f>
        <v>40.815314421741718</v>
      </c>
      <c r="AH53" s="21">
        <f>100*AA53/AB53</f>
        <v>1.051378694703432</v>
      </c>
      <c r="AI53" s="31">
        <v>15.39</v>
      </c>
      <c r="AL53" s="31">
        <v>15.39</v>
      </c>
      <c r="AM53" s="27">
        <f>AL53*(Q53+R53)/(Q53+R53+S53)</f>
        <v>12.161178000000001</v>
      </c>
      <c r="AN53" s="19">
        <f>AM53*(Q53+R53+S53)/(P53+Q53+R53+S53)</f>
        <v>3.666595167000001</v>
      </c>
      <c r="AO53" s="36">
        <v>13</v>
      </c>
    </row>
    <row r="54" spans="1:41">
      <c r="A54" s="19">
        <f t="shared" si="0"/>
        <v>53</v>
      </c>
      <c r="B54" s="29" t="s">
        <v>197</v>
      </c>
      <c r="C54" s="29">
        <v>1</v>
      </c>
      <c r="D54" s="29" t="s">
        <v>198</v>
      </c>
      <c r="E54" s="29" t="s">
        <v>203</v>
      </c>
      <c r="F54" s="19"/>
      <c r="G54" s="29"/>
      <c r="H54" s="29"/>
      <c r="I54" s="19"/>
      <c r="K54" s="29"/>
      <c r="L54" s="29"/>
      <c r="M54" s="29"/>
      <c r="N54" s="19"/>
      <c r="S54" s="21"/>
      <c r="U54" s="19" t="s">
        <v>216</v>
      </c>
      <c r="V54" s="29">
        <v>40.5</v>
      </c>
      <c r="W54" s="29">
        <v>5.95</v>
      </c>
      <c r="X54" s="29">
        <v>2.39</v>
      </c>
      <c r="Y54" s="29">
        <v>0.66</v>
      </c>
      <c r="Z54" s="29">
        <v>43.53</v>
      </c>
      <c r="AA54" s="19"/>
      <c r="AB54" s="20">
        <f t="shared" si="41"/>
        <v>93.03</v>
      </c>
      <c r="AC54" s="30">
        <f>100*V54/AB54</f>
        <v>43.534343760077391</v>
      </c>
      <c r="AD54" s="30">
        <f>100*W54/AB54</f>
        <v>6.3957863054928517</v>
      </c>
      <c r="AE54" s="30">
        <f>100*X54/AB54</f>
        <v>2.5690637428786411</v>
      </c>
      <c r="AF54" s="30">
        <f>100*Y54/AB54</f>
        <v>0.70944856497903896</v>
      </c>
      <c r="AG54" s="30">
        <f>100*Z54/AB54</f>
        <v>46.791357626572072</v>
      </c>
      <c r="AH54" s="21"/>
      <c r="AI54" s="29"/>
      <c r="AL54" s="29"/>
      <c r="AO54" s="36">
        <v>26</v>
      </c>
    </row>
    <row r="55" spans="1:41">
      <c r="A55" s="19">
        <f t="shared" si="0"/>
        <v>54</v>
      </c>
      <c r="B55" s="29" t="s">
        <v>219</v>
      </c>
      <c r="C55" s="29">
        <v>1</v>
      </c>
      <c r="D55" s="29" t="s">
        <v>222</v>
      </c>
      <c r="E55" s="29" t="s">
        <v>223</v>
      </c>
      <c r="J55" s="20" t="s">
        <v>1172</v>
      </c>
      <c r="K55" s="29">
        <v>72.599999999999994</v>
      </c>
      <c r="U55" s="19" t="s">
        <v>221</v>
      </c>
      <c r="V55" s="31">
        <v>26.6</v>
      </c>
      <c r="W55" s="31">
        <v>3.7</v>
      </c>
      <c r="X55" s="31">
        <v>1.6</v>
      </c>
      <c r="Y55" s="31">
        <v>0</v>
      </c>
      <c r="Z55" s="31">
        <v>23</v>
      </c>
      <c r="AB55" s="20">
        <f>SUM(V55:AA55)</f>
        <v>54.900000000000006</v>
      </c>
      <c r="AC55" s="27">
        <f>100*V55/AB55</f>
        <v>48.451730418943527</v>
      </c>
      <c r="AD55" s="27">
        <f>100*W55/AB55</f>
        <v>6.7395264116575584</v>
      </c>
      <c r="AE55" s="27">
        <f>100*X55/AB55</f>
        <v>2.9143897996357011</v>
      </c>
      <c r="AF55" s="27">
        <f>100*Y55/AB55</f>
        <v>0</v>
      </c>
      <c r="AG55" s="27">
        <f>100*Z55/AB55</f>
        <v>41.894353369763202</v>
      </c>
      <c r="AO55" s="23">
        <v>16</v>
      </c>
    </row>
    <row r="56" spans="1:41" s="105" customFormat="1">
      <c r="A56" s="102">
        <f t="shared" si="0"/>
        <v>55</v>
      </c>
      <c r="B56" s="103" t="s">
        <v>197</v>
      </c>
      <c r="C56" s="103">
        <v>2</v>
      </c>
      <c r="D56" s="103" t="s">
        <v>201</v>
      </c>
      <c r="E56" s="103" t="s">
        <v>205</v>
      </c>
      <c r="F56" s="102"/>
      <c r="G56" s="103"/>
      <c r="H56" s="103"/>
      <c r="I56" s="102"/>
      <c r="J56" s="20" t="s">
        <v>221</v>
      </c>
      <c r="K56" s="103"/>
      <c r="L56" s="103"/>
      <c r="M56" s="103"/>
      <c r="N56" s="102">
        <v>13.42</v>
      </c>
      <c r="O56" s="104">
        <f t="shared" si="40"/>
        <v>13.42</v>
      </c>
      <c r="S56" s="104"/>
      <c r="T56" s="104"/>
      <c r="U56" s="102" t="s">
        <v>214</v>
      </c>
      <c r="V56" s="106">
        <v>40.78</v>
      </c>
      <c r="W56" s="106">
        <v>6.16</v>
      </c>
      <c r="X56" s="106">
        <v>0.85</v>
      </c>
      <c r="Y56" s="106">
        <v>0.2</v>
      </c>
      <c r="Z56" s="106">
        <v>38.590000000000003</v>
      </c>
      <c r="AA56" s="102"/>
      <c r="AB56" s="104">
        <f t="shared" si="41"/>
        <v>86.580000000000013</v>
      </c>
      <c r="AC56" s="38">
        <f>100*V56/AB56</f>
        <v>47.100947100947096</v>
      </c>
      <c r="AD56" s="38">
        <f>100*W56/AB56</f>
        <v>7.1148071148071139</v>
      </c>
      <c r="AE56" s="38">
        <f>100*X56/AB56</f>
        <v>0.98175098175098163</v>
      </c>
      <c r="AF56" s="38">
        <f>100*Y56/AB56</f>
        <v>0.23100023100023095</v>
      </c>
      <c r="AG56" s="38">
        <f>100*Z56/AB56</f>
        <v>44.571494571494569</v>
      </c>
      <c r="AH56" s="107"/>
      <c r="AI56" s="103"/>
      <c r="AJ56" s="105">
        <v>16.012</v>
      </c>
      <c r="AK56" s="104"/>
      <c r="AL56" s="103"/>
      <c r="AM56" s="105">
        <v>16.012</v>
      </c>
      <c r="AN56" s="104"/>
      <c r="AO56" s="36">
        <v>24</v>
      </c>
    </row>
    <row r="57" spans="1:41">
      <c r="A57" s="19">
        <f t="shared" si="0"/>
        <v>56</v>
      </c>
      <c r="B57" s="29" t="s">
        <v>197</v>
      </c>
      <c r="C57" s="29">
        <v>2</v>
      </c>
      <c r="D57" s="29" t="s">
        <v>201</v>
      </c>
      <c r="E57" s="29" t="s">
        <v>209</v>
      </c>
      <c r="F57" s="19"/>
      <c r="G57" s="29"/>
      <c r="H57" s="29"/>
      <c r="I57" s="19"/>
      <c r="K57" s="29"/>
      <c r="L57" s="29"/>
      <c r="M57" s="29"/>
      <c r="N57" s="19"/>
      <c r="U57" s="19" t="s">
        <v>214</v>
      </c>
      <c r="V57" s="29">
        <v>42.4</v>
      </c>
      <c r="W57" s="29">
        <v>5.3</v>
      </c>
      <c r="X57" s="29">
        <v>1.6</v>
      </c>
      <c r="Y57" s="29">
        <v>0.2</v>
      </c>
      <c r="Z57" s="29">
        <v>50.5</v>
      </c>
      <c r="AA57" s="19"/>
      <c r="AB57" s="20">
        <f t="shared" si="41"/>
        <v>100</v>
      </c>
      <c r="AC57" s="31">
        <v>42.4</v>
      </c>
      <c r="AD57" s="31">
        <v>5.3</v>
      </c>
      <c r="AE57" s="31">
        <v>1.6</v>
      </c>
      <c r="AF57" s="31">
        <v>0.2</v>
      </c>
      <c r="AG57" s="31">
        <v>50.5</v>
      </c>
      <c r="AH57" s="21"/>
      <c r="AI57" s="29">
        <v>9.3000000000000007</v>
      </c>
      <c r="AL57" s="29">
        <v>9.3000000000000007</v>
      </c>
      <c r="AO57" s="36">
        <v>29</v>
      </c>
    </row>
    <row r="58" spans="1:41">
      <c r="A58" s="19">
        <f t="shared" si="0"/>
        <v>57</v>
      </c>
      <c r="B58" s="29" t="s">
        <v>197</v>
      </c>
      <c r="C58" s="29">
        <v>2</v>
      </c>
      <c r="D58" s="29" t="s">
        <v>201</v>
      </c>
      <c r="E58" s="29" t="s">
        <v>205</v>
      </c>
      <c r="F58" s="19" t="s">
        <v>210</v>
      </c>
      <c r="G58" s="29"/>
      <c r="H58" s="29"/>
      <c r="I58" s="19"/>
      <c r="K58" s="29"/>
      <c r="L58" s="29"/>
      <c r="M58" s="29"/>
      <c r="N58" s="19"/>
      <c r="U58" s="19" t="s">
        <v>214</v>
      </c>
      <c r="V58" s="29">
        <v>50</v>
      </c>
      <c r="W58" s="29">
        <v>5.7</v>
      </c>
      <c r="X58" s="29">
        <v>0.8</v>
      </c>
      <c r="Y58" s="29">
        <v>0.1</v>
      </c>
      <c r="Z58" s="29">
        <v>43.4</v>
      </c>
      <c r="AA58" s="19"/>
      <c r="AB58" s="20">
        <f t="shared" si="41"/>
        <v>100</v>
      </c>
      <c r="AC58" s="31">
        <v>50</v>
      </c>
      <c r="AD58" s="31">
        <v>5.7</v>
      </c>
      <c r="AE58" s="31">
        <v>0.8</v>
      </c>
      <c r="AF58" s="31">
        <v>0.1</v>
      </c>
      <c r="AG58" s="31">
        <v>43.4</v>
      </c>
      <c r="AH58" s="21"/>
      <c r="AI58" s="29">
        <v>18.7</v>
      </c>
      <c r="AL58" s="29">
        <v>18.7</v>
      </c>
      <c r="AO58" s="36">
        <v>29</v>
      </c>
    </row>
    <row r="59" spans="1:41">
      <c r="A59" s="19">
        <f t="shared" si="0"/>
        <v>58</v>
      </c>
      <c r="B59" s="29" t="s">
        <v>197</v>
      </c>
      <c r="C59" s="29">
        <v>2</v>
      </c>
      <c r="D59" s="29" t="s">
        <v>201</v>
      </c>
      <c r="E59" s="29" t="s">
        <v>211</v>
      </c>
      <c r="F59" s="19" t="s">
        <v>212</v>
      </c>
      <c r="G59" s="29"/>
      <c r="H59" s="29"/>
      <c r="I59" s="19"/>
      <c r="K59" s="29"/>
      <c r="L59" s="29"/>
      <c r="M59" s="29"/>
      <c r="N59" s="19"/>
      <c r="U59" s="19" t="s">
        <v>214</v>
      </c>
      <c r="V59" s="29">
        <v>45</v>
      </c>
      <c r="W59" s="29">
        <v>5.6</v>
      </c>
      <c r="X59" s="29">
        <v>1.5</v>
      </c>
      <c r="Y59" s="29">
        <v>0.2</v>
      </c>
      <c r="Z59" s="29">
        <v>47.7</v>
      </c>
      <c r="AA59" s="19"/>
      <c r="AB59" s="20">
        <f t="shared" si="41"/>
        <v>100</v>
      </c>
      <c r="AC59" s="31">
        <v>45</v>
      </c>
      <c r="AD59" s="31">
        <v>5.6</v>
      </c>
      <c r="AE59" s="31">
        <v>1.5</v>
      </c>
      <c r="AF59" s="31">
        <v>0.2</v>
      </c>
      <c r="AG59" s="31">
        <v>47.7</v>
      </c>
      <c r="AH59" s="21"/>
      <c r="AI59" s="29">
        <v>18</v>
      </c>
      <c r="AL59" s="29">
        <v>18</v>
      </c>
      <c r="AO59" s="36">
        <v>29</v>
      </c>
    </row>
    <row r="60" spans="1:41">
      <c r="A60" s="19">
        <f t="shared" si="0"/>
        <v>59</v>
      </c>
      <c r="B60" s="29" t="s">
        <v>197</v>
      </c>
      <c r="C60" s="29">
        <v>2</v>
      </c>
      <c r="D60" s="29" t="s">
        <v>201</v>
      </c>
      <c r="E60" s="29" t="s">
        <v>205</v>
      </c>
      <c r="F60" s="19" t="s">
        <v>212</v>
      </c>
      <c r="G60" s="29"/>
      <c r="H60" s="29"/>
      <c r="I60" s="19"/>
      <c r="K60" s="29"/>
      <c r="L60" s="29"/>
      <c r="M60" s="29"/>
      <c r="N60" s="19"/>
      <c r="U60" s="19" t="s">
        <v>214</v>
      </c>
      <c r="V60" s="29">
        <v>40.700000000000003</v>
      </c>
      <c r="W60" s="29">
        <v>5</v>
      </c>
      <c r="X60" s="29">
        <v>1.3</v>
      </c>
      <c r="Y60" s="29">
        <v>0.1</v>
      </c>
      <c r="Z60" s="29">
        <v>52.9</v>
      </c>
      <c r="AA60" s="19"/>
      <c r="AB60" s="20">
        <f t="shared" si="41"/>
        <v>100</v>
      </c>
      <c r="AC60" s="31">
        <v>40.700000000000003</v>
      </c>
      <c r="AD60" s="31">
        <v>5</v>
      </c>
      <c r="AE60" s="31">
        <v>1.3</v>
      </c>
      <c r="AF60" s="31">
        <v>0.1</v>
      </c>
      <c r="AG60" s="31">
        <v>52.9</v>
      </c>
      <c r="AH60" s="21"/>
      <c r="AI60" s="29">
        <v>17.2</v>
      </c>
      <c r="AL60" s="29">
        <v>17.2</v>
      </c>
      <c r="AO60" s="36">
        <v>29</v>
      </c>
    </row>
    <row r="61" spans="1:41">
      <c r="A61" s="19">
        <f t="shared" si="0"/>
        <v>60</v>
      </c>
      <c r="B61" s="29" t="s">
        <v>197</v>
      </c>
      <c r="C61" s="29">
        <v>2</v>
      </c>
      <c r="D61" s="29" t="s">
        <v>201</v>
      </c>
      <c r="E61" s="29" t="s">
        <v>205</v>
      </c>
      <c r="F61" s="19"/>
      <c r="G61" s="29"/>
      <c r="H61" s="29"/>
      <c r="I61" s="19"/>
      <c r="J61" s="20" t="s">
        <v>453</v>
      </c>
      <c r="K61" s="29">
        <v>5</v>
      </c>
      <c r="L61" s="29">
        <v>72.099999999999994</v>
      </c>
      <c r="M61" s="29">
        <v>17.7</v>
      </c>
      <c r="N61" s="19">
        <v>10.199999999999999</v>
      </c>
      <c r="O61" s="20">
        <f t="shared" si="40"/>
        <v>105</v>
      </c>
      <c r="P61" s="30">
        <f t="shared" ref="P61:P63" si="63">K61</f>
        <v>5</v>
      </c>
      <c r="Q61" s="30">
        <f>(100-$P$61)*L61/100</f>
        <v>68.49499999999999</v>
      </c>
      <c r="R61" s="30">
        <f t="shared" ref="R61:S61" si="64">(100-$P$61)*M61/100</f>
        <v>16.815000000000001</v>
      </c>
      <c r="S61" s="21">
        <f t="shared" si="64"/>
        <v>9.69</v>
      </c>
      <c r="U61" s="19" t="s">
        <v>214</v>
      </c>
      <c r="V61" s="29">
        <v>52.5</v>
      </c>
      <c r="W61" s="29">
        <v>6.83</v>
      </c>
      <c r="X61" s="29">
        <v>1.28</v>
      </c>
      <c r="Y61" s="29">
        <v>0</v>
      </c>
      <c r="Z61" s="29">
        <v>39.299999999999997</v>
      </c>
      <c r="AA61" s="19"/>
      <c r="AB61" s="20">
        <f t="shared" si="41"/>
        <v>99.91</v>
      </c>
      <c r="AC61" s="30">
        <f t="shared" ref="AC61" si="65">100*V61/AB61</f>
        <v>52.547292563306975</v>
      </c>
      <c r="AD61" s="30">
        <f t="shared" ref="AD61" si="66">100*W61/AB61</f>
        <v>6.8361525372835557</v>
      </c>
      <c r="AE61" s="30">
        <f>100*X61/AB61</f>
        <v>1.2811530377339606</v>
      </c>
      <c r="AF61" s="30">
        <f t="shared" ref="AF61" si="67">100*Y61/AB61</f>
        <v>0</v>
      </c>
      <c r="AG61" s="30">
        <f t="shared" ref="AG61" si="68">100*Z61/AB61</f>
        <v>39.335401861675507</v>
      </c>
      <c r="AH61" s="21"/>
      <c r="AI61" s="29"/>
      <c r="AL61" s="29"/>
      <c r="AO61" s="36">
        <v>11</v>
      </c>
    </row>
    <row r="62" spans="1:41">
      <c r="A62" s="19">
        <f t="shared" si="0"/>
        <v>61</v>
      </c>
      <c r="B62" s="29" t="s">
        <v>197</v>
      </c>
      <c r="C62" s="29">
        <v>2</v>
      </c>
      <c r="D62" s="29" t="s">
        <v>201</v>
      </c>
      <c r="E62" s="29" t="s">
        <v>205</v>
      </c>
      <c r="F62" s="19"/>
      <c r="G62" s="29"/>
      <c r="H62" s="29"/>
      <c r="I62" s="19"/>
      <c r="J62" s="20" t="s">
        <v>453</v>
      </c>
      <c r="K62" s="29">
        <v>9</v>
      </c>
      <c r="L62" s="29">
        <v>52.8</v>
      </c>
      <c r="M62" s="29">
        <v>8</v>
      </c>
      <c r="N62" s="19">
        <v>39.200000000000003</v>
      </c>
      <c r="O62" s="20">
        <f t="shared" si="40"/>
        <v>109</v>
      </c>
      <c r="P62" s="30">
        <f t="shared" si="63"/>
        <v>9</v>
      </c>
      <c r="Q62" s="30">
        <f>(100-$P$62)*L62/100</f>
        <v>48.048000000000002</v>
      </c>
      <c r="R62" s="30">
        <f t="shared" ref="R62:S62" si="69">(100-$P$62)*M62/100</f>
        <v>7.28</v>
      </c>
      <c r="S62" s="21">
        <f t="shared" si="69"/>
        <v>35.672000000000004</v>
      </c>
      <c r="U62" s="19" t="s">
        <v>214</v>
      </c>
      <c r="V62" s="29">
        <v>47.16</v>
      </c>
      <c r="W62" s="29">
        <v>5.44</v>
      </c>
      <c r="X62" s="29">
        <v>4</v>
      </c>
      <c r="Y62" s="29">
        <v>0</v>
      </c>
      <c r="Z62" s="29">
        <v>43.4</v>
      </c>
      <c r="AA62" s="19"/>
      <c r="AB62" s="20">
        <f t="shared" si="41"/>
        <v>100</v>
      </c>
      <c r="AC62" s="31">
        <v>47.16</v>
      </c>
      <c r="AD62" s="31">
        <v>5.44</v>
      </c>
      <c r="AE62" s="31">
        <v>4</v>
      </c>
      <c r="AF62" s="31">
        <v>0</v>
      </c>
      <c r="AG62" s="31">
        <v>43.4</v>
      </c>
      <c r="AH62" s="21"/>
      <c r="AI62" s="29"/>
      <c r="AL62" s="29"/>
      <c r="AO62" s="36">
        <v>11</v>
      </c>
    </row>
    <row r="63" spans="1:41">
      <c r="A63" s="19">
        <f t="shared" si="0"/>
        <v>62</v>
      </c>
      <c r="B63" s="29" t="s">
        <v>197</v>
      </c>
      <c r="C63" s="29">
        <v>2</v>
      </c>
      <c r="D63" s="29" t="s">
        <v>201</v>
      </c>
      <c r="E63" s="29" t="s">
        <v>202</v>
      </c>
      <c r="F63" s="19"/>
      <c r="G63" s="29"/>
      <c r="H63" s="29"/>
      <c r="I63" s="19"/>
      <c r="J63" s="20" t="s">
        <v>453</v>
      </c>
      <c r="K63" s="29">
        <v>42.95</v>
      </c>
      <c r="L63" s="29">
        <v>75.87</v>
      </c>
      <c r="M63" s="29">
        <v>17.29</v>
      </c>
      <c r="N63" s="19">
        <v>6.84</v>
      </c>
      <c r="O63" s="20">
        <f t="shared" si="40"/>
        <v>142.95000000000002</v>
      </c>
      <c r="P63" s="30">
        <f t="shared" si="63"/>
        <v>42.95</v>
      </c>
      <c r="Q63" s="30">
        <f>(100-$P$63)*L63/100</f>
        <v>43.283834999999996</v>
      </c>
      <c r="R63" s="30">
        <f t="shared" ref="R63:S63" si="70">(100-$P$63)*M63/100</f>
        <v>9.8639449999999993</v>
      </c>
      <c r="S63" s="21">
        <f t="shared" si="70"/>
        <v>3.9022199999999998</v>
      </c>
      <c r="U63" s="19" t="s">
        <v>214</v>
      </c>
      <c r="V63" s="29">
        <v>51.35</v>
      </c>
      <c r="W63" s="29">
        <v>6.39</v>
      </c>
      <c r="X63" s="29">
        <v>1.59</v>
      </c>
      <c r="Y63" s="29">
        <v>0.18</v>
      </c>
      <c r="Z63" s="29">
        <v>40.5</v>
      </c>
      <c r="AA63" s="19">
        <v>0.28999999999999998</v>
      </c>
      <c r="AB63" s="20">
        <f t="shared" si="41"/>
        <v>100.30000000000001</v>
      </c>
      <c r="AC63" s="30">
        <f t="shared" ref="AC63:AC64" si="71">100*V63/AB63</f>
        <v>51.196410767696904</v>
      </c>
      <c r="AD63" s="30">
        <f t="shared" ref="AD63:AD64" si="72">100*W63/AB63</f>
        <v>6.3708873379860416</v>
      </c>
      <c r="AE63" s="30">
        <f t="shared" ref="AE63:AE64" si="73">100*X63/AB63</f>
        <v>1.5852442671984046</v>
      </c>
      <c r="AF63" s="30">
        <f t="shared" ref="AF63:AF64" si="74">100*Y63/AB63</f>
        <v>0.17946161515453637</v>
      </c>
      <c r="AG63" s="30">
        <f t="shared" ref="AG63:AG64" si="75">100*Z63/AB63</f>
        <v>40.37886340977068</v>
      </c>
      <c r="AH63" s="21">
        <f>100*AA63/AB63</f>
        <v>0.28913260219341969</v>
      </c>
      <c r="AI63" s="29">
        <v>19.46</v>
      </c>
      <c r="AL63" s="29">
        <v>19.46</v>
      </c>
      <c r="AM63" s="27">
        <f>AL63*(Q63+R63)/(Q63+R63+S63)</f>
        <v>18.128936000000003</v>
      </c>
      <c r="AN63" s="20">
        <f>AL63*(Q63+R63)/100</f>
        <v>10.342557988000001</v>
      </c>
      <c r="AO63" s="36">
        <v>13</v>
      </c>
    </row>
    <row r="64" spans="1:41">
      <c r="A64" s="19">
        <f t="shared" si="0"/>
        <v>63</v>
      </c>
      <c r="B64" s="29" t="s">
        <v>197</v>
      </c>
      <c r="C64" s="29">
        <v>2</v>
      </c>
      <c r="D64" s="29" t="s">
        <v>201</v>
      </c>
      <c r="E64" s="29" t="s">
        <v>205</v>
      </c>
      <c r="F64" s="19"/>
      <c r="G64" s="29"/>
      <c r="H64" s="29"/>
      <c r="I64" s="19"/>
      <c r="J64" s="20" t="s">
        <v>1172</v>
      </c>
      <c r="K64" s="29">
        <v>80.75</v>
      </c>
      <c r="L64" s="29"/>
      <c r="M64" s="29"/>
      <c r="N64" s="19">
        <v>8.24</v>
      </c>
      <c r="O64" s="20">
        <f t="shared" si="40"/>
        <v>88.99</v>
      </c>
      <c r="U64" s="19" t="s">
        <v>214</v>
      </c>
      <c r="V64" s="31">
        <v>40.47</v>
      </c>
      <c r="W64" s="31">
        <v>7.47</v>
      </c>
      <c r="X64" s="31">
        <v>1.53</v>
      </c>
      <c r="Y64" s="31">
        <v>0.44</v>
      </c>
      <c r="Z64" s="31">
        <v>41.85</v>
      </c>
      <c r="AA64" s="19"/>
      <c r="AB64" s="20">
        <f t="shared" si="41"/>
        <v>91.759999999999991</v>
      </c>
      <c r="AC64" s="30">
        <f t="shared" si="71"/>
        <v>44.104184829991283</v>
      </c>
      <c r="AD64" s="30">
        <f t="shared" si="72"/>
        <v>8.1408020924149973</v>
      </c>
      <c r="AE64" s="30">
        <f t="shared" si="73"/>
        <v>1.6673931996512643</v>
      </c>
      <c r="AF64" s="30">
        <f t="shared" si="74"/>
        <v>0.47951176983435051</v>
      </c>
      <c r="AG64" s="30">
        <f t="shared" si="75"/>
        <v>45.608108108108112</v>
      </c>
      <c r="AH64" s="21"/>
      <c r="AK64" s="19">
        <v>5.5</v>
      </c>
      <c r="AL64" s="27">
        <f>AN64*100/(100-O64)</f>
        <v>49.954586739327858</v>
      </c>
      <c r="AM64" s="27">
        <f>AN64*(100)/(100-K64)</f>
        <v>28.571428571428573</v>
      </c>
      <c r="AN64" s="19">
        <v>5.5</v>
      </c>
      <c r="AO64" s="36">
        <v>22</v>
      </c>
    </row>
    <row r="65" spans="1:41">
      <c r="A65" s="19">
        <f t="shared" si="0"/>
        <v>64</v>
      </c>
      <c r="B65" s="29" t="s">
        <v>219</v>
      </c>
      <c r="C65" s="29">
        <v>2</v>
      </c>
      <c r="D65" s="29" t="s">
        <v>201</v>
      </c>
      <c r="E65" s="29" t="s">
        <v>227</v>
      </c>
      <c r="F65" s="19" t="s">
        <v>480</v>
      </c>
      <c r="G65" s="29"/>
      <c r="H65" s="29">
        <v>0.54400000000000004</v>
      </c>
      <c r="I65" s="19"/>
      <c r="K65" s="29"/>
      <c r="L65" s="31"/>
      <c r="M65" s="31"/>
      <c r="N65" s="22"/>
      <c r="P65" s="29"/>
      <c r="Q65" s="31"/>
      <c r="R65" s="31"/>
      <c r="S65" s="22"/>
      <c r="U65" s="19"/>
      <c r="V65" s="31"/>
      <c r="W65" s="31"/>
      <c r="X65" s="31"/>
      <c r="Y65" s="31"/>
      <c r="Z65" s="31"/>
      <c r="AA65" s="19"/>
      <c r="AI65" s="29"/>
      <c r="AJ65" s="29"/>
      <c r="AL65" s="29"/>
      <c r="AM65" s="29"/>
      <c r="AO65" s="19">
        <v>45</v>
      </c>
    </row>
    <row r="66" spans="1:41">
      <c r="A66" s="19">
        <f t="shared" si="0"/>
        <v>65</v>
      </c>
      <c r="B66" s="29" t="s">
        <v>219</v>
      </c>
      <c r="C66" s="29">
        <v>2</v>
      </c>
      <c r="D66" s="29" t="s">
        <v>201</v>
      </c>
      <c r="E66" s="29" t="s">
        <v>227</v>
      </c>
      <c r="F66" s="19"/>
      <c r="G66" s="29"/>
      <c r="H66" s="29"/>
      <c r="I66" s="19"/>
      <c r="J66" s="20" t="s">
        <v>454</v>
      </c>
      <c r="K66" s="29">
        <v>1.68</v>
      </c>
      <c r="L66" s="31">
        <v>72.53</v>
      </c>
      <c r="M66" s="31">
        <v>20.76</v>
      </c>
      <c r="N66" s="22">
        <v>5.03</v>
      </c>
      <c r="O66" s="20">
        <f>SUM(K66:N66)</f>
        <v>100.00000000000001</v>
      </c>
      <c r="P66" s="29">
        <v>1.68</v>
      </c>
      <c r="Q66" s="31">
        <v>72.53</v>
      </c>
      <c r="R66" s="31">
        <v>20.76</v>
      </c>
      <c r="S66" s="22">
        <v>5.03</v>
      </c>
      <c r="U66" s="19" t="s">
        <v>221</v>
      </c>
      <c r="V66" s="31">
        <v>46.13</v>
      </c>
      <c r="W66" s="31">
        <v>6.15</v>
      </c>
      <c r="X66" s="31">
        <v>0.56000000000000005</v>
      </c>
      <c r="Y66" s="31">
        <v>0.1</v>
      </c>
      <c r="Z66" s="31">
        <v>42.13</v>
      </c>
      <c r="AA66" s="19"/>
      <c r="AB66" s="20">
        <f t="shared" ref="AB66:AB76" si="76">SUM(V66:AA66)</f>
        <v>95.070000000000007</v>
      </c>
      <c r="AC66" s="27">
        <f t="shared" ref="AC66" si="77">100*V66/AB66</f>
        <v>48.522141579888498</v>
      </c>
      <c r="AD66" s="27">
        <f>100*W66/AB66</f>
        <v>6.4689176396339532</v>
      </c>
      <c r="AE66" s="27">
        <f>100*X66/AB66</f>
        <v>0.58903965499105926</v>
      </c>
      <c r="AF66" s="27">
        <f>100*Y66/AB66</f>
        <v>0.10518565267697486</v>
      </c>
      <c r="AG66" s="27">
        <f>100*Z66/AB66</f>
        <v>44.314715472809503</v>
      </c>
      <c r="AI66" s="29"/>
      <c r="AJ66" s="29">
        <v>17.66</v>
      </c>
      <c r="AL66" s="29">
        <f>AM66*(Q66+R66+S66)/(Q66+R66)</f>
        <v>18.61218994533176</v>
      </c>
      <c r="AM66" s="29">
        <v>17.66</v>
      </c>
      <c r="AN66" s="19">
        <f>AM66*(Q66+R66+S66)/(P66+Q66+R66+S66)</f>
        <v>17.363311999999997</v>
      </c>
      <c r="AO66" s="19">
        <v>43</v>
      </c>
    </row>
    <row r="67" spans="1:41">
      <c r="A67" s="19">
        <f t="shared" ref="A67:A130" si="78">A66+1</f>
        <v>66</v>
      </c>
      <c r="B67" s="29" t="s">
        <v>219</v>
      </c>
      <c r="C67" s="29">
        <v>2</v>
      </c>
      <c r="D67" s="29" t="s">
        <v>201</v>
      </c>
      <c r="E67" s="29" t="s">
        <v>228</v>
      </c>
      <c r="F67" s="19"/>
      <c r="G67" s="29"/>
      <c r="H67" s="29"/>
      <c r="I67" s="19"/>
      <c r="J67" s="20" t="s">
        <v>454</v>
      </c>
      <c r="K67" s="29">
        <v>1.77</v>
      </c>
      <c r="L67" s="31">
        <v>61.27</v>
      </c>
      <c r="M67" s="31">
        <v>14.86</v>
      </c>
      <c r="N67" s="22">
        <v>22.1</v>
      </c>
      <c r="O67" s="20">
        <f>SUM(K67:N67)</f>
        <v>100</v>
      </c>
      <c r="P67" s="29">
        <v>1.77</v>
      </c>
      <c r="Q67" s="31">
        <v>61.27</v>
      </c>
      <c r="R67" s="31">
        <v>14.86</v>
      </c>
      <c r="S67" s="22">
        <v>22.1</v>
      </c>
      <c r="U67" s="19" t="s">
        <v>221</v>
      </c>
      <c r="V67" s="31">
        <v>32.65</v>
      </c>
      <c r="W67" s="31">
        <v>4.95</v>
      </c>
      <c r="X67" s="31">
        <v>3.07</v>
      </c>
      <c r="Y67" s="31">
        <v>1.99</v>
      </c>
      <c r="Z67" s="31">
        <v>35.24</v>
      </c>
      <c r="AA67" s="19"/>
      <c r="AB67" s="20">
        <f t="shared" si="76"/>
        <v>77.900000000000006</v>
      </c>
      <c r="AC67" s="27">
        <f>100*V67/AB67</f>
        <v>41.912708600770216</v>
      </c>
      <c r="AD67" s="27">
        <f>100*W67/AB67</f>
        <v>6.3543003851091138</v>
      </c>
      <c r="AE67" s="27">
        <f>100*X67/AB67</f>
        <v>3.9409499358151474</v>
      </c>
      <c r="AF67" s="27">
        <f>100*Y67/AB67</f>
        <v>2.5545571245186136</v>
      </c>
      <c r="AG67" s="27">
        <f>100*Z67/AB67</f>
        <v>45.237483953786906</v>
      </c>
      <c r="AI67" s="29"/>
      <c r="AJ67" s="29">
        <v>20.64</v>
      </c>
      <c r="AL67" s="29">
        <f>AM67*(Q67+R67+S67)/(Q67+R67)</f>
        <v>26.631645868908446</v>
      </c>
      <c r="AM67" s="29">
        <v>20.64</v>
      </c>
      <c r="AN67" s="19">
        <f>AM67*(Q67+R67+S67)/(P67+Q67+R67+S67)</f>
        <v>20.274671999999999</v>
      </c>
      <c r="AO67" s="19">
        <v>43</v>
      </c>
    </row>
    <row r="68" spans="1:41">
      <c r="A68" s="19">
        <f t="shared" si="78"/>
        <v>67</v>
      </c>
      <c r="B68" s="29" t="s">
        <v>219</v>
      </c>
      <c r="C68" s="29">
        <v>2</v>
      </c>
      <c r="D68" s="29" t="s">
        <v>201</v>
      </c>
      <c r="E68" s="29" t="s">
        <v>232</v>
      </c>
      <c r="F68" s="19"/>
      <c r="G68" s="29"/>
      <c r="H68" s="29"/>
      <c r="I68" s="19"/>
      <c r="K68" s="29"/>
      <c r="L68" s="29"/>
      <c r="M68" s="29"/>
      <c r="N68" s="19"/>
      <c r="U68" s="20" t="s">
        <v>215</v>
      </c>
      <c r="V68" s="29">
        <v>46.7</v>
      </c>
      <c r="W68" s="29">
        <v>6.6</v>
      </c>
      <c r="X68" s="29">
        <v>1.2</v>
      </c>
      <c r="Y68" s="29">
        <v>0.3</v>
      </c>
      <c r="Z68" s="29">
        <v>45.3</v>
      </c>
      <c r="AA68" s="19"/>
      <c r="AB68" s="20">
        <f t="shared" si="76"/>
        <v>100.1</v>
      </c>
      <c r="AC68" s="27">
        <f>100*V68/AB68</f>
        <v>46.653346653346659</v>
      </c>
      <c r="AD68" s="27">
        <f>100*W68/AB68</f>
        <v>6.593406593406594</v>
      </c>
      <c r="AE68" s="27">
        <f>100*X68/AB68</f>
        <v>1.1988011988011988</v>
      </c>
      <c r="AF68" s="27">
        <f>100*Y68/AB68</f>
        <v>0.29970029970029971</v>
      </c>
      <c r="AG68" s="27">
        <f>100*Z68/AB68</f>
        <v>45.254745254745259</v>
      </c>
      <c r="AI68" s="29">
        <v>8.6</v>
      </c>
      <c r="AL68" s="29">
        <v>8.6</v>
      </c>
      <c r="AO68" s="20">
        <v>29</v>
      </c>
    </row>
    <row r="69" spans="1:41">
      <c r="A69" s="19">
        <f t="shared" si="78"/>
        <v>68</v>
      </c>
      <c r="B69" s="29" t="s">
        <v>219</v>
      </c>
      <c r="C69" s="29">
        <v>2</v>
      </c>
      <c r="D69" s="29" t="s">
        <v>201</v>
      </c>
      <c r="E69" s="29" t="s">
        <v>235</v>
      </c>
      <c r="F69" s="19"/>
      <c r="G69" s="29"/>
      <c r="H69" s="29"/>
      <c r="I69" s="19"/>
      <c r="K69" s="29"/>
      <c r="L69" s="29"/>
      <c r="M69" s="29"/>
      <c r="N69" s="19"/>
      <c r="U69" s="20" t="s">
        <v>215</v>
      </c>
      <c r="V69" s="29">
        <v>46.2</v>
      </c>
      <c r="W69" s="29">
        <v>6</v>
      </c>
      <c r="X69" s="29">
        <v>4.5</v>
      </c>
      <c r="Y69" s="29">
        <v>0.4</v>
      </c>
      <c r="Z69" s="29">
        <v>43</v>
      </c>
      <c r="AA69" s="19"/>
      <c r="AB69" s="20">
        <f t="shared" si="76"/>
        <v>100.1</v>
      </c>
      <c r="AC69" s="27">
        <f>100*V69/AB69</f>
        <v>46.153846153846153</v>
      </c>
      <c r="AD69" s="27">
        <f>100*W69/AB69</f>
        <v>5.9940059940059944</v>
      </c>
      <c r="AE69" s="27">
        <f>100*X69/AB69</f>
        <v>4.4955044955044956</v>
      </c>
      <c r="AF69" s="27">
        <f>100*Y69/AB69</f>
        <v>0.39960039960039961</v>
      </c>
      <c r="AG69" s="27">
        <f>100*Z69/AB69</f>
        <v>42.957042957042958</v>
      </c>
      <c r="AI69" s="29">
        <v>4.8</v>
      </c>
      <c r="AL69" s="29">
        <v>4.8</v>
      </c>
      <c r="AO69" s="20">
        <v>29</v>
      </c>
    </row>
    <row r="70" spans="1:41">
      <c r="A70" s="19">
        <f t="shared" si="78"/>
        <v>69</v>
      </c>
      <c r="B70" s="29" t="s">
        <v>219</v>
      </c>
      <c r="C70" s="29">
        <v>2</v>
      </c>
      <c r="D70" s="29" t="s">
        <v>201</v>
      </c>
      <c r="E70" s="29" t="s">
        <v>235</v>
      </c>
      <c r="F70" s="19"/>
      <c r="G70" s="29"/>
      <c r="H70" s="29"/>
      <c r="I70" s="19"/>
      <c r="K70" s="29"/>
      <c r="L70" s="29"/>
      <c r="M70" s="29"/>
      <c r="N70" s="19"/>
      <c r="U70" s="20" t="s">
        <v>215</v>
      </c>
      <c r="V70" s="29">
        <v>43.3</v>
      </c>
      <c r="W70" s="29">
        <v>6</v>
      </c>
      <c r="X70" s="29">
        <v>2.2000000000000002</v>
      </c>
      <c r="Y70" s="29">
        <v>0.1</v>
      </c>
      <c r="Z70" s="29">
        <v>48.4</v>
      </c>
      <c r="AA70" s="19"/>
      <c r="AB70" s="20">
        <f t="shared" si="76"/>
        <v>100</v>
      </c>
      <c r="AC70" s="29">
        <v>43.3</v>
      </c>
      <c r="AD70" s="29">
        <v>6</v>
      </c>
      <c r="AE70" s="29">
        <v>2.2000000000000002</v>
      </c>
      <c r="AF70" s="29">
        <v>0.1</v>
      </c>
      <c r="AG70" s="29">
        <v>48.4</v>
      </c>
      <c r="AI70" s="29">
        <v>6.3</v>
      </c>
      <c r="AL70" s="29">
        <v>6.3</v>
      </c>
      <c r="AO70" s="20">
        <v>29</v>
      </c>
    </row>
    <row r="71" spans="1:41">
      <c r="A71" s="19">
        <f t="shared" si="78"/>
        <v>70</v>
      </c>
      <c r="B71" s="29" t="s">
        <v>219</v>
      </c>
      <c r="C71" s="29">
        <v>2</v>
      </c>
      <c r="D71" s="29" t="s">
        <v>201</v>
      </c>
      <c r="E71" s="29" t="s">
        <v>236</v>
      </c>
      <c r="F71" s="19"/>
      <c r="G71" s="29"/>
      <c r="H71" s="29"/>
      <c r="I71" s="19"/>
      <c r="K71" s="29"/>
      <c r="L71" s="29"/>
      <c r="M71" s="29"/>
      <c r="N71" s="19"/>
      <c r="U71" s="20" t="s">
        <v>215</v>
      </c>
      <c r="V71" s="29">
        <v>40.299999999999997</v>
      </c>
      <c r="W71" s="29">
        <v>5.6</v>
      </c>
      <c r="X71" s="29">
        <v>2</v>
      </c>
      <c r="Y71" s="29">
        <v>0.1</v>
      </c>
      <c r="Z71" s="29">
        <v>52</v>
      </c>
      <c r="AA71" s="19"/>
      <c r="AB71" s="20">
        <f t="shared" si="76"/>
        <v>100</v>
      </c>
      <c r="AC71" s="29">
        <v>40.299999999999997</v>
      </c>
      <c r="AD71" s="29">
        <v>5.6</v>
      </c>
      <c r="AE71" s="29">
        <v>2</v>
      </c>
      <c r="AF71" s="29">
        <v>0.1</v>
      </c>
      <c r="AG71" s="29">
        <v>52</v>
      </c>
      <c r="AI71" s="29">
        <v>6.3</v>
      </c>
      <c r="AL71" s="29">
        <v>6.3</v>
      </c>
      <c r="AO71" s="20">
        <v>29</v>
      </c>
    </row>
    <row r="72" spans="1:41">
      <c r="A72" s="19">
        <f t="shared" si="78"/>
        <v>71</v>
      </c>
      <c r="B72" s="29" t="s">
        <v>219</v>
      </c>
      <c r="C72" s="29">
        <v>2</v>
      </c>
      <c r="D72" s="29" t="s">
        <v>201</v>
      </c>
      <c r="E72" s="29" t="s">
        <v>237</v>
      </c>
      <c r="F72" s="19"/>
      <c r="G72" s="29"/>
      <c r="H72" s="29"/>
      <c r="I72" s="19"/>
      <c r="K72" s="29"/>
      <c r="L72" s="29"/>
      <c r="M72" s="29"/>
      <c r="N72" s="19"/>
      <c r="U72" s="20" t="s">
        <v>215</v>
      </c>
      <c r="V72" s="29">
        <v>50.1</v>
      </c>
      <c r="W72" s="29">
        <v>6.4</v>
      </c>
      <c r="X72" s="29">
        <v>0.1</v>
      </c>
      <c r="Y72" s="29">
        <v>0.1</v>
      </c>
      <c r="Z72" s="29">
        <v>43.3</v>
      </c>
      <c r="AA72" s="19"/>
      <c r="AB72" s="20">
        <f t="shared" si="76"/>
        <v>100</v>
      </c>
      <c r="AC72" s="29">
        <v>50.1</v>
      </c>
      <c r="AD72" s="29">
        <v>6.4</v>
      </c>
      <c r="AE72" s="29">
        <v>0.1</v>
      </c>
      <c r="AF72" s="29">
        <v>0.1</v>
      </c>
      <c r="AG72" s="29">
        <v>43.3</v>
      </c>
      <c r="AI72" s="29">
        <v>9.8000000000000007</v>
      </c>
      <c r="AL72" s="29">
        <v>9.8000000000000007</v>
      </c>
      <c r="AO72" s="20">
        <v>29</v>
      </c>
    </row>
    <row r="73" spans="1:41">
      <c r="A73" s="19">
        <f t="shared" si="78"/>
        <v>72</v>
      </c>
      <c r="B73" s="29" t="s">
        <v>219</v>
      </c>
      <c r="C73" s="29">
        <v>2</v>
      </c>
      <c r="D73" s="29" t="s">
        <v>201</v>
      </c>
      <c r="E73" s="29" t="s">
        <v>456</v>
      </c>
      <c r="F73" s="19"/>
      <c r="G73" s="29"/>
      <c r="H73" s="29"/>
      <c r="I73" s="19"/>
      <c r="K73" s="29"/>
      <c r="L73" s="29"/>
      <c r="M73" s="29"/>
      <c r="N73" s="19"/>
      <c r="U73" s="20" t="s">
        <v>215</v>
      </c>
      <c r="V73" s="29">
        <v>51.4</v>
      </c>
      <c r="W73" s="29">
        <v>6.4</v>
      </c>
      <c r="X73" s="29">
        <v>1.6</v>
      </c>
      <c r="Y73" s="29">
        <v>0.2</v>
      </c>
      <c r="Z73" s="29">
        <v>40.5</v>
      </c>
      <c r="AA73" s="19"/>
      <c r="AB73" s="20">
        <f t="shared" si="76"/>
        <v>100.1</v>
      </c>
      <c r="AC73" s="27">
        <f>100*V73/AB73</f>
        <v>51.348651348651352</v>
      </c>
      <c r="AD73" s="27">
        <f>100*W73/AB73</f>
        <v>6.3936063936063938</v>
      </c>
      <c r="AE73" s="27">
        <f>100*X73/AB73</f>
        <v>1.5984015984015985</v>
      </c>
      <c r="AF73" s="27">
        <f>100*Y73/AB73</f>
        <v>0.19980019980019981</v>
      </c>
      <c r="AG73" s="27">
        <f>100*Z73/AB73</f>
        <v>40.459540459540463</v>
      </c>
      <c r="AI73" s="29">
        <v>19.5</v>
      </c>
      <c r="AL73" s="29">
        <v>19.5</v>
      </c>
      <c r="AO73" s="20">
        <v>29</v>
      </c>
    </row>
    <row r="74" spans="1:41">
      <c r="A74" s="19">
        <f t="shared" si="78"/>
        <v>73</v>
      </c>
      <c r="B74" s="29" t="s">
        <v>219</v>
      </c>
      <c r="C74" s="29">
        <v>2</v>
      </c>
      <c r="D74" s="29" t="s">
        <v>201</v>
      </c>
      <c r="E74" s="29" t="s">
        <v>457</v>
      </c>
      <c r="F74" s="19" t="s">
        <v>377</v>
      </c>
      <c r="G74" s="29"/>
      <c r="H74" s="29"/>
      <c r="I74" s="19"/>
      <c r="K74" s="29"/>
      <c r="L74" s="29"/>
      <c r="M74" s="29"/>
      <c r="N74" s="19"/>
      <c r="U74" s="20" t="s">
        <v>215</v>
      </c>
      <c r="V74" s="29">
        <v>43.3</v>
      </c>
      <c r="W74" s="29">
        <v>5.9</v>
      </c>
      <c r="X74" s="29">
        <v>2.6</v>
      </c>
      <c r="Y74" s="29">
        <v>0.3</v>
      </c>
      <c r="Z74" s="29">
        <v>47.9</v>
      </c>
      <c r="AA74" s="19"/>
      <c r="AB74" s="20">
        <f t="shared" si="76"/>
        <v>100</v>
      </c>
      <c r="AC74" s="29">
        <v>43.3</v>
      </c>
      <c r="AD74" s="29">
        <v>5.9</v>
      </c>
      <c r="AE74" s="29">
        <v>2.6</v>
      </c>
      <c r="AF74" s="29">
        <v>0.3</v>
      </c>
      <c r="AG74" s="29">
        <v>47.9</v>
      </c>
      <c r="AI74" s="29">
        <v>17.899999999999999</v>
      </c>
      <c r="AL74" s="29">
        <v>17.899999999999999</v>
      </c>
      <c r="AO74" s="20">
        <v>29</v>
      </c>
    </row>
    <row r="75" spans="1:41">
      <c r="A75" s="19">
        <f t="shared" si="78"/>
        <v>74</v>
      </c>
      <c r="B75" s="29" t="s">
        <v>219</v>
      </c>
      <c r="C75" s="29">
        <v>2</v>
      </c>
      <c r="D75" s="29" t="s">
        <v>201</v>
      </c>
      <c r="E75" s="29" t="s">
        <v>458</v>
      </c>
      <c r="F75" s="19" t="s">
        <v>378</v>
      </c>
      <c r="G75" s="29"/>
      <c r="H75" s="29"/>
      <c r="I75" s="19"/>
      <c r="K75" s="29"/>
      <c r="L75" s="29"/>
      <c r="M75" s="29"/>
      <c r="N75" s="19"/>
      <c r="U75" s="20" t="s">
        <v>215</v>
      </c>
      <c r="V75" s="29">
        <v>36.200000000000003</v>
      </c>
      <c r="W75" s="29">
        <v>4.8</v>
      </c>
      <c r="X75" s="29">
        <v>2.1</v>
      </c>
      <c r="Y75" s="29">
        <v>0.3</v>
      </c>
      <c r="Z75" s="29">
        <v>56.7</v>
      </c>
      <c r="AA75" s="19"/>
      <c r="AB75" s="20">
        <f t="shared" si="76"/>
        <v>100.1</v>
      </c>
      <c r="AC75" s="27">
        <f>100*V75/AB75</f>
        <v>36.163836163836173</v>
      </c>
      <c r="AD75" s="27">
        <f>100*W75/AB75</f>
        <v>4.7952047952047954</v>
      </c>
      <c r="AE75" s="27">
        <f>100*X75/AB75</f>
        <v>2.0979020979020979</v>
      </c>
      <c r="AF75" s="27">
        <f>100*Y75/AB75</f>
        <v>0.29970029970029971</v>
      </c>
      <c r="AG75" s="27">
        <f>100*Z75/AB75</f>
        <v>56.643356643356647</v>
      </c>
      <c r="AI75" s="29">
        <v>14.6</v>
      </c>
      <c r="AL75" s="29">
        <v>14.6</v>
      </c>
      <c r="AO75" s="20">
        <v>29</v>
      </c>
    </row>
    <row r="76" spans="1:41">
      <c r="A76" s="19">
        <f t="shared" si="78"/>
        <v>75</v>
      </c>
      <c r="B76" s="29" t="s">
        <v>219</v>
      </c>
      <c r="C76" s="29">
        <v>2</v>
      </c>
      <c r="D76" s="29" t="s">
        <v>201</v>
      </c>
      <c r="E76" s="29" t="s">
        <v>249</v>
      </c>
      <c r="F76" s="19"/>
      <c r="G76" s="29"/>
      <c r="H76" s="29"/>
      <c r="I76" s="19"/>
      <c r="J76" s="20" t="s">
        <v>221</v>
      </c>
      <c r="K76" s="29"/>
      <c r="L76" s="29"/>
      <c r="M76" s="29"/>
      <c r="N76" s="19"/>
      <c r="U76" s="20" t="s">
        <v>215</v>
      </c>
      <c r="V76" s="29">
        <v>52.95</v>
      </c>
      <c r="W76" s="29">
        <v>4.88</v>
      </c>
      <c r="X76" s="29">
        <v>1.01</v>
      </c>
      <c r="Y76" s="29">
        <v>0.33</v>
      </c>
      <c r="Z76" s="29">
        <v>40.83</v>
      </c>
      <c r="AA76" s="19"/>
      <c r="AB76" s="20">
        <f t="shared" si="76"/>
        <v>100</v>
      </c>
      <c r="AC76" s="27">
        <v>52.95</v>
      </c>
      <c r="AD76" s="27">
        <v>4.88</v>
      </c>
      <c r="AE76" s="27">
        <v>1.01</v>
      </c>
      <c r="AF76" s="27">
        <v>0.33</v>
      </c>
      <c r="AG76" s="27">
        <v>40.83</v>
      </c>
      <c r="AJ76" s="29">
        <v>19.12</v>
      </c>
      <c r="AM76" s="29">
        <v>19.12</v>
      </c>
      <c r="AO76" s="20">
        <v>31</v>
      </c>
    </row>
    <row r="77" spans="1:41">
      <c r="A77" s="19">
        <f t="shared" si="78"/>
        <v>76</v>
      </c>
      <c r="B77" s="29" t="s">
        <v>219</v>
      </c>
      <c r="C77" s="29">
        <v>2</v>
      </c>
      <c r="D77" s="29" t="s">
        <v>201</v>
      </c>
      <c r="E77" s="29" t="s">
        <v>249</v>
      </c>
      <c r="F77" s="19"/>
      <c r="G77" s="29"/>
      <c r="H77" s="29"/>
      <c r="I77" s="19"/>
      <c r="J77" s="20" t="s">
        <v>221</v>
      </c>
      <c r="K77" s="29"/>
      <c r="L77" s="29">
        <v>75.349999999999994</v>
      </c>
      <c r="M77" s="29">
        <v>16.87</v>
      </c>
      <c r="N77" s="19">
        <v>7.78</v>
      </c>
      <c r="O77" s="20">
        <f t="shared" ref="O77:O82" si="79">SUM(K77:N77)</f>
        <v>100</v>
      </c>
      <c r="P77" s="29">
        <v>0</v>
      </c>
      <c r="Q77" s="29">
        <v>75.349999999999994</v>
      </c>
      <c r="R77" s="29">
        <v>16.87</v>
      </c>
      <c r="S77" s="19">
        <v>7.78</v>
      </c>
      <c r="V77" s="29"/>
      <c r="W77" s="29"/>
      <c r="X77" s="29"/>
      <c r="Y77" s="29"/>
      <c r="Z77" s="29"/>
      <c r="AA77" s="19"/>
      <c r="AJ77" s="29"/>
      <c r="AM77" s="29"/>
      <c r="AO77" s="20">
        <v>31</v>
      </c>
    </row>
    <row r="78" spans="1:41">
      <c r="A78" s="19">
        <f t="shared" si="78"/>
        <v>77</v>
      </c>
      <c r="B78" s="29" t="s">
        <v>219</v>
      </c>
      <c r="C78" s="29">
        <v>2</v>
      </c>
      <c r="D78" s="29" t="s">
        <v>201</v>
      </c>
      <c r="E78" s="29" t="s">
        <v>250</v>
      </c>
      <c r="F78" s="19"/>
      <c r="G78" s="29"/>
      <c r="H78" s="29"/>
      <c r="I78" s="19"/>
      <c r="J78" s="20" t="s">
        <v>221</v>
      </c>
      <c r="K78" s="29"/>
      <c r="L78" s="29">
        <v>74.48</v>
      </c>
      <c r="M78" s="29">
        <v>18.899999999999999</v>
      </c>
      <c r="N78" s="19">
        <v>6.63</v>
      </c>
      <c r="O78" s="20">
        <f t="shared" si="79"/>
        <v>100.00999999999999</v>
      </c>
      <c r="P78" s="27">
        <f t="shared" ref="P78" si="80">100*K78/O78</f>
        <v>0</v>
      </c>
      <c r="Q78" s="27">
        <f t="shared" ref="Q78" si="81">100*L78/O78</f>
        <v>74.472552744725533</v>
      </c>
      <c r="R78" s="27">
        <f t="shared" ref="R78" si="82">100*M78/O78</f>
        <v>18.8981101889811</v>
      </c>
      <c r="S78" s="20">
        <f t="shared" ref="S78" si="83">100*N78/O78</f>
        <v>6.6293370662933713</v>
      </c>
      <c r="V78" s="29"/>
      <c r="W78" s="29"/>
      <c r="X78" s="29"/>
      <c r="Y78" s="29"/>
      <c r="Z78" s="29"/>
      <c r="AA78" s="19"/>
      <c r="AJ78" s="29"/>
      <c r="AM78" s="29"/>
      <c r="AO78" s="20">
        <v>31</v>
      </c>
    </row>
    <row r="79" spans="1:41">
      <c r="A79" s="19">
        <f t="shared" si="78"/>
        <v>78</v>
      </c>
      <c r="B79" s="29" t="s">
        <v>219</v>
      </c>
      <c r="C79" s="29">
        <v>2</v>
      </c>
      <c r="D79" s="29" t="s">
        <v>201</v>
      </c>
      <c r="E79" s="29" t="s">
        <v>251</v>
      </c>
      <c r="F79" s="19"/>
      <c r="G79" s="29"/>
      <c r="H79" s="29"/>
      <c r="I79" s="19"/>
      <c r="J79" s="20" t="s">
        <v>221</v>
      </c>
      <c r="K79" s="29"/>
      <c r="L79" s="29">
        <v>74.319999999999993</v>
      </c>
      <c r="M79" s="29">
        <v>16.25</v>
      </c>
      <c r="N79" s="19">
        <v>9.43</v>
      </c>
      <c r="O79" s="20">
        <f t="shared" si="79"/>
        <v>100</v>
      </c>
      <c r="P79" s="29">
        <v>0</v>
      </c>
      <c r="Q79" s="27">
        <v>74.319999999999993</v>
      </c>
      <c r="R79" s="27">
        <v>16.25</v>
      </c>
      <c r="S79" s="20">
        <v>9.43</v>
      </c>
      <c r="U79" s="20" t="s">
        <v>215</v>
      </c>
      <c r="V79" s="29">
        <v>47.18</v>
      </c>
      <c r="W79" s="29">
        <v>5.61</v>
      </c>
      <c r="X79" s="29">
        <v>0.18</v>
      </c>
      <c r="Y79" s="29">
        <v>0.68</v>
      </c>
      <c r="Z79" s="29">
        <v>46.35</v>
      </c>
      <c r="AA79" s="19"/>
      <c r="AB79" s="20">
        <f>SUM(V79:AA79)</f>
        <v>100</v>
      </c>
      <c r="AC79" s="27">
        <v>47.18</v>
      </c>
      <c r="AD79" s="27">
        <v>5.61</v>
      </c>
      <c r="AE79" s="27">
        <v>0.18</v>
      </c>
      <c r="AF79" s="27">
        <v>0.68</v>
      </c>
      <c r="AG79" s="27">
        <v>46.35</v>
      </c>
      <c r="AJ79" s="29">
        <v>18.366</v>
      </c>
      <c r="AL79" s="29">
        <f>AM79*(Q79+R79+S79)/(Q79+R79)</f>
        <v>20.278237827095065</v>
      </c>
      <c r="AM79" s="29">
        <v>18.366</v>
      </c>
      <c r="AN79" s="19">
        <f>AM79*(Q79+R79+S79)/(P79+Q79+R79+S79)</f>
        <v>18.366</v>
      </c>
      <c r="AO79" s="20">
        <v>31</v>
      </c>
    </row>
    <row r="80" spans="1:41">
      <c r="A80" s="19">
        <f t="shared" si="78"/>
        <v>79</v>
      </c>
      <c r="B80" s="29" t="s">
        <v>219</v>
      </c>
      <c r="C80" s="29">
        <v>2</v>
      </c>
      <c r="D80" s="29" t="s">
        <v>201</v>
      </c>
      <c r="E80" s="29" t="s">
        <v>251</v>
      </c>
      <c r="F80" s="19"/>
      <c r="G80" s="29"/>
      <c r="H80" s="29"/>
      <c r="I80" s="19"/>
      <c r="J80" s="20" t="s">
        <v>221</v>
      </c>
      <c r="K80" s="29"/>
      <c r="L80" s="29">
        <v>73.7</v>
      </c>
      <c r="M80" s="29">
        <v>17.38</v>
      </c>
      <c r="N80" s="19">
        <v>8.92</v>
      </c>
      <c r="O80" s="20">
        <f t="shared" si="79"/>
        <v>100</v>
      </c>
      <c r="P80" s="29">
        <v>0</v>
      </c>
      <c r="Q80" s="27">
        <v>73.7</v>
      </c>
      <c r="R80" s="27">
        <v>17.38</v>
      </c>
      <c r="S80" s="20">
        <v>8.92</v>
      </c>
      <c r="U80" s="20" t="s">
        <v>215</v>
      </c>
      <c r="V80" s="29">
        <v>47.25</v>
      </c>
      <c r="W80" s="29">
        <v>5.57</v>
      </c>
      <c r="X80" s="29">
        <v>0.19</v>
      </c>
      <c r="Y80" s="29">
        <v>0.73</v>
      </c>
      <c r="Z80" s="29">
        <v>46.26</v>
      </c>
      <c r="AA80" s="19"/>
      <c r="AB80" s="20">
        <f>SUM(V80:AA80)</f>
        <v>100</v>
      </c>
      <c r="AC80" s="27">
        <v>47.25</v>
      </c>
      <c r="AD80" s="27">
        <v>5.57</v>
      </c>
      <c r="AE80" s="27">
        <v>0.19</v>
      </c>
      <c r="AF80" s="27">
        <v>0.73</v>
      </c>
      <c r="AG80" s="27">
        <v>46.26</v>
      </c>
      <c r="AJ80" s="29">
        <v>17.198</v>
      </c>
      <c r="AL80" s="29">
        <f>AM80*(Q80+R80+S80)/(Q80+R80)</f>
        <v>18.88230127360562</v>
      </c>
      <c r="AM80" s="29">
        <v>17.198</v>
      </c>
      <c r="AN80" s="19">
        <f>AM80*(Q80+R80+S80)/(P80+Q80+R80+S80)</f>
        <v>17.198</v>
      </c>
      <c r="AO80" s="20">
        <v>31</v>
      </c>
    </row>
    <row r="81" spans="1:41">
      <c r="A81" s="19">
        <f t="shared" si="78"/>
        <v>80</v>
      </c>
      <c r="B81" s="29" t="s">
        <v>219</v>
      </c>
      <c r="C81" s="29">
        <v>2</v>
      </c>
      <c r="D81" s="29" t="s">
        <v>201</v>
      </c>
      <c r="E81" s="29" t="s">
        <v>251</v>
      </c>
      <c r="F81" s="19"/>
      <c r="G81" s="29"/>
      <c r="H81" s="29"/>
      <c r="I81" s="19"/>
      <c r="J81" s="20" t="s">
        <v>221</v>
      </c>
      <c r="K81" s="29"/>
      <c r="L81" s="29">
        <v>76.52</v>
      </c>
      <c r="M81" s="29">
        <v>16.38</v>
      </c>
      <c r="N81" s="19">
        <v>7.09</v>
      </c>
      <c r="O81" s="20">
        <f t="shared" si="79"/>
        <v>99.99</v>
      </c>
      <c r="P81" s="27">
        <f t="shared" ref="P81" si="84">100*K81/O81</f>
        <v>0</v>
      </c>
      <c r="Q81" s="27">
        <f t="shared" ref="Q81" si="85">100*L81/O81</f>
        <v>76.527652765276528</v>
      </c>
      <c r="R81" s="27">
        <f t="shared" ref="R81" si="86">100*M81/O81</f>
        <v>16.381638163816383</v>
      </c>
      <c r="S81" s="20">
        <f t="shared" ref="S81" si="87">100*N81/O81</f>
        <v>7.0907090709070912</v>
      </c>
      <c r="V81" s="29"/>
      <c r="W81" s="29"/>
      <c r="X81" s="29"/>
      <c r="Y81" s="29"/>
      <c r="Z81" s="29"/>
      <c r="AA81" s="19"/>
      <c r="AJ81" s="29">
        <v>22.599</v>
      </c>
      <c r="AL81" s="29">
        <f>AM81*(Q81+R81+S81)/(Q81+R81)</f>
        <v>24.323724542518843</v>
      </c>
      <c r="AM81" s="29">
        <v>22.599</v>
      </c>
      <c r="AN81" s="19">
        <f>AM81*(Q81+R81+S81)/(P81+Q81+R81+S81)</f>
        <v>22.599000000000004</v>
      </c>
      <c r="AO81" s="20">
        <v>31</v>
      </c>
    </row>
    <row r="82" spans="1:41">
      <c r="A82" s="19">
        <f t="shared" si="78"/>
        <v>81</v>
      </c>
      <c r="B82" s="29" t="s">
        <v>219</v>
      </c>
      <c r="C82" s="29">
        <v>2</v>
      </c>
      <c r="D82" s="29" t="s">
        <v>201</v>
      </c>
      <c r="E82" s="29" t="s">
        <v>251</v>
      </c>
      <c r="F82" s="19"/>
      <c r="G82" s="29"/>
      <c r="H82" s="29"/>
      <c r="I82" s="19"/>
      <c r="J82" s="20" t="s">
        <v>221</v>
      </c>
      <c r="K82" s="29"/>
      <c r="L82" s="29">
        <v>75.55</v>
      </c>
      <c r="M82" s="29">
        <v>17.260000000000002</v>
      </c>
      <c r="N82" s="19">
        <v>7.19</v>
      </c>
      <c r="O82" s="20">
        <f t="shared" si="79"/>
        <v>100</v>
      </c>
      <c r="P82" s="29">
        <v>0</v>
      </c>
      <c r="Q82" s="27">
        <v>75.55</v>
      </c>
      <c r="R82" s="27">
        <v>17.260000000000002</v>
      </c>
      <c r="S82" s="20">
        <v>7.19</v>
      </c>
      <c r="V82" s="29"/>
      <c r="W82" s="29"/>
      <c r="X82" s="29"/>
      <c r="Y82" s="29"/>
      <c r="Z82" s="29"/>
      <c r="AA82" s="19"/>
      <c r="AJ82" s="29"/>
      <c r="AM82" s="29"/>
      <c r="AO82" s="20">
        <v>31</v>
      </c>
    </row>
    <row r="83" spans="1:41">
      <c r="A83" s="19">
        <f t="shared" si="78"/>
        <v>82</v>
      </c>
      <c r="B83" s="29" t="s">
        <v>219</v>
      </c>
      <c r="C83" s="29">
        <v>2</v>
      </c>
      <c r="D83" s="29" t="s">
        <v>201</v>
      </c>
      <c r="E83" s="29" t="s">
        <v>252</v>
      </c>
      <c r="F83" s="19"/>
      <c r="G83" s="29"/>
      <c r="H83" s="29"/>
      <c r="I83" s="19"/>
      <c r="K83" s="29"/>
      <c r="L83" s="29"/>
      <c r="M83" s="29"/>
      <c r="N83" s="19"/>
      <c r="U83" s="20" t="s">
        <v>215</v>
      </c>
      <c r="V83" s="29">
        <v>52.57</v>
      </c>
      <c r="W83" s="29">
        <v>6.3</v>
      </c>
      <c r="X83" s="29">
        <v>0.54</v>
      </c>
      <c r="Y83" s="29">
        <v>0.16</v>
      </c>
      <c r="Z83" s="29">
        <v>40.44</v>
      </c>
      <c r="AA83" s="19"/>
      <c r="AB83" s="20">
        <f t="shared" ref="AB83:AB129" si="88">SUM(V83:AA83)</f>
        <v>100.00999999999999</v>
      </c>
      <c r="AC83" s="27">
        <f>100*V83/$AB$83</f>
        <v>52.564743525647437</v>
      </c>
      <c r="AD83" s="27">
        <f>100*W83/$AB$83</f>
        <v>6.2993700629937015</v>
      </c>
      <c r="AE83" s="27">
        <f>100*X83/$AB$83</f>
        <v>0.53994600539946014</v>
      </c>
      <c r="AF83" s="27">
        <f>100*Y83/$AB$83</f>
        <v>0.15998400159984003</v>
      </c>
      <c r="AG83" s="27">
        <f>100*Z83/$AB$83</f>
        <v>40.435956404359565</v>
      </c>
      <c r="AJ83" s="29">
        <v>20.843</v>
      </c>
      <c r="AM83" s="29">
        <v>20.843</v>
      </c>
      <c r="AO83" s="20">
        <v>31</v>
      </c>
    </row>
    <row r="84" spans="1:41">
      <c r="A84" s="19">
        <f t="shared" si="78"/>
        <v>83</v>
      </c>
      <c r="B84" s="29" t="s">
        <v>219</v>
      </c>
      <c r="C84" s="29">
        <v>2</v>
      </c>
      <c r="D84" s="29" t="s">
        <v>201</v>
      </c>
      <c r="E84" s="29" t="s">
        <v>253</v>
      </c>
      <c r="F84" s="19"/>
      <c r="G84" s="29"/>
      <c r="H84" s="29"/>
      <c r="I84" s="19"/>
      <c r="K84" s="29"/>
      <c r="L84" s="29"/>
      <c r="M84" s="29"/>
      <c r="N84" s="19"/>
      <c r="U84" s="20" t="s">
        <v>215</v>
      </c>
      <c r="V84" s="29">
        <v>49.54</v>
      </c>
      <c r="W84" s="29">
        <v>5.24</v>
      </c>
      <c r="X84" s="29">
        <v>1.31</v>
      </c>
      <c r="Y84" s="29">
        <v>0.31</v>
      </c>
      <c r="Z84" s="29">
        <v>43.49</v>
      </c>
      <c r="AA84" s="19"/>
      <c r="AB84" s="20">
        <f t="shared" si="88"/>
        <v>99.890000000000015</v>
      </c>
      <c r="AC84" s="27">
        <f>100*V84/$AB$84</f>
        <v>49.594554009410345</v>
      </c>
      <c r="AD84" s="27">
        <f>100*W84/$AB$84</f>
        <v>5.2457703473821198</v>
      </c>
      <c r="AE84" s="27">
        <f>100*X84/$AB$84</f>
        <v>1.3114425868455299</v>
      </c>
      <c r="AF84" s="27">
        <f>100*Y84/$AB$84</f>
        <v>0.31034137551306434</v>
      </c>
      <c r="AG84" s="27">
        <f>100*Z84/$AB$84</f>
        <v>43.537891680848929</v>
      </c>
      <c r="AJ84" s="29">
        <v>16.850000000000001</v>
      </c>
      <c r="AM84" s="29">
        <v>16.850000000000001</v>
      </c>
      <c r="AO84" s="20">
        <v>31</v>
      </c>
    </row>
    <row r="85" spans="1:41">
      <c r="A85" s="19">
        <f t="shared" si="78"/>
        <v>84</v>
      </c>
      <c r="B85" s="29" t="s">
        <v>219</v>
      </c>
      <c r="C85" s="29">
        <v>2</v>
      </c>
      <c r="D85" s="29" t="s">
        <v>201</v>
      </c>
      <c r="E85" s="29" t="s">
        <v>254</v>
      </c>
      <c r="F85" s="19"/>
      <c r="G85" s="29"/>
      <c r="H85" s="29"/>
      <c r="I85" s="19"/>
      <c r="K85" s="29"/>
      <c r="L85" s="29"/>
      <c r="M85" s="29"/>
      <c r="N85" s="19"/>
      <c r="U85" s="20" t="s">
        <v>215</v>
      </c>
      <c r="V85" s="29">
        <v>48.37</v>
      </c>
      <c r="W85" s="29">
        <v>6.3</v>
      </c>
      <c r="X85" s="29">
        <v>0.49</v>
      </c>
      <c r="Y85" s="29">
        <v>0.25</v>
      </c>
      <c r="Z85" s="29">
        <v>44.58</v>
      </c>
      <c r="AA85" s="19"/>
      <c r="AB85" s="20">
        <f t="shared" si="88"/>
        <v>99.99</v>
      </c>
      <c r="AC85" s="27">
        <f>100*V85/$AB$85</f>
        <v>48.374837483748379</v>
      </c>
      <c r="AD85" s="27">
        <f>100*W85/$AB$85</f>
        <v>6.3006300630063006</v>
      </c>
      <c r="AE85" s="27">
        <f>100*X85/$AB$85</f>
        <v>0.49004900490049008</v>
      </c>
      <c r="AF85" s="27">
        <f>100*Y85/$AB$85</f>
        <v>0.25002500250025006</v>
      </c>
      <c r="AG85" s="27">
        <f>100*Z85/$AB$85</f>
        <v>44.584458445844589</v>
      </c>
      <c r="AJ85" s="29">
        <v>22.126999999999999</v>
      </c>
      <c r="AM85" s="29">
        <v>22.126999999999999</v>
      </c>
      <c r="AO85" s="20">
        <v>31</v>
      </c>
    </row>
    <row r="86" spans="1:41">
      <c r="A86" s="19">
        <f t="shared" si="78"/>
        <v>85</v>
      </c>
      <c r="B86" s="29" t="s">
        <v>219</v>
      </c>
      <c r="C86" s="29">
        <v>2</v>
      </c>
      <c r="D86" s="29" t="s">
        <v>201</v>
      </c>
      <c r="E86" s="29" t="s">
        <v>254</v>
      </c>
      <c r="F86" s="19"/>
      <c r="G86" s="29"/>
      <c r="H86" s="29"/>
      <c r="I86" s="19"/>
      <c r="J86" s="20" t="s">
        <v>221</v>
      </c>
      <c r="K86" s="29"/>
      <c r="L86" s="29">
        <v>74.12</v>
      </c>
      <c r="M86" s="29">
        <v>18.43</v>
      </c>
      <c r="N86" s="19">
        <v>7.44</v>
      </c>
      <c r="O86" s="20">
        <f>SUM(K86:N86)</f>
        <v>99.990000000000009</v>
      </c>
      <c r="P86" s="27">
        <f t="shared" ref="P86" si="89">100*K86/O86</f>
        <v>0</v>
      </c>
      <c r="Q86" s="27">
        <f t="shared" ref="Q86" si="90">100*L86/O86</f>
        <v>74.127412741274114</v>
      </c>
      <c r="R86" s="27">
        <f t="shared" ref="R86" si="91">100*M86/O86</f>
        <v>18.431843184318431</v>
      </c>
      <c r="S86" s="20">
        <f t="shared" ref="S86" si="92">100*N86/O86</f>
        <v>7.4407440744074398</v>
      </c>
      <c r="U86" s="20" t="s">
        <v>215</v>
      </c>
      <c r="V86" s="29">
        <v>46.91</v>
      </c>
      <c r="W86" s="29">
        <v>5.89</v>
      </c>
      <c r="X86" s="29">
        <v>0.7</v>
      </c>
      <c r="Y86" s="29">
        <v>0.21</v>
      </c>
      <c r="Z86" s="29">
        <v>46.3</v>
      </c>
      <c r="AA86" s="19"/>
      <c r="AB86" s="20">
        <f t="shared" si="88"/>
        <v>100.00999999999999</v>
      </c>
      <c r="AC86" s="27">
        <f>100*V86/$AB$86</f>
        <v>46.905309469053101</v>
      </c>
      <c r="AD86" s="27">
        <f>100*W86/$AB$86</f>
        <v>5.8894110588941109</v>
      </c>
      <c r="AE86" s="27">
        <f>100*X86/$AB$86</f>
        <v>0.69993000699930008</v>
      </c>
      <c r="AF86" s="27">
        <f>100*Y86/$AB$86</f>
        <v>0.20997900209979004</v>
      </c>
      <c r="AG86" s="27">
        <f>100*Z86/$AB$86</f>
        <v>46.295370462953706</v>
      </c>
      <c r="AJ86" s="29">
        <v>17.983000000000001</v>
      </c>
      <c r="AL86" s="29">
        <f>AM86*(Q86+R86+S86)/(Q86+R86)</f>
        <v>19.428635008103726</v>
      </c>
      <c r="AM86" s="29">
        <v>17.983000000000001</v>
      </c>
      <c r="AN86" s="19">
        <f>AM86*(Q86+R86+S86)/(P86+Q86+R86+S86)</f>
        <v>17.983000000000001</v>
      </c>
      <c r="AO86" s="20">
        <v>31</v>
      </c>
    </row>
    <row r="87" spans="1:41">
      <c r="A87" s="19">
        <f t="shared" si="78"/>
        <v>86</v>
      </c>
      <c r="B87" s="29" t="s">
        <v>219</v>
      </c>
      <c r="C87" s="29">
        <v>2</v>
      </c>
      <c r="D87" s="29" t="s">
        <v>201</v>
      </c>
      <c r="E87" s="29" t="s">
        <v>255</v>
      </c>
      <c r="F87" s="19"/>
      <c r="G87" s="29"/>
      <c r="H87" s="29"/>
      <c r="I87" s="19"/>
      <c r="J87" s="20" t="s">
        <v>221</v>
      </c>
      <c r="K87" s="29"/>
      <c r="L87" s="29">
        <v>78.790000000000006</v>
      </c>
      <c r="M87" s="29">
        <v>16.690000000000001</v>
      </c>
      <c r="N87" s="19">
        <v>4.5199999999999996</v>
      </c>
      <c r="O87" s="20">
        <f>SUM(K87:N87)</f>
        <v>100</v>
      </c>
      <c r="P87" s="29">
        <v>0</v>
      </c>
      <c r="Q87" s="27">
        <v>78.790000000000006</v>
      </c>
      <c r="R87" s="27">
        <v>16.690000000000001</v>
      </c>
      <c r="S87" s="20">
        <v>4.5199999999999996</v>
      </c>
      <c r="U87" s="20" t="s">
        <v>215</v>
      </c>
      <c r="V87" s="29">
        <v>56.41</v>
      </c>
      <c r="W87" s="29">
        <v>7.27</v>
      </c>
      <c r="X87" s="29">
        <v>0.75</v>
      </c>
      <c r="Y87" s="29">
        <v>0</v>
      </c>
      <c r="Z87" s="29">
        <v>35.58</v>
      </c>
      <c r="AA87" s="19"/>
      <c r="AB87" s="20">
        <f t="shared" si="88"/>
        <v>100.00999999999999</v>
      </c>
      <c r="AC87" s="27">
        <f>100*V87/$AB$87</f>
        <v>56.404359564043602</v>
      </c>
      <c r="AD87" s="27">
        <f>100*W87/$AB$86</f>
        <v>7.269273072692731</v>
      </c>
      <c r="AE87" s="27">
        <f>100*X87/$AB$86</f>
        <v>0.74992500749925017</v>
      </c>
      <c r="AF87" s="27">
        <f>100*Y87/$AB$86</f>
        <v>0</v>
      </c>
      <c r="AG87" s="27">
        <f>100*Z87/$AB$86</f>
        <v>35.576442355764428</v>
      </c>
      <c r="AJ87" s="29"/>
      <c r="AM87" s="29"/>
      <c r="AO87" s="20">
        <v>31</v>
      </c>
    </row>
    <row r="88" spans="1:41">
      <c r="A88" s="19">
        <f t="shared" si="78"/>
        <v>87</v>
      </c>
      <c r="B88" s="29" t="s">
        <v>219</v>
      </c>
      <c r="C88" s="29">
        <v>2</v>
      </c>
      <c r="D88" s="29" t="s">
        <v>201</v>
      </c>
      <c r="E88" s="29" t="s">
        <v>256</v>
      </c>
      <c r="F88" s="19"/>
      <c r="G88" s="29"/>
      <c r="H88" s="29"/>
      <c r="I88" s="19"/>
      <c r="J88" s="20" t="s">
        <v>221</v>
      </c>
      <c r="K88" s="29"/>
      <c r="L88" s="29">
        <v>78</v>
      </c>
      <c r="M88" s="29">
        <v>15.95</v>
      </c>
      <c r="N88" s="19">
        <v>6.05</v>
      </c>
      <c r="O88" s="20">
        <f>SUM(K88:N88)</f>
        <v>100</v>
      </c>
      <c r="P88" s="29">
        <v>0</v>
      </c>
      <c r="Q88" s="27">
        <v>78</v>
      </c>
      <c r="R88" s="27">
        <v>15.95</v>
      </c>
      <c r="S88" s="20">
        <v>6.05</v>
      </c>
      <c r="U88" s="20" t="s">
        <v>215</v>
      </c>
      <c r="V88" s="29">
        <v>52.59</v>
      </c>
      <c r="W88" s="29">
        <v>7.08</v>
      </c>
      <c r="X88" s="29">
        <v>1.1100000000000001</v>
      </c>
      <c r="Y88" s="29">
        <v>0</v>
      </c>
      <c r="Z88" s="29">
        <v>39.22</v>
      </c>
      <c r="AA88" s="19"/>
      <c r="AB88" s="20">
        <f t="shared" si="88"/>
        <v>100</v>
      </c>
      <c r="AC88" s="27">
        <v>52.59</v>
      </c>
      <c r="AD88" s="27">
        <v>7.08</v>
      </c>
      <c r="AE88" s="27">
        <v>1.1100000000000001</v>
      </c>
      <c r="AF88" s="27">
        <v>0</v>
      </c>
      <c r="AG88" s="27">
        <v>39.22</v>
      </c>
      <c r="AJ88" s="29"/>
      <c r="AM88" s="29"/>
      <c r="AO88" s="20">
        <v>31</v>
      </c>
    </row>
    <row r="89" spans="1:41">
      <c r="A89" s="19">
        <f t="shared" si="78"/>
        <v>88</v>
      </c>
      <c r="B89" s="29" t="s">
        <v>219</v>
      </c>
      <c r="C89" s="29">
        <v>2</v>
      </c>
      <c r="D89" s="29" t="s">
        <v>201</v>
      </c>
      <c r="E89" s="29" t="s">
        <v>256</v>
      </c>
      <c r="F89" s="19"/>
      <c r="G89" s="29"/>
      <c r="H89" s="29"/>
      <c r="I89" s="19"/>
      <c r="K89" s="29"/>
      <c r="L89" s="29"/>
      <c r="M89" s="29"/>
      <c r="N89" s="19"/>
      <c r="U89" s="20" t="s">
        <v>215</v>
      </c>
      <c r="V89" s="29">
        <v>47.81</v>
      </c>
      <c r="W89" s="29">
        <v>6.32</v>
      </c>
      <c r="X89" s="29">
        <v>0.4</v>
      </c>
      <c r="Y89" s="29">
        <v>0.11</v>
      </c>
      <c r="Z89" s="29">
        <v>45.36</v>
      </c>
      <c r="AA89" s="19"/>
      <c r="AB89" s="20">
        <f t="shared" si="88"/>
        <v>100</v>
      </c>
      <c r="AC89" s="27">
        <v>47.81</v>
      </c>
      <c r="AD89" s="27">
        <v>6.32</v>
      </c>
      <c r="AE89" s="27">
        <v>0.4</v>
      </c>
      <c r="AF89" s="27">
        <v>0.11</v>
      </c>
      <c r="AG89" s="27">
        <v>45.36</v>
      </c>
      <c r="AJ89" s="29"/>
      <c r="AM89" s="29"/>
      <c r="AO89" s="23">
        <v>31</v>
      </c>
    </row>
    <row r="90" spans="1:41" s="105" customFormat="1">
      <c r="A90" s="102">
        <f t="shared" si="78"/>
        <v>89</v>
      </c>
      <c r="B90" s="103" t="s">
        <v>197</v>
      </c>
      <c r="C90" s="103">
        <v>3</v>
      </c>
      <c r="D90" s="103" t="s">
        <v>217</v>
      </c>
      <c r="E90" s="103" t="s">
        <v>204</v>
      </c>
      <c r="F90" s="102"/>
      <c r="G90" s="103"/>
      <c r="H90" s="103"/>
      <c r="I90" s="102"/>
      <c r="J90" s="104" t="s">
        <v>218</v>
      </c>
      <c r="K90" s="103">
        <v>8.82</v>
      </c>
      <c r="L90" s="106">
        <v>66.64</v>
      </c>
      <c r="M90" s="106">
        <v>17.39</v>
      </c>
      <c r="N90" s="108">
        <v>7.15</v>
      </c>
      <c r="O90" s="104">
        <f t="shared" ref="O90:O99" si="93">SUM(K90:N90)</f>
        <v>100.00000000000001</v>
      </c>
      <c r="P90" s="103">
        <v>8.82</v>
      </c>
      <c r="Q90" s="106">
        <v>66.64</v>
      </c>
      <c r="R90" s="106">
        <v>17.39</v>
      </c>
      <c r="S90" s="108">
        <v>7.15</v>
      </c>
      <c r="T90" s="104"/>
      <c r="U90" s="102" t="s">
        <v>214</v>
      </c>
      <c r="V90" s="106">
        <v>41.93</v>
      </c>
      <c r="W90" s="106">
        <v>5.72</v>
      </c>
      <c r="X90" s="106">
        <v>0.7</v>
      </c>
      <c r="Y90" s="106">
        <v>0.1</v>
      </c>
      <c r="Z90" s="106">
        <v>44.4</v>
      </c>
      <c r="AA90" s="102">
        <v>0.1</v>
      </c>
      <c r="AB90" s="104">
        <f t="shared" si="88"/>
        <v>92.949999999999989</v>
      </c>
      <c r="AC90" s="38">
        <f>100*V90/AB90</f>
        <v>45.110274341043578</v>
      </c>
      <c r="AD90" s="38">
        <f>100*W90/AB90</f>
        <v>6.1538461538461542</v>
      </c>
      <c r="AE90" s="38">
        <f>100*X90/AB90</f>
        <v>0.75309306078536853</v>
      </c>
      <c r="AF90" s="38">
        <f>100*Y90/AB90</f>
        <v>0.10758472296933837</v>
      </c>
      <c r="AG90" s="38">
        <f>100*Z90/AB90</f>
        <v>47.767616998386238</v>
      </c>
      <c r="AH90" s="107">
        <f>100*AA90/AB90</f>
        <v>0.10758472296933837</v>
      </c>
      <c r="AJ90" s="106">
        <v>15.68</v>
      </c>
      <c r="AK90" s="104"/>
      <c r="AL90" s="103">
        <f>AM90*(Q90+R90+S90)/(Q90+R90)</f>
        <v>17.014190170177319</v>
      </c>
      <c r="AM90" s="106">
        <v>15.68</v>
      </c>
      <c r="AN90" s="102">
        <f>AM90*(Q90+R90+S90)/(P90+Q90+R90+S90)</f>
        <v>14.297023999999999</v>
      </c>
      <c r="AO90" s="19">
        <v>38</v>
      </c>
    </row>
    <row r="91" spans="1:41">
      <c r="A91" s="19">
        <f t="shared" si="78"/>
        <v>90</v>
      </c>
      <c r="B91" s="29" t="s">
        <v>197</v>
      </c>
      <c r="C91" s="29">
        <v>3</v>
      </c>
      <c r="D91" s="29" t="s">
        <v>217</v>
      </c>
      <c r="E91" s="29" t="s">
        <v>204</v>
      </c>
      <c r="F91" s="19"/>
      <c r="G91" s="29"/>
      <c r="H91" s="29"/>
      <c r="I91" s="19"/>
      <c r="J91" s="20" t="s">
        <v>221</v>
      </c>
      <c r="K91" s="29">
        <v>8.42</v>
      </c>
      <c r="L91" s="31">
        <v>76.42</v>
      </c>
      <c r="M91" s="31">
        <v>13.16</v>
      </c>
      <c r="N91" s="22">
        <v>2</v>
      </c>
      <c r="O91" s="20">
        <f t="shared" si="93"/>
        <v>100</v>
      </c>
      <c r="P91" s="29">
        <v>8.42</v>
      </c>
      <c r="Q91" s="31">
        <v>76.42</v>
      </c>
      <c r="R91" s="31">
        <v>13.16</v>
      </c>
      <c r="S91" s="22">
        <v>2</v>
      </c>
      <c r="U91" s="19" t="s">
        <v>214</v>
      </c>
      <c r="V91" s="31">
        <v>43.73</v>
      </c>
      <c r="W91" s="31">
        <v>4.62</v>
      </c>
      <c r="X91" s="31">
        <v>0.27</v>
      </c>
      <c r="Y91" s="31">
        <v>0.04</v>
      </c>
      <c r="Z91" s="31">
        <v>40.96</v>
      </c>
      <c r="AA91" s="19"/>
      <c r="AB91" s="20">
        <f t="shared" si="88"/>
        <v>89.62</v>
      </c>
      <c r="AC91" s="30">
        <f>100*V91/AB91</f>
        <v>48.794911850033472</v>
      </c>
      <c r="AD91" s="30">
        <f>100*W91/AB91</f>
        <v>5.1550993081901355</v>
      </c>
      <c r="AE91" s="30">
        <f>100*X91/AB91</f>
        <v>0.30127203749163134</v>
      </c>
      <c r="AF91" s="30">
        <f>100*Y91/AB91</f>
        <v>4.4632894443204639E-2</v>
      </c>
      <c r="AG91" s="30">
        <f>100*Z91/AB91</f>
        <v>45.70408390984155</v>
      </c>
      <c r="AH91" s="21"/>
      <c r="AI91" s="29"/>
      <c r="AL91" s="29"/>
      <c r="AO91" s="36">
        <v>17</v>
      </c>
    </row>
    <row r="92" spans="1:41">
      <c r="A92" s="19">
        <f t="shared" si="78"/>
        <v>91</v>
      </c>
      <c r="B92" s="29" t="s">
        <v>197</v>
      </c>
      <c r="C92" s="29">
        <v>3</v>
      </c>
      <c r="D92" s="29" t="s">
        <v>217</v>
      </c>
      <c r="E92" s="29" t="s">
        <v>204</v>
      </c>
      <c r="F92" s="19"/>
      <c r="G92" s="29"/>
      <c r="H92" s="29"/>
      <c r="I92" s="19"/>
      <c r="J92" s="20" t="s">
        <v>1172</v>
      </c>
      <c r="K92" s="29">
        <v>36.549999999999997</v>
      </c>
      <c r="L92" s="29"/>
      <c r="M92" s="29"/>
      <c r="N92" s="19">
        <v>1.88</v>
      </c>
      <c r="O92" s="20">
        <f t="shared" si="93"/>
        <v>38.43</v>
      </c>
      <c r="U92" s="19" t="s">
        <v>221</v>
      </c>
      <c r="V92" s="31">
        <v>44.76</v>
      </c>
      <c r="W92" s="31">
        <v>8.81</v>
      </c>
      <c r="X92" s="31">
        <v>0.28000000000000003</v>
      </c>
      <c r="Y92" s="31">
        <v>0.45</v>
      </c>
      <c r="Z92" s="31">
        <v>43.82</v>
      </c>
      <c r="AA92" s="19"/>
      <c r="AB92" s="20">
        <f t="shared" si="88"/>
        <v>98.12</v>
      </c>
      <c r="AC92" s="30">
        <f>100*V92/AB92</f>
        <v>45.617611088463107</v>
      </c>
      <c r="AD92" s="30">
        <f>100*W92/AB92</f>
        <v>8.9788014675907046</v>
      </c>
      <c r="AE92" s="30">
        <f>100*X92/AB92</f>
        <v>0.28536485935589079</v>
      </c>
      <c r="AF92" s="30">
        <f>100*Y92/AB92</f>
        <v>0.45862209539339582</v>
      </c>
      <c r="AG92" s="30">
        <f>100*Z92/AB92</f>
        <v>44.659600489196897</v>
      </c>
      <c r="AH92" s="21"/>
      <c r="AI92" s="29"/>
      <c r="AK92" s="20">
        <v>14.6</v>
      </c>
      <c r="AL92" s="27">
        <f>AN92*100/(100-O92)</f>
        <v>23.712847165827512</v>
      </c>
      <c r="AM92" s="27">
        <f>AN92*(100)/(100-K92)</f>
        <v>23.010244286840031</v>
      </c>
      <c r="AN92" s="20">
        <v>14.6</v>
      </c>
      <c r="AO92" s="19">
        <v>22</v>
      </c>
    </row>
    <row r="93" spans="1:41">
      <c r="A93" s="19">
        <f t="shared" si="78"/>
        <v>92</v>
      </c>
      <c r="B93" s="29" t="s">
        <v>197</v>
      </c>
      <c r="C93" s="29">
        <v>3</v>
      </c>
      <c r="D93" s="29" t="s">
        <v>217</v>
      </c>
      <c r="E93" s="29" t="s">
        <v>204</v>
      </c>
      <c r="F93" s="19"/>
      <c r="G93" s="29"/>
      <c r="H93" s="29"/>
      <c r="I93" s="19"/>
      <c r="J93" s="20" t="s">
        <v>221</v>
      </c>
      <c r="K93" s="29"/>
      <c r="L93" s="29"/>
      <c r="M93" s="29"/>
      <c r="N93" s="19">
        <v>1.1200000000000001</v>
      </c>
      <c r="O93" s="20">
        <f t="shared" si="93"/>
        <v>1.1200000000000001</v>
      </c>
      <c r="U93" s="19" t="s">
        <v>214</v>
      </c>
      <c r="V93" s="31">
        <v>46.95</v>
      </c>
      <c r="W93" s="31">
        <v>6.77</v>
      </c>
      <c r="X93" s="31">
        <v>0.16</v>
      </c>
      <c r="Y93" s="31">
        <v>3.0339805825242719E-2</v>
      </c>
      <c r="Z93" s="31">
        <v>43.55</v>
      </c>
      <c r="AA93" s="19"/>
      <c r="AB93" s="20">
        <f t="shared" si="88"/>
        <v>97.460339805825242</v>
      </c>
      <c r="AC93" s="30">
        <f>100*V93/AB93</f>
        <v>48.173441723618716</v>
      </c>
      <c r="AD93" s="30">
        <f>100*W93/AB93</f>
        <v>6.9464153454504523</v>
      </c>
      <c r="AE93" s="30">
        <f>100*X93/AB93</f>
        <v>0.16416934346707124</v>
      </c>
      <c r="AF93" s="30">
        <f>100*Y93/AB93</f>
        <v>3.1130412520303258E-2</v>
      </c>
      <c r="AG93" s="30">
        <f>100*Z93/AB93</f>
        <v>44.684843174943452</v>
      </c>
      <c r="AH93" s="21"/>
      <c r="AI93" s="31">
        <v>17.96</v>
      </c>
      <c r="AL93" s="31">
        <v>17.96</v>
      </c>
      <c r="AO93" s="36">
        <v>25</v>
      </c>
    </row>
    <row r="94" spans="1:41">
      <c r="A94" s="19">
        <f t="shared" si="78"/>
        <v>93</v>
      </c>
      <c r="B94" s="29" t="s">
        <v>197</v>
      </c>
      <c r="C94" s="29">
        <v>3</v>
      </c>
      <c r="D94" s="29" t="s">
        <v>217</v>
      </c>
      <c r="E94" s="29" t="s">
        <v>204</v>
      </c>
      <c r="F94" s="19"/>
      <c r="G94" s="29"/>
      <c r="H94" s="29"/>
      <c r="I94" s="19"/>
      <c r="J94" s="20" t="s">
        <v>221</v>
      </c>
      <c r="K94" s="29"/>
      <c r="L94" s="29"/>
      <c r="M94" s="29"/>
      <c r="N94" s="19">
        <v>1.01</v>
      </c>
      <c r="O94" s="20">
        <f t="shared" si="93"/>
        <v>1.01</v>
      </c>
      <c r="U94" s="19" t="s">
        <v>214</v>
      </c>
      <c r="V94" s="31">
        <v>47.72</v>
      </c>
      <c r="W94" s="31">
        <v>6.67</v>
      </c>
      <c r="X94" s="31">
        <v>0.14000000000000001</v>
      </c>
      <c r="Y94" s="31">
        <v>0.03</v>
      </c>
      <c r="Z94" s="31">
        <v>44.43</v>
      </c>
      <c r="AA94" s="19"/>
      <c r="AB94" s="20">
        <f t="shared" si="88"/>
        <v>98.990000000000009</v>
      </c>
      <c r="AC94" s="30">
        <f>100*V94/AB94</f>
        <v>48.20688958480654</v>
      </c>
      <c r="AD94" s="30">
        <f>100*W94/AB94</f>
        <v>6.7380543489241331</v>
      </c>
      <c r="AE94" s="30">
        <f>100*X94/AB94</f>
        <v>0.1414284271138499</v>
      </c>
      <c r="AF94" s="30">
        <f>100*Y94/AB94</f>
        <v>3.0306091524396402E-2</v>
      </c>
      <c r="AG94" s="30">
        <f>100*Z94/AB94</f>
        <v>44.88332154763107</v>
      </c>
      <c r="AH94" s="21"/>
      <c r="AI94" s="29"/>
      <c r="AJ94" s="27">
        <v>17.975000000000001</v>
      </c>
      <c r="AL94" s="29"/>
      <c r="AM94" s="27">
        <v>17.975000000000001</v>
      </c>
      <c r="AO94" s="19">
        <v>24</v>
      </c>
    </row>
    <row r="95" spans="1:41">
      <c r="A95" s="19">
        <f t="shared" si="78"/>
        <v>94</v>
      </c>
      <c r="B95" s="29" t="s">
        <v>197</v>
      </c>
      <c r="C95" s="29">
        <v>3</v>
      </c>
      <c r="D95" s="29" t="s">
        <v>217</v>
      </c>
      <c r="E95" s="29" t="s">
        <v>204</v>
      </c>
      <c r="F95" s="19"/>
      <c r="G95" s="29"/>
      <c r="H95" s="29"/>
      <c r="I95" s="19"/>
      <c r="J95" s="20" t="s">
        <v>221</v>
      </c>
      <c r="K95" s="29"/>
      <c r="L95" s="29">
        <v>79.81</v>
      </c>
      <c r="M95" s="29">
        <v>17.489999999999998</v>
      </c>
      <c r="N95" s="19">
        <v>2.7</v>
      </c>
      <c r="O95" s="20">
        <f t="shared" si="93"/>
        <v>100</v>
      </c>
      <c r="P95" s="27">
        <v>0</v>
      </c>
      <c r="Q95" s="29">
        <v>79.81</v>
      </c>
      <c r="R95" s="29">
        <v>17.489999999999998</v>
      </c>
      <c r="S95" s="19">
        <v>2.7</v>
      </c>
      <c r="U95" s="19" t="s">
        <v>214</v>
      </c>
      <c r="V95" s="31">
        <v>46.649537512846869</v>
      </c>
      <c r="W95" s="31">
        <v>6.4131551901336072</v>
      </c>
      <c r="X95" s="31">
        <v>0.18499486125385406</v>
      </c>
      <c r="Y95" s="31">
        <v>2.0452209660842753</v>
      </c>
      <c r="Z95" s="31">
        <v>44.707091469681401</v>
      </c>
      <c r="AA95" s="19"/>
      <c r="AB95" s="20">
        <f t="shared" si="88"/>
        <v>100</v>
      </c>
      <c r="AC95" s="31">
        <v>46.649537512846869</v>
      </c>
      <c r="AD95" s="31">
        <v>6.4131551901336072</v>
      </c>
      <c r="AE95" s="31">
        <v>0.18499486125385406</v>
      </c>
      <c r="AF95" s="31">
        <v>2.0452209660842753</v>
      </c>
      <c r="AG95" s="31">
        <v>44.707091469681401</v>
      </c>
      <c r="AH95" s="21"/>
      <c r="AI95" s="31">
        <v>17.36</v>
      </c>
      <c r="AL95" s="31">
        <v>17.36</v>
      </c>
      <c r="AM95" s="27">
        <f>AL95*(Q95+R95)/(Q95+R95+S95)</f>
        <v>16.891279999999998</v>
      </c>
      <c r="AN95" s="19">
        <f>AM95*(Q95+R95+S95)/(P95+Q95+R95+S95)</f>
        <v>16.891279999999998</v>
      </c>
      <c r="AO95" s="19">
        <v>14</v>
      </c>
    </row>
    <row r="96" spans="1:41">
      <c r="A96" s="19">
        <f t="shared" si="78"/>
        <v>95</v>
      </c>
      <c r="B96" s="29" t="s">
        <v>197</v>
      </c>
      <c r="C96" s="29">
        <v>3</v>
      </c>
      <c r="D96" s="29" t="s">
        <v>217</v>
      </c>
      <c r="E96" s="29" t="s">
        <v>213</v>
      </c>
      <c r="F96" s="26"/>
      <c r="G96" s="32"/>
      <c r="H96" s="32"/>
      <c r="I96" s="26"/>
      <c r="J96" s="20" t="s">
        <v>454</v>
      </c>
      <c r="K96" s="29">
        <v>9.2200000000000006</v>
      </c>
      <c r="L96" s="31">
        <v>79.040000000000006</v>
      </c>
      <c r="M96" s="31">
        <v>10.39</v>
      </c>
      <c r="N96" s="22">
        <v>1.35</v>
      </c>
      <c r="O96" s="20">
        <f t="shared" si="93"/>
        <v>100</v>
      </c>
      <c r="P96" s="29">
        <v>9.2200000000000006</v>
      </c>
      <c r="Q96" s="31">
        <v>79.040000000000006</v>
      </c>
      <c r="R96" s="31">
        <v>10.39</v>
      </c>
      <c r="S96" s="22">
        <v>1.35</v>
      </c>
      <c r="U96" s="19" t="s">
        <v>214</v>
      </c>
      <c r="V96" s="31">
        <v>46.26</v>
      </c>
      <c r="W96" s="31">
        <v>4.0599999999999996</v>
      </c>
      <c r="X96" s="31">
        <v>0.14000000000000001</v>
      </c>
      <c r="Y96" s="31">
        <v>7.0000000000000007E-2</v>
      </c>
      <c r="Z96" s="31">
        <v>38.9</v>
      </c>
      <c r="AA96" s="19"/>
      <c r="AB96" s="20">
        <f t="shared" si="88"/>
        <v>89.43</v>
      </c>
      <c r="AC96" s="30">
        <f>100*V96/AB96</f>
        <v>51.727608185172755</v>
      </c>
      <c r="AD96" s="30">
        <f>100*W96/AB96</f>
        <v>4.5398635804539857</v>
      </c>
      <c r="AE96" s="30">
        <f t="shared" ref="AE96" si="94">100*X96/AB96</f>
        <v>0.15654702001565471</v>
      </c>
      <c r="AF96" s="30">
        <f>100*Y96/AB96</f>
        <v>7.8273510007827354E-2</v>
      </c>
      <c r="AG96" s="30">
        <f>100*Z96/AB96</f>
        <v>43.497707704349764</v>
      </c>
      <c r="AH96" s="21"/>
      <c r="AI96" s="29"/>
      <c r="AJ96" s="27">
        <v>18.324999999999999</v>
      </c>
      <c r="AL96" s="29">
        <f>AM96*(Q96+R96+S96)/(Q96+R96)</f>
        <v>18.601626970815161</v>
      </c>
      <c r="AM96" s="27">
        <v>18.324999999999999</v>
      </c>
      <c r="AN96" s="19">
        <f>AM96*(Q96+R96+S96)/(P96+Q96+R96+S96)</f>
        <v>16.635435000000001</v>
      </c>
      <c r="AO96" s="19">
        <v>10</v>
      </c>
    </row>
    <row r="97" spans="1:41">
      <c r="A97" s="19">
        <f t="shared" si="78"/>
        <v>96</v>
      </c>
      <c r="B97" s="29" t="s">
        <v>197</v>
      </c>
      <c r="C97" s="29">
        <v>3</v>
      </c>
      <c r="D97" s="29" t="s">
        <v>217</v>
      </c>
      <c r="E97" s="29" t="s">
        <v>204</v>
      </c>
      <c r="F97" s="19"/>
      <c r="G97" s="29"/>
      <c r="H97" s="29"/>
      <c r="I97" s="19"/>
      <c r="J97" s="20" t="s">
        <v>454</v>
      </c>
      <c r="K97" s="29">
        <v>9.31</v>
      </c>
      <c r="L97" s="31">
        <v>74.959999999999994</v>
      </c>
      <c r="M97" s="31">
        <v>15.49</v>
      </c>
      <c r="N97" s="22">
        <v>0.24</v>
      </c>
      <c r="O97" s="20">
        <f t="shared" si="93"/>
        <v>99.999999999999986</v>
      </c>
      <c r="P97" s="29">
        <v>9.31</v>
      </c>
      <c r="Q97" s="31">
        <v>74.959999999999994</v>
      </c>
      <c r="R97" s="31">
        <v>15.49</v>
      </c>
      <c r="S97" s="22">
        <v>0.24</v>
      </c>
      <c r="U97" s="19" t="s">
        <v>214</v>
      </c>
      <c r="V97" s="31">
        <v>45.69</v>
      </c>
      <c r="W97" s="31">
        <v>7.57</v>
      </c>
      <c r="X97" s="31">
        <v>1.89</v>
      </c>
      <c r="Y97" s="31">
        <v>1.01</v>
      </c>
      <c r="Z97" s="31">
        <v>43.84</v>
      </c>
      <c r="AA97" s="19"/>
      <c r="AB97" s="20">
        <f t="shared" si="88"/>
        <v>100</v>
      </c>
      <c r="AC97" s="31">
        <v>45.69</v>
      </c>
      <c r="AD97" s="31">
        <v>7.57</v>
      </c>
      <c r="AE97" s="31">
        <v>1.89</v>
      </c>
      <c r="AF97" s="31">
        <v>1.01</v>
      </c>
      <c r="AG97" s="31">
        <v>43.84</v>
      </c>
      <c r="AH97" s="21"/>
      <c r="AI97" s="29"/>
      <c r="AL97" s="29"/>
      <c r="AO97" s="36">
        <v>23</v>
      </c>
    </row>
    <row r="98" spans="1:41">
      <c r="A98" s="19">
        <f t="shared" si="78"/>
        <v>97</v>
      </c>
      <c r="B98" s="29" t="s">
        <v>197</v>
      </c>
      <c r="C98" s="29">
        <v>3</v>
      </c>
      <c r="D98" s="29" t="s">
        <v>217</v>
      </c>
      <c r="E98" s="29" t="s">
        <v>204</v>
      </c>
      <c r="F98" s="19"/>
      <c r="G98" s="29"/>
      <c r="H98" s="29"/>
      <c r="I98" s="19"/>
      <c r="K98" s="29"/>
      <c r="L98" s="29"/>
      <c r="M98" s="29"/>
      <c r="N98" s="19"/>
      <c r="O98" s="20">
        <f t="shared" si="93"/>
        <v>0</v>
      </c>
      <c r="U98" s="19" t="s">
        <v>214</v>
      </c>
      <c r="V98" s="31">
        <v>42.4</v>
      </c>
      <c r="W98" s="31">
        <v>6.13</v>
      </c>
      <c r="X98" s="31">
        <v>1.07</v>
      </c>
      <c r="Y98" s="31">
        <v>0.72</v>
      </c>
      <c r="Z98" s="31">
        <v>39.39</v>
      </c>
      <c r="AA98" s="19"/>
      <c r="AB98" s="20">
        <f t="shared" si="88"/>
        <v>89.710000000000008</v>
      </c>
      <c r="AC98" s="30">
        <f>100*V98/AB98</f>
        <v>47.263404302753315</v>
      </c>
      <c r="AD98" s="30">
        <f>100*W98/AB98</f>
        <v>6.8331289711291934</v>
      </c>
      <c r="AE98" s="30">
        <f>100*X98/AB98</f>
        <v>1.1927321368855199</v>
      </c>
      <c r="AF98" s="30">
        <f>100*Y98/AB98</f>
        <v>0.80258611080147135</v>
      </c>
      <c r="AG98" s="30">
        <f>100*Z98/AB98</f>
        <v>43.908148478430498</v>
      </c>
      <c r="AH98" s="21"/>
      <c r="AI98" s="29"/>
      <c r="AL98" s="29"/>
      <c r="AO98" s="19">
        <v>26</v>
      </c>
    </row>
    <row r="99" spans="1:41">
      <c r="A99" s="19">
        <f t="shared" si="78"/>
        <v>98</v>
      </c>
      <c r="B99" s="29" t="s">
        <v>197</v>
      </c>
      <c r="C99" s="29">
        <v>3</v>
      </c>
      <c r="D99" s="29" t="s">
        <v>217</v>
      </c>
      <c r="E99" s="29" t="s">
        <v>213</v>
      </c>
      <c r="F99" s="26"/>
      <c r="G99" s="32"/>
      <c r="H99" s="32"/>
      <c r="I99" s="26"/>
      <c r="J99" s="20" t="s">
        <v>221</v>
      </c>
      <c r="K99" s="29">
        <v>0</v>
      </c>
      <c r="L99" s="31">
        <v>86.3</v>
      </c>
      <c r="M99" s="31">
        <v>13.3</v>
      </c>
      <c r="N99" s="22">
        <v>0.4</v>
      </c>
      <c r="O99" s="20">
        <f t="shared" si="93"/>
        <v>100</v>
      </c>
      <c r="P99" s="29">
        <v>0</v>
      </c>
      <c r="Q99" s="31">
        <v>86.3</v>
      </c>
      <c r="R99" s="31">
        <v>13.3</v>
      </c>
      <c r="S99" s="22">
        <v>0.4</v>
      </c>
      <c r="U99" s="19" t="s">
        <v>214</v>
      </c>
      <c r="V99" s="31">
        <v>47.7</v>
      </c>
      <c r="W99" s="31">
        <v>6.2</v>
      </c>
      <c r="X99" s="31">
        <v>0.1</v>
      </c>
      <c r="Y99" s="31">
        <v>0</v>
      </c>
      <c r="Z99" s="31">
        <v>46</v>
      </c>
      <c r="AA99" s="19"/>
      <c r="AB99" s="20">
        <f t="shared" si="88"/>
        <v>100</v>
      </c>
      <c r="AC99" s="31">
        <v>47.7</v>
      </c>
      <c r="AD99" s="31">
        <v>6.2</v>
      </c>
      <c r="AE99" s="31">
        <v>0.1</v>
      </c>
      <c r="AF99" s="31">
        <v>0</v>
      </c>
      <c r="AG99" s="31">
        <v>46</v>
      </c>
      <c r="AH99" s="21"/>
      <c r="AI99" s="29"/>
      <c r="AL99" s="29"/>
      <c r="AO99" s="36">
        <v>36</v>
      </c>
    </row>
    <row r="100" spans="1:41">
      <c r="A100" s="19">
        <f t="shared" si="78"/>
        <v>99</v>
      </c>
      <c r="B100" s="29" t="s">
        <v>219</v>
      </c>
      <c r="C100" s="29">
        <v>3</v>
      </c>
      <c r="D100" s="29" t="s">
        <v>217</v>
      </c>
      <c r="E100" s="29" t="s">
        <v>233</v>
      </c>
      <c r="F100" s="19"/>
      <c r="G100" s="29"/>
      <c r="H100" s="29"/>
      <c r="I100" s="19"/>
      <c r="K100" s="29"/>
      <c r="L100" s="29"/>
      <c r="M100" s="29"/>
      <c r="N100" s="19"/>
      <c r="U100" s="19" t="s">
        <v>214</v>
      </c>
      <c r="V100" s="29">
        <v>49.7</v>
      </c>
      <c r="W100" s="29">
        <v>6.1</v>
      </c>
      <c r="X100" s="29">
        <v>0.1</v>
      </c>
      <c r="Y100" s="29">
        <v>0.1</v>
      </c>
      <c r="Z100" s="29">
        <v>44</v>
      </c>
      <c r="AA100" s="19"/>
      <c r="AB100" s="20">
        <f t="shared" si="88"/>
        <v>100</v>
      </c>
      <c r="AC100" s="29">
        <v>49.7</v>
      </c>
      <c r="AD100" s="29">
        <v>6.1</v>
      </c>
      <c r="AE100" s="29">
        <v>0.1</v>
      </c>
      <c r="AF100" s="29">
        <v>0.1</v>
      </c>
      <c r="AG100" s="29">
        <v>44</v>
      </c>
      <c r="AI100" s="29">
        <v>18.2</v>
      </c>
      <c r="AL100" s="29">
        <v>18.2</v>
      </c>
      <c r="AO100" s="20">
        <v>29</v>
      </c>
    </row>
    <row r="101" spans="1:41">
      <c r="A101" s="19">
        <f t="shared" si="78"/>
        <v>100</v>
      </c>
      <c r="B101" s="29" t="s">
        <v>219</v>
      </c>
      <c r="C101" s="29">
        <v>3</v>
      </c>
      <c r="D101" s="29" t="s">
        <v>217</v>
      </c>
      <c r="E101" s="29" t="s">
        <v>234</v>
      </c>
      <c r="F101" s="19"/>
      <c r="G101" s="29"/>
      <c r="H101" s="29"/>
      <c r="I101" s="19"/>
      <c r="K101" s="29"/>
      <c r="L101" s="29"/>
      <c r="M101" s="29"/>
      <c r="N101" s="19"/>
      <c r="U101" s="19" t="s">
        <v>214</v>
      </c>
      <c r="V101" s="29">
        <v>49.4</v>
      </c>
      <c r="W101" s="29">
        <v>6.1</v>
      </c>
      <c r="X101" s="29">
        <v>0.1</v>
      </c>
      <c r="Y101" s="29">
        <v>0.1</v>
      </c>
      <c r="Z101" s="29">
        <v>44.3</v>
      </c>
      <c r="AA101" s="19"/>
      <c r="AB101" s="20">
        <f t="shared" si="88"/>
        <v>100</v>
      </c>
      <c r="AC101" s="29">
        <v>49.4</v>
      </c>
      <c r="AD101" s="29">
        <v>6.1</v>
      </c>
      <c r="AE101" s="29">
        <v>0.1</v>
      </c>
      <c r="AF101" s="29">
        <v>0.1</v>
      </c>
      <c r="AG101" s="29">
        <v>44.3</v>
      </c>
      <c r="AI101" s="29">
        <v>17</v>
      </c>
      <c r="AL101" s="29">
        <v>17</v>
      </c>
      <c r="AO101" s="20">
        <v>29</v>
      </c>
    </row>
    <row r="102" spans="1:41">
      <c r="A102" s="19">
        <f t="shared" si="78"/>
        <v>101</v>
      </c>
      <c r="B102" s="29" t="s">
        <v>219</v>
      </c>
      <c r="C102" s="29">
        <v>3</v>
      </c>
      <c r="D102" s="29" t="s">
        <v>217</v>
      </c>
      <c r="E102" s="29" t="s">
        <v>465</v>
      </c>
      <c r="F102" s="19"/>
      <c r="G102" s="29"/>
      <c r="H102" s="29"/>
      <c r="I102" s="19"/>
      <c r="K102" s="29"/>
      <c r="L102" s="29"/>
      <c r="M102" s="29"/>
      <c r="N102" s="19"/>
      <c r="U102" s="19" t="s">
        <v>214</v>
      </c>
      <c r="V102" s="29">
        <v>47.81</v>
      </c>
      <c r="W102" s="29">
        <v>5.55</v>
      </c>
      <c r="X102" s="29">
        <v>0.7</v>
      </c>
      <c r="Y102" s="29">
        <v>0.6</v>
      </c>
      <c r="Z102" s="29">
        <v>45.89</v>
      </c>
      <c r="AA102" s="19"/>
      <c r="AB102" s="20">
        <f t="shared" si="88"/>
        <v>100.55000000000001</v>
      </c>
      <c r="AC102" s="27">
        <f>100*V102/$AB$102</f>
        <v>47.548483341621079</v>
      </c>
      <c r="AD102" s="29">
        <f>100*W102/$AB$102</f>
        <v>5.5196419691695668</v>
      </c>
      <c r="AE102" s="29">
        <f>100*X102/$AB$102</f>
        <v>0.69617105917453992</v>
      </c>
      <c r="AF102" s="29">
        <f>100*Y102/$AB$102</f>
        <v>0.59671805072103423</v>
      </c>
      <c r="AG102" s="29">
        <f>100*Z102/$AB$102</f>
        <v>45.638985579313768</v>
      </c>
      <c r="AJ102" s="29">
        <v>19.867999999999999</v>
      </c>
      <c r="AM102" s="29">
        <v>19.867999999999999</v>
      </c>
      <c r="AO102" s="20">
        <v>31</v>
      </c>
    </row>
    <row r="103" spans="1:41">
      <c r="A103" s="19">
        <f t="shared" si="78"/>
        <v>102</v>
      </c>
      <c r="B103" s="29" t="s">
        <v>219</v>
      </c>
      <c r="C103" s="29">
        <v>3</v>
      </c>
      <c r="D103" s="29" t="s">
        <v>217</v>
      </c>
      <c r="E103" s="29" t="s">
        <v>465</v>
      </c>
      <c r="F103" s="19"/>
      <c r="G103" s="29"/>
      <c r="H103" s="29"/>
      <c r="I103" s="19"/>
      <c r="K103" s="29"/>
      <c r="L103" s="29"/>
      <c r="M103" s="29"/>
      <c r="N103" s="19"/>
      <c r="U103" s="19" t="s">
        <v>214</v>
      </c>
      <c r="V103" s="29">
        <v>46.88</v>
      </c>
      <c r="W103" s="29">
        <v>6.11</v>
      </c>
      <c r="X103" s="29">
        <v>0.28000000000000003</v>
      </c>
      <c r="Y103" s="29"/>
      <c r="Z103" s="29">
        <v>46.73</v>
      </c>
      <c r="AA103" s="19"/>
      <c r="AB103" s="20">
        <f t="shared" si="88"/>
        <v>100</v>
      </c>
      <c r="AC103" s="29">
        <v>46.88</v>
      </c>
      <c r="AD103" s="29">
        <v>6.11</v>
      </c>
      <c r="AE103" s="29">
        <v>0.28000000000000003</v>
      </c>
      <c r="AF103" s="29">
        <v>0</v>
      </c>
      <c r="AG103" s="29">
        <v>46.73</v>
      </c>
      <c r="AJ103" s="29"/>
      <c r="AM103" s="29"/>
      <c r="AO103" s="20">
        <v>31</v>
      </c>
    </row>
    <row r="104" spans="1:41">
      <c r="A104" s="19">
        <f t="shared" si="78"/>
        <v>103</v>
      </c>
      <c r="B104" s="29" t="s">
        <v>219</v>
      </c>
      <c r="C104" s="29">
        <v>3</v>
      </c>
      <c r="D104" s="29" t="s">
        <v>217</v>
      </c>
      <c r="E104" s="29" t="s">
        <v>465</v>
      </c>
      <c r="F104" s="19"/>
      <c r="G104" s="29"/>
      <c r="H104" s="29"/>
      <c r="I104" s="19"/>
      <c r="J104" s="20" t="s">
        <v>221</v>
      </c>
      <c r="K104" s="29"/>
      <c r="L104" s="29">
        <v>81.36</v>
      </c>
      <c r="M104" s="29">
        <v>16.84</v>
      </c>
      <c r="N104" s="20">
        <v>1.79</v>
      </c>
      <c r="O104" s="20">
        <f>SUM(K104:N104)</f>
        <v>99.990000000000009</v>
      </c>
      <c r="P104" s="27">
        <f>100*K104/O104</f>
        <v>0</v>
      </c>
      <c r="Q104" s="27">
        <f>100*L104/O104</f>
        <v>81.36813681368136</v>
      </c>
      <c r="R104" s="27">
        <f>100*M104/O104</f>
        <v>16.84168416841684</v>
      </c>
      <c r="S104" s="20">
        <f>100*N104/O104</f>
        <v>1.79017901790179</v>
      </c>
      <c r="U104" s="19" t="s">
        <v>214</v>
      </c>
      <c r="V104" s="29">
        <v>51.42</v>
      </c>
      <c r="W104" s="29">
        <v>6.01</v>
      </c>
      <c r="X104" s="29">
        <v>0.36</v>
      </c>
      <c r="Y104" s="29">
        <v>0.28999999999999998</v>
      </c>
      <c r="Z104" s="29">
        <v>41.92</v>
      </c>
      <c r="AA104" s="19"/>
      <c r="AB104" s="20">
        <f t="shared" si="88"/>
        <v>100</v>
      </c>
      <c r="AC104" s="29">
        <v>51.42</v>
      </c>
      <c r="AD104" s="29">
        <v>6.01</v>
      </c>
      <c r="AE104" s="29">
        <v>0.36</v>
      </c>
      <c r="AF104" s="29">
        <v>0.28999999999999998</v>
      </c>
      <c r="AG104" s="29">
        <v>41.92</v>
      </c>
      <c r="AJ104" s="29">
        <v>19.616</v>
      </c>
      <c r="AL104" s="29">
        <f>AM104*(Q104+R104+S104)/(Q104+R104)</f>
        <v>19.973562525458249</v>
      </c>
      <c r="AM104" s="29">
        <v>19.616</v>
      </c>
      <c r="AN104" s="19">
        <f>AM104*(Q104+R104+S104)/(P104+Q104+R104+S104)</f>
        <v>19.616</v>
      </c>
      <c r="AO104" s="20">
        <v>31</v>
      </c>
    </row>
    <row r="105" spans="1:41">
      <c r="A105" s="19">
        <f t="shared" si="78"/>
        <v>104</v>
      </c>
      <c r="B105" s="29" t="s">
        <v>219</v>
      </c>
      <c r="C105" s="29">
        <v>3</v>
      </c>
      <c r="D105" s="29" t="s">
        <v>217</v>
      </c>
      <c r="E105" s="29" t="s">
        <v>465</v>
      </c>
      <c r="F105" s="19"/>
      <c r="G105" s="29"/>
      <c r="H105" s="29"/>
      <c r="I105" s="19"/>
      <c r="J105" s="20" t="s">
        <v>221</v>
      </c>
      <c r="K105" s="29"/>
      <c r="L105" s="29">
        <v>81.03</v>
      </c>
      <c r="M105" s="29">
        <v>18.27</v>
      </c>
      <c r="N105" s="20">
        <v>0.69</v>
      </c>
      <c r="O105" s="20">
        <f>SUM(K105:N105)</f>
        <v>99.99</v>
      </c>
      <c r="P105" s="27">
        <f>100*K105/O105</f>
        <v>0</v>
      </c>
      <c r="Q105" s="27">
        <f>100*L105/O105</f>
        <v>81.038103810381045</v>
      </c>
      <c r="R105" s="27">
        <f>100*M105/O105</f>
        <v>18.271827182718273</v>
      </c>
      <c r="S105" s="20">
        <f>100*N105/O105</f>
        <v>0.69006900690069006</v>
      </c>
      <c r="U105" s="19" t="s">
        <v>214</v>
      </c>
      <c r="V105" s="29">
        <v>50.46</v>
      </c>
      <c r="W105" s="29">
        <v>6.32</v>
      </c>
      <c r="X105" s="29">
        <v>0.22</v>
      </c>
      <c r="Y105" s="29">
        <v>0.1</v>
      </c>
      <c r="Z105" s="29">
        <v>42.73</v>
      </c>
      <c r="AA105" s="19">
        <v>0.16</v>
      </c>
      <c r="AB105" s="20">
        <f t="shared" si="88"/>
        <v>99.99</v>
      </c>
      <c r="AC105" s="27">
        <f t="shared" ref="AC105:AH105" si="95">100*V105/$AB$105</f>
        <v>50.465046504650466</v>
      </c>
      <c r="AD105" s="29">
        <f t="shared" si="95"/>
        <v>6.3206320632063209</v>
      </c>
      <c r="AE105" s="29">
        <f t="shared" si="95"/>
        <v>0.22002200220022003</v>
      </c>
      <c r="AF105" s="29">
        <f t="shared" si="95"/>
        <v>0.10001000100010002</v>
      </c>
      <c r="AG105" s="29">
        <f t="shared" si="95"/>
        <v>42.734273427342735</v>
      </c>
      <c r="AH105" s="19">
        <f t="shared" si="95"/>
        <v>0.16001600160016002</v>
      </c>
      <c r="AJ105" s="29">
        <v>19.579999999999998</v>
      </c>
      <c r="AL105" s="29">
        <f>AM105*(Q105+R105+S105)/(Q105+R105)</f>
        <v>19.716054380664648</v>
      </c>
      <c r="AM105" s="29">
        <v>19.579999999999998</v>
      </c>
      <c r="AN105" s="19">
        <f>AM105*(Q105+R105+S105)/(P105+Q105+R105+S105)</f>
        <v>19.579999999999998</v>
      </c>
      <c r="AO105" s="20">
        <v>31</v>
      </c>
    </row>
    <row r="106" spans="1:41">
      <c r="A106" s="19">
        <f t="shared" si="78"/>
        <v>105</v>
      </c>
      <c r="B106" s="29" t="s">
        <v>219</v>
      </c>
      <c r="C106" s="29">
        <v>3</v>
      </c>
      <c r="D106" s="29" t="s">
        <v>217</v>
      </c>
      <c r="E106" s="29" t="s">
        <v>465</v>
      </c>
      <c r="F106" s="19"/>
      <c r="G106" s="29"/>
      <c r="H106" s="29"/>
      <c r="I106" s="19"/>
      <c r="J106" s="20" t="s">
        <v>221</v>
      </c>
      <c r="K106" s="29"/>
      <c r="L106" s="29">
        <v>80.56</v>
      </c>
      <c r="M106" s="29">
        <v>17.48</v>
      </c>
      <c r="N106" s="20">
        <v>1.96</v>
      </c>
      <c r="O106" s="20">
        <f>SUM(K106:N106)</f>
        <v>100</v>
      </c>
      <c r="P106" s="27">
        <v>0</v>
      </c>
      <c r="Q106" s="27">
        <v>80.56</v>
      </c>
      <c r="R106" s="27">
        <v>17.48</v>
      </c>
      <c r="S106" s="20">
        <v>1.96</v>
      </c>
      <c r="U106" s="19" t="s">
        <v>214</v>
      </c>
      <c r="V106" s="29">
        <v>50.76</v>
      </c>
      <c r="W106" s="29">
        <v>5.91</v>
      </c>
      <c r="X106" s="29">
        <v>0.28000000000000003</v>
      </c>
      <c r="Y106" s="29">
        <v>7.0000000000000007E-2</v>
      </c>
      <c r="Z106" s="29">
        <v>42.98</v>
      </c>
      <c r="AA106" s="19"/>
      <c r="AB106" s="20">
        <f t="shared" si="88"/>
        <v>100</v>
      </c>
      <c r="AC106" s="29">
        <v>50.76</v>
      </c>
      <c r="AD106" s="29">
        <v>5.91</v>
      </c>
      <c r="AE106" s="29">
        <v>0.28000000000000003</v>
      </c>
      <c r="AF106" s="29">
        <v>7.0000000000000007E-2</v>
      </c>
      <c r="AG106" s="29">
        <v>42.98</v>
      </c>
      <c r="AJ106" s="29">
        <v>19.338999999999999</v>
      </c>
      <c r="AL106" s="29">
        <f>AM106*(Q106+R106+S106)/(Q106+R106)</f>
        <v>19.725622195022439</v>
      </c>
      <c r="AM106" s="29">
        <v>19.338999999999999</v>
      </c>
      <c r="AN106" s="19">
        <f>AM106*(Q106+R106+S106)/(P106+Q106+R106+S106)</f>
        <v>19.338999999999999</v>
      </c>
      <c r="AO106" s="20">
        <v>31</v>
      </c>
    </row>
    <row r="107" spans="1:41">
      <c r="A107" s="19">
        <f t="shared" si="78"/>
        <v>106</v>
      </c>
      <c r="B107" s="29" t="s">
        <v>219</v>
      </c>
      <c r="C107" s="29">
        <v>3</v>
      </c>
      <c r="D107" s="29" t="s">
        <v>217</v>
      </c>
      <c r="E107" s="29" t="s">
        <v>466</v>
      </c>
      <c r="F107" s="19"/>
      <c r="G107" s="29"/>
      <c r="H107" s="29"/>
      <c r="I107" s="19"/>
      <c r="K107" s="29"/>
      <c r="L107" s="29"/>
      <c r="M107" s="29"/>
      <c r="N107" s="19"/>
      <c r="U107" s="19" t="s">
        <v>214</v>
      </c>
      <c r="V107" s="29">
        <v>48.89</v>
      </c>
      <c r="W107" s="29">
        <v>5.98</v>
      </c>
      <c r="X107" s="29">
        <v>0.27</v>
      </c>
      <c r="Y107" s="29"/>
      <c r="Z107" s="29">
        <v>44.86</v>
      </c>
      <c r="AA107" s="19"/>
      <c r="AB107" s="20">
        <f t="shared" si="88"/>
        <v>100</v>
      </c>
      <c r="AC107" s="29">
        <v>48.89</v>
      </c>
      <c r="AD107" s="29">
        <v>5.98</v>
      </c>
      <c r="AE107" s="29">
        <v>0.27</v>
      </c>
      <c r="AF107" s="29">
        <v>0</v>
      </c>
      <c r="AG107" s="29">
        <v>44.86</v>
      </c>
      <c r="AJ107" s="29"/>
      <c r="AM107" s="29"/>
      <c r="AO107" s="20">
        <v>31</v>
      </c>
    </row>
    <row r="108" spans="1:41">
      <c r="A108" s="19">
        <f t="shared" si="78"/>
        <v>107</v>
      </c>
      <c r="B108" s="29" t="s">
        <v>467</v>
      </c>
      <c r="C108" s="29">
        <v>3</v>
      </c>
      <c r="D108" s="29" t="s">
        <v>217</v>
      </c>
      <c r="E108" s="29" t="s">
        <v>468</v>
      </c>
      <c r="F108" s="19"/>
      <c r="G108" s="29"/>
      <c r="H108" s="29"/>
      <c r="I108" s="19"/>
      <c r="J108" s="20" t="s">
        <v>221</v>
      </c>
      <c r="K108" s="29"/>
      <c r="L108" s="29">
        <v>82.04</v>
      </c>
      <c r="M108" s="29">
        <v>14.44</v>
      </c>
      <c r="N108" s="19">
        <v>3.53</v>
      </c>
      <c r="O108" s="20">
        <f t="shared" ref="O108:O117" si="96">SUM(K108:N108)</f>
        <v>100.01</v>
      </c>
      <c r="P108" s="27">
        <f>100*K108/O108</f>
        <v>0</v>
      </c>
      <c r="Q108" s="27">
        <f>100*L108/O108</f>
        <v>82.031796820317965</v>
      </c>
      <c r="R108" s="27">
        <f>100*M108/O108</f>
        <v>14.438556144385561</v>
      </c>
      <c r="S108" s="20">
        <f>100*N108/O108</f>
        <v>3.5296470352964704</v>
      </c>
      <c r="U108" s="19" t="s">
        <v>214</v>
      </c>
      <c r="V108" s="29">
        <v>51.47</v>
      </c>
      <c r="W108" s="29">
        <v>6.89</v>
      </c>
      <c r="X108" s="29">
        <v>0.4</v>
      </c>
      <c r="Y108" s="29">
        <v>0.16</v>
      </c>
      <c r="Z108" s="29">
        <v>41.08</v>
      </c>
      <c r="AA108" s="19"/>
      <c r="AB108" s="20">
        <f t="shared" si="88"/>
        <v>100</v>
      </c>
      <c r="AC108" s="29">
        <v>51.47</v>
      </c>
      <c r="AD108" s="29">
        <v>6.89</v>
      </c>
      <c r="AE108" s="29">
        <v>0.4</v>
      </c>
      <c r="AF108" s="29">
        <v>0.16</v>
      </c>
      <c r="AG108" s="29">
        <v>41.08</v>
      </c>
      <c r="AJ108" s="29">
        <v>20.007000000000001</v>
      </c>
      <c r="AL108" s="29">
        <f>AM108*(Q108+R108+S108)/(Q108+R108)</f>
        <v>20.739013992537316</v>
      </c>
      <c r="AM108" s="29">
        <v>20.007000000000001</v>
      </c>
      <c r="AN108" s="19">
        <f>AM108*(Q108+R108+S108)/(P108+Q108+R108+S108)</f>
        <v>20.007000000000001</v>
      </c>
      <c r="AO108" s="20">
        <v>31</v>
      </c>
    </row>
    <row r="109" spans="1:41">
      <c r="A109" s="19">
        <f t="shared" si="78"/>
        <v>108</v>
      </c>
      <c r="B109" s="29" t="s">
        <v>467</v>
      </c>
      <c r="C109" s="29">
        <v>3</v>
      </c>
      <c r="D109" s="29" t="s">
        <v>217</v>
      </c>
      <c r="E109" s="29" t="s">
        <v>469</v>
      </c>
      <c r="F109" s="19"/>
      <c r="G109" s="29"/>
      <c r="H109" s="29"/>
      <c r="I109" s="19"/>
      <c r="J109" s="20" t="s">
        <v>221</v>
      </c>
      <c r="K109" s="29"/>
      <c r="L109" s="29">
        <v>81.86</v>
      </c>
      <c r="M109" s="29">
        <v>15.76</v>
      </c>
      <c r="N109" s="19">
        <v>2.38</v>
      </c>
      <c r="O109" s="20">
        <f t="shared" si="96"/>
        <v>100</v>
      </c>
      <c r="P109" s="29">
        <v>0</v>
      </c>
      <c r="Q109" s="27">
        <v>81.86</v>
      </c>
      <c r="R109" s="27">
        <v>15.76</v>
      </c>
      <c r="S109" s="20">
        <v>2.38</v>
      </c>
      <c r="U109" s="19" t="s">
        <v>214</v>
      </c>
      <c r="V109" s="29">
        <v>48.37</v>
      </c>
      <c r="W109" s="29">
        <v>6.17</v>
      </c>
      <c r="X109" s="29">
        <v>0.42</v>
      </c>
      <c r="Y109" s="29">
        <v>0.03</v>
      </c>
      <c r="Z109" s="29">
        <v>45.01</v>
      </c>
      <c r="AA109" s="19"/>
      <c r="AB109" s="20">
        <f t="shared" si="88"/>
        <v>100</v>
      </c>
      <c r="AC109" s="29">
        <v>48.37</v>
      </c>
      <c r="AD109" s="29">
        <v>6.17</v>
      </c>
      <c r="AE109" s="29">
        <v>0.42</v>
      </c>
      <c r="AF109" s="29">
        <v>0.03</v>
      </c>
      <c r="AG109" s="29">
        <v>45.01</v>
      </c>
      <c r="AJ109" s="29"/>
      <c r="AM109" s="29"/>
      <c r="AO109" s="20">
        <v>31</v>
      </c>
    </row>
    <row r="110" spans="1:41">
      <c r="A110" s="19">
        <f t="shared" si="78"/>
        <v>109</v>
      </c>
      <c r="B110" s="29" t="s">
        <v>467</v>
      </c>
      <c r="C110" s="29">
        <v>3</v>
      </c>
      <c r="D110" s="29" t="s">
        <v>217</v>
      </c>
      <c r="E110" s="29" t="s">
        <v>470</v>
      </c>
      <c r="F110" s="19"/>
      <c r="G110" s="29"/>
      <c r="H110" s="29"/>
      <c r="I110" s="19"/>
      <c r="J110" s="20" t="s">
        <v>221</v>
      </c>
      <c r="K110" s="29"/>
      <c r="L110" s="29">
        <v>85.64</v>
      </c>
      <c r="M110" s="29">
        <v>14.01</v>
      </c>
      <c r="N110" s="19">
        <v>0.35</v>
      </c>
      <c r="O110" s="20">
        <f t="shared" si="96"/>
        <v>100</v>
      </c>
      <c r="P110" s="29">
        <v>0</v>
      </c>
      <c r="Q110" s="27">
        <v>85.64</v>
      </c>
      <c r="R110" s="27">
        <v>14.01</v>
      </c>
      <c r="S110" s="20">
        <v>0.35</v>
      </c>
      <c r="U110" s="19" t="s">
        <v>214</v>
      </c>
      <c r="V110" s="29">
        <v>46.06</v>
      </c>
      <c r="W110" s="29">
        <v>5.97</v>
      </c>
      <c r="X110" s="29">
        <v>0.1</v>
      </c>
      <c r="Y110" s="29">
        <v>0.03</v>
      </c>
      <c r="Z110" s="29">
        <v>47.84</v>
      </c>
      <c r="AA110" s="19"/>
      <c r="AB110" s="20">
        <f t="shared" si="88"/>
        <v>100</v>
      </c>
      <c r="AC110" s="29">
        <v>46.06</v>
      </c>
      <c r="AD110" s="29">
        <v>5.97</v>
      </c>
      <c r="AE110" s="29">
        <v>0.1</v>
      </c>
      <c r="AF110" s="29">
        <v>0.03</v>
      </c>
      <c r="AG110" s="29">
        <v>47.84</v>
      </c>
      <c r="AJ110" s="29"/>
      <c r="AM110" s="29"/>
      <c r="AO110" s="20">
        <v>31</v>
      </c>
    </row>
    <row r="111" spans="1:41">
      <c r="A111" s="19">
        <f t="shared" si="78"/>
        <v>110</v>
      </c>
      <c r="B111" s="29" t="s">
        <v>467</v>
      </c>
      <c r="C111" s="29">
        <v>3</v>
      </c>
      <c r="D111" s="29" t="s">
        <v>217</v>
      </c>
      <c r="E111" s="29" t="s">
        <v>471</v>
      </c>
      <c r="F111" s="19"/>
      <c r="G111" s="29"/>
      <c r="H111" s="29"/>
      <c r="I111" s="19"/>
      <c r="J111" s="20" t="s">
        <v>221</v>
      </c>
      <c r="K111" s="29"/>
      <c r="L111" s="29">
        <v>83.5</v>
      </c>
      <c r="M111" s="29">
        <v>15.54</v>
      </c>
      <c r="N111" s="19">
        <v>0.95</v>
      </c>
      <c r="O111" s="20">
        <f t="shared" si="96"/>
        <v>99.99</v>
      </c>
      <c r="P111" s="27">
        <f>100*K111/O111</f>
        <v>0</v>
      </c>
      <c r="Q111" s="27">
        <f>100*L111/O111</f>
        <v>83.508350835083519</v>
      </c>
      <c r="R111" s="27">
        <f>100*M111/O111</f>
        <v>15.541554155415543</v>
      </c>
      <c r="S111" s="20">
        <f>100*N111/O111</f>
        <v>0.95009500950095016</v>
      </c>
      <c r="U111" s="19" t="s">
        <v>214</v>
      </c>
      <c r="V111" s="29">
        <v>50.51</v>
      </c>
      <c r="W111" s="29">
        <v>5.95</v>
      </c>
      <c r="X111" s="29">
        <v>0.11</v>
      </c>
      <c r="Y111" s="29">
        <v>0.03</v>
      </c>
      <c r="Z111" s="29">
        <v>43.39</v>
      </c>
      <c r="AA111" s="19"/>
      <c r="AB111" s="20">
        <f t="shared" si="88"/>
        <v>99.990000000000009</v>
      </c>
      <c r="AC111" s="29">
        <f>100*V111/$AB$111</f>
        <v>50.51505150515051</v>
      </c>
      <c r="AD111" s="29">
        <f>100*W111/$AB$111</f>
        <v>5.9505950595059502</v>
      </c>
      <c r="AE111" s="29">
        <f>100*X111/$AB$111</f>
        <v>0.11001100110011</v>
      </c>
      <c r="AF111" s="29">
        <f>100*Y111/$AB$111</f>
        <v>3.0003000300029999E-2</v>
      </c>
      <c r="AG111" s="29">
        <f>100*Z111/$AB$111</f>
        <v>43.394339433943394</v>
      </c>
      <c r="AJ111" s="29">
        <v>19.646000000000001</v>
      </c>
      <c r="AL111" s="29">
        <f>AM111*(Q111+R111+S111)/(Q111+R111)</f>
        <v>19.834446082390954</v>
      </c>
      <c r="AM111" s="29">
        <v>19.646000000000001</v>
      </c>
      <c r="AN111" s="19">
        <f>AM111*(Q111+R111+S111)/(P111+Q111+R111+S111)</f>
        <v>19.646000000000001</v>
      </c>
      <c r="AO111" s="20">
        <v>31</v>
      </c>
    </row>
    <row r="112" spans="1:41">
      <c r="A112" s="19">
        <f t="shared" si="78"/>
        <v>111</v>
      </c>
      <c r="B112" s="29" t="s">
        <v>467</v>
      </c>
      <c r="C112" s="29">
        <v>3</v>
      </c>
      <c r="D112" s="29" t="s">
        <v>217</v>
      </c>
      <c r="E112" s="29" t="s">
        <v>472</v>
      </c>
      <c r="F112" s="19"/>
      <c r="G112" s="29"/>
      <c r="H112" s="29"/>
      <c r="I112" s="19"/>
      <c r="J112" s="20" t="s">
        <v>221</v>
      </c>
      <c r="K112" s="29"/>
      <c r="L112" s="29">
        <v>86.38</v>
      </c>
      <c r="M112" s="29">
        <v>12.67</v>
      </c>
      <c r="N112" s="19">
        <v>0.95</v>
      </c>
      <c r="O112" s="20">
        <f t="shared" si="96"/>
        <v>100</v>
      </c>
      <c r="P112" s="29">
        <v>0</v>
      </c>
      <c r="Q112" s="27">
        <v>86.38</v>
      </c>
      <c r="R112" s="27">
        <v>12.67</v>
      </c>
      <c r="S112" s="20">
        <v>0.95</v>
      </c>
      <c r="U112" s="19" t="s">
        <v>214</v>
      </c>
      <c r="V112" s="29">
        <v>49.06</v>
      </c>
      <c r="W112" s="29">
        <v>6.53</v>
      </c>
      <c r="X112" s="29">
        <v>1.45</v>
      </c>
      <c r="Y112" s="29">
        <v>0.01</v>
      </c>
      <c r="Z112" s="29">
        <v>42.95</v>
      </c>
      <c r="AA112" s="19"/>
      <c r="AB112" s="20">
        <f t="shared" si="88"/>
        <v>100</v>
      </c>
      <c r="AC112" s="29">
        <v>49.06</v>
      </c>
      <c r="AD112" s="29">
        <v>6.53</v>
      </c>
      <c r="AE112" s="29">
        <v>1.45</v>
      </c>
      <c r="AF112" s="29">
        <v>0.01</v>
      </c>
      <c r="AG112" s="29">
        <v>42.95</v>
      </c>
      <c r="AJ112" s="29"/>
      <c r="AM112" s="29"/>
      <c r="AO112" s="20">
        <v>31</v>
      </c>
    </row>
    <row r="113" spans="1:41">
      <c r="A113" s="19">
        <f t="shared" si="78"/>
        <v>112</v>
      </c>
      <c r="B113" s="29" t="s">
        <v>467</v>
      </c>
      <c r="C113" s="29">
        <v>3</v>
      </c>
      <c r="D113" s="29" t="s">
        <v>217</v>
      </c>
      <c r="E113" s="29" t="s">
        <v>473</v>
      </c>
      <c r="F113" s="19"/>
      <c r="G113" s="29"/>
      <c r="H113" s="29"/>
      <c r="I113" s="19"/>
      <c r="J113" s="20" t="s">
        <v>221</v>
      </c>
      <c r="K113" s="29"/>
      <c r="L113" s="29">
        <v>81</v>
      </c>
      <c r="M113" s="29">
        <v>18.579999999999998</v>
      </c>
      <c r="N113" s="19">
        <v>0.42</v>
      </c>
      <c r="O113" s="20">
        <f t="shared" si="96"/>
        <v>100</v>
      </c>
      <c r="P113" s="29">
        <v>0</v>
      </c>
      <c r="Q113" s="27">
        <v>81</v>
      </c>
      <c r="R113" s="27">
        <v>18.579999999999998</v>
      </c>
      <c r="S113" s="20">
        <v>0.42</v>
      </c>
      <c r="U113" s="19" t="s">
        <v>214</v>
      </c>
      <c r="V113" s="29">
        <v>49.42</v>
      </c>
      <c r="W113" s="29">
        <v>7.26</v>
      </c>
      <c r="X113" s="29">
        <v>0.39</v>
      </c>
      <c r="Y113" s="29">
        <v>0.01</v>
      </c>
      <c r="Z113" s="29">
        <v>42.92</v>
      </c>
      <c r="AA113" s="19"/>
      <c r="AB113" s="20">
        <f t="shared" si="88"/>
        <v>100</v>
      </c>
      <c r="AC113" s="29">
        <v>49.42</v>
      </c>
      <c r="AD113" s="29">
        <v>7.26</v>
      </c>
      <c r="AE113" s="29">
        <v>0.39</v>
      </c>
      <c r="AF113" s="29">
        <v>0.01</v>
      </c>
      <c r="AG113" s="29">
        <v>42.92</v>
      </c>
      <c r="AJ113" s="29">
        <v>21.178000000000001</v>
      </c>
      <c r="AL113" s="29">
        <f>AM113*(Q113+R113+S113)/(Q113+R113)</f>
        <v>21.26732275557341</v>
      </c>
      <c r="AM113" s="29">
        <v>21.178000000000001</v>
      </c>
      <c r="AN113" s="19">
        <f>AM113*(Q113+R113+S113)/(P113+Q113+R113+S113)</f>
        <v>21.178000000000001</v>
      </c>
      <c r="AO113" s="20">
        <v>31</v>
      </c>
    </row>
    <row r="114" spans="1:41">
      <c r="A114" s="19">
        <f t="shared" si="78"/>
        <v>113</v>
      </c>
      <c r="B114" s="29" t="s">
        <v>467</v>
      </c>
      <c r="C114" s="29">
        <v>3</v>
      </c>
      <c r="D114" s="29" t="s">
        <v>217</v>
      </c>
      <c r="E114" s="29" t="s">
        <v>473</v>
      </c>
      <c r="F114" s="19"/>
      <c r="G114" s="29"/>
      <c r="H114" s="29"/>
      <c r="I114" s="19"/>
      <c r="J114" s="20" t="s">
        <v>221</v>
      </c>
      <c r="K114" s="29"/>
      <c r="L114" s="29">
        <v>80.930000000000007</v>
      </c>
      <c r="M114" s="29">
        <v>18.89</v>
      </c>
      <c r="N114" s="19">
        <v>0.18</v>
      </c>
      <c r="O114" s="20">
        <f t="shared" si="96"/>
        <v>100.00000000000001</v>
      </c>
      <c r="P114" s="29">
        <v>0</v>
      </c>
      <c r="Q114" s="27">
        <v>80.930000000000007</v>
      </c>
      <c r="R114" s="27">
        <v>18.89</v>
      </c>
      <c r="S114" s="20">
        <v>0.18</v>
      </c>
      <c r="U114" s="19" t="s">
        <v>214</v>
      </c>
      <c r="V114" s="29">
        <v>54.35</v>
      </c>
      <c r="W114" s="29">
        <v>5.99</v>
      </c>
      <c r="X114" s="29">
        <v>0.26</v>
      </c>
      <c r="Y114" s="29">
        <v>0</v>
      </c>
      <c r="Z114" s="29">
        <v>39.4</v>
      </c>
      <c r="AA114" s="19"/>
      <c r="AB114" s="20">
        <f t="shared" si="88"/>
        <v>100</v>
      </c>
      <c r="AC114" s="29">
        <v>54.35</v>
      </c>
      <c r="AD114" s="29">
        <v>5.99</v>
      </c>
      <c r="AE114" s="29">
        <v>0.26</v>
      </c>
      <c r="AF114" s="29">
        <v>0</v>
      </c>
      <c r="AG114" s="29">
        <v>39.4</v>
      </c>
      <c r="AJ114" s="29"/>
      <c r="AM114" s="29"/>
      <c r="AO114" s="20">
        <v>31</v>
      </c>
    </row>
    <row r="115" spans="1:41">
      <c r="A115" s="19">
        <f t="shared" si="78"/>
        <v>114</v>
      </c>
      <c r="B115" s="29" t="s">
        <v>467</v>
      </c>
      <c r="C115" s="29">
        <v>3</v>
      </c>
      <c r="D115" s="29" t="s">
        <v>217</v>
      </c>
      <c r="E115" s="29" t="s">
        <v>473</v>
      </c>
      <c r="F115" s="19"/>
      <c r="G115" s="29"/>
      <c r="H115" s="29"/>
      <c r="I115" s="19"/>
      <c r="J115" s="20" t="s">
        <v>221</v>
      </c>
      <c r="K115" s="29"/>
      <c r="L115" s="29">
        <v>87.26</v>
      </c>
      <c r="M115" s="29">
        <v>11.6</v>
      </c>
      <c r="N115" s="19">
        <v>1.1399999999999999</v>
      </c>
      <c r="O115" s="20">
        <f t="shared" si="96"/>
        <v>100</v>
      </c>
      <c r="P115" s="29">
        <v>0</v>
      </c>
      <c r="Q115" s="27">
        <v>87.26</v>
      </c>
      <c r="R115" s="27">
        <v>11.6</v>
      </c>
      <c r="S115" s="20">
        <v>1.1399999999999999</v>
      </c>
      <c r="U115" s="19" t="s">
        <v>214</v>
      </c>
      <c r="V115" s="29">
        <v>54.86</v>
      </c>
      <c r="W115" s="29">
        <v>6.31</v>
      </c>
      <c r="X115" s="29">
        <v>0.28000000000000003</v>
      </c>
      <c r="Y115" s="29">
        <v>0.02</v>
      </c>
      <c r="Z115" s="29">
        <v>38.53</v>
      </c>
      <c r="AA115" s="19"/>
      <c r="AB115" s="20">
        <f t="shared" si="88"/>
        <v>100</v>
      </c>
      <c r="AC115" s="29">
        <v>54.86</v>
      </c>
      <c r="AD115" s="29">
        <v>6.31</v>
      </c>
      <c r="AE115" s="29">
        <v>0.28000000000000003</v>
      </c>
      <c r="AF115" s="29">
        <v>0.02</v>
      </c>
      <c r="AG115" s="29">
        <v>38.53</v>
      </c>
      <c r="AJ115" s="29"/>
      <c r="AM115" s="29"/>
      <c r="AO115" s="20">
        <v>31</v>
      </c>
    </row>
    <row r="116" spans="1:41">
      <c r="A116" s="19">
        <f t="shared" si="78"/>
        <v>115</v>
      </c>
      <c r="B116" s="29" t="s">
        <v>467</v>
      </c>
      <c r="C116" s="29">
        <v>3</v>
      </c>
      <c r="D116" s="29" t="s">
        <v>217</v>
      </c>
      <c r="E116" s="29" t="s">
        <v>473</v>
      </c>
      <c r="F116" s="19"/>
      <c r="G116" s="29"/>
      <c r="H116" s="29"/>
      <c r="I116" s="19"/>
      <c r="J116" s="20" t="s">
        <v>221</v>
      </c>
      <c r="K116" s="29"/>
      <c r="L116" s="29">
        <v>80.7</v>
      </c>
      <c r="M116" s="29">
        <v>17.600000000000001</v>
      </c>
      <c r="N116" s="19">
        <v>1.7</v>
      </c>
      <c r="O116" s="20">
        <f t="shared" si="96"/>
        <v>100.00000000000001</v>
      </c>
      <c r="P116" s="29">
        <v>0</v>
      </c>
      <c r="Q116" s="27">
        <v>80.7</v>
      </c>
      <c r="R116" s="27">
        <v>17.600000000000001</v>
      </c>
      <c r="S116" s="20">
        <v>1.7</v>
      </c>
      <c r="U116" s="19" t="s">
        <v>214</v>
      </c>
      <c r="V116" s="29">
        <v>52.7</v>
      </c>
      <c r="W116" s="29">
        <v>6.3</v>
      </c>
      <c r="X116" s="29">
        <v>0.2</v>
      </c>
      <c r="Y116" s="29">
        <v>0.1</v>
      </c>
      <c r="Z116" s="29">
        <v>40.700000000000003</v>
      </c>
      <c r="AA116" s="19"/>
      <c r="AB116" s="20">
        <f t="shared" si="88"/>
        <v>100</v>
      </c>
      <c r="AC116" s="29">
        <v>52.7</v>
      </c>
      <c r="AD116" s="29">
        <v>6.3</v>
      </c>
      <c r="AE116" s="29">
        <v>0.2</v>
      </c>
      <c r="AF116" s="29">
        <v>0.1</v>
      </c>
      <c r="AG116" s="29">
        <v>40.700000000000003</v>
      </c>
      <c r="AJ116" s="29"/>
      <c r="AM116" s="29"/>
      <c r="AO116" s="20">
        <v>31</v>
      </c>
    </row>
    <row r="117" spans="1:41">
      <c r="A117" s="19">
        <f t="shared" si="78"/>
        <v>116</v>
      </c>
      <c r="B117" s="29" t="s">
        <v>467</v>
      </c>
      <c r="C117" s="29">
        <v>3</v>
      </c>
      <c r="D117" s="29" t="s">
        <v>217</v>
      </c>
      <c r="E117" s="29" t="s">
        <v>473</v>
      </c>
      <c r="F117" s="19"/>
      <c r="G117" s="29"/>
      <c r="H117" s="29"/>
      <c r="I117" s="19"/>
      <c r="J117" s="20" t="s">
        <v>221</v>
      </c>
      <c r="K117" s="29"/>
      <c r="L117" s="29">
        <v>84.24</v>
      </c>
      <c r="M117" s="29">
        <v>15.15</v>
      </c>
      <c r="N117" s="19">
        <v>0.61</v>
      </c>
      <c r="O117" s="20">
        <f t="shared" si="96"/>
        <v>100</v>
      </c>
      <c r="P117" s="29">
        <v>0</v>
      </c>
      <c r="Q117" s="27">
        <v>84.24</v>
      </c>
      <c r="R117" s="27">
        <v>15.15</v>
      </c>
      <c r="S117" s="20">
        <v>0.61</v>
      </c>
      <c r="U117" s="19" t="s">
        <v>214</v>
      </c>
      <c r="V117" s="29">
        <v>50.4</v>
      </c>
      <c r="W117" s="29">
        <v>5.49</v>
      </c>
      <c r="X117" s="29">
        <v>0.02</v>
      </c>
      <c r="Y117" s="29">
        <v>0.01</v>
      </c>
      <c r="Z117" s="29">
        <v>44.08</v>
      </c>
      <c r="AA117" s="19"/>
      <c r="AB117" s="20">
        <f t="shared" si="88"/>
        <v>100</v>
      </c>
      <c r="AC117" s="29">
        <v>50.4</v>
      </c>
      <c r="AD117" s="29">
        <v>5.49</v>
      </c>
      <c r="AE117" s="29">
        <v>0.02</v>
      </c>
      <c r="AF117" s="29">
        <v>0.01</v>
      </c>
      <c r="AG117" s="29">
        <v>44.08</v>
      </c>
      <c r="AJ117" s="29"/>
      <c r="AM117" s="29"/>
      <c r="AO117" s="20">
        <v>31</v>
      </c>
    </row>
    <row r="118" spans="1:41">
      <c r="A118" s="19">
        <f t="shared" si="78"/>
        <v>117</v>
      </c>
      <c r="B118" s="29" t="s">
        <v>467</v>
      </c>
      <c r="C118" s="29">
        <v>3</v>
      </c>
      <c r="D118" s="29" t="s">
        <v>217</v>
      </c>
      <c r="E118" s="29" t="s">
        <v>473</v>
      </c>
      <c r="F118" s="19"/>
      <c r="G118" s="29"/>
      <c r="H118" s="29"/>
      <c r="I118" s="19"/>
      <c r="K118" s="29"/>
      <c r="L118" s="29"/>
      <c r="M118" s="29"/>
      <c r="N118" s="19"/>
      <c r="U118" s="19" t="s">
        <v>214</v>
      </c>
      <c r="V118" s="29">
        <v>51.63</v>
      </c>
      <c r="W118" s="29">
        <v>4.62</v>
      </c>
      <c r="X118" s="29">
        <v>0.83</v>
      </c>
      <c r="Y118" s="29">
        <v>0.17</v>
      </c>
      <c r="Z118" s="29">
        <v>42.66</v>
      </c>
      <c r="AA118" s="19">
        <v>0.09</v>
      </c>
      <c r="AB118" s="20">
        <f t="shared" si="88"/>
        <v>100</v>
      </c>
      <c r="AC118" s="29">
        <v>51.63</v>
      </c>
      <c r="AD118" s="29">
        <v>4.62</v>
      </c>
      <c r="AE118" s="29">
        <v>0.83</v>
      </c>
      <c r="AF118" s="29">
        <v>0.17</v>
      </c>
      <c r="AG118" s="29">
        <v>42.66</v>
      </c>
      <c r="AH118" s="20">
        <v>0.09</v>
      </c>
      <c r="AJ118" s="29"/>
      <c r="AM118" s="29"/>
      <c r="AO118" s="20">
        <v>31</v>
      </c>
    </row>
    <row r="119" spans="1:41">
      <c r="A119" s="19">
        <f t="shared" si="78"/>
        <v>118</v>
      </c>
      <c r="B119" s="29" t="s">
        <v>467</v>
      </c>
      <c r="C119" s="29">
        <v>3</v>
      </c>
      <c r="D119" s="29" t="s">
        <v>217</v>
      </c>
      <c r="E119" s="29" t="s">
        <v>474</v>
      </c>
      <c r="F119" s="19"/>
      <c r="G119" s="29"/>
      <c r="H119" s="29"/>
      <c r="I119" s="19"/>
      <c r="J119" s="20" t="s">
        <v>221</v>
      </c>
      <c r="K119" s="29"/>
      <c r="L119" s="29">
        <v>85</v>
      </c>
      <c r="M119" s="29">
        <v>14.64</v>
      </c>
      <c r="N119" s="19">
        <v>0.36</v>
      </c>
      <c r="O119" s="20">
        <f>SUM(K119:N119)</f>
        <v>100</v>
      </c>
      <c r="P119" s="29">
        <v>0</v>
      </c>
      <c r="Q119" s="27">
        <v>85</v>
      </c>
      <c r="R119" s="27">
        <v>14.64</v>
      </c>
      <c r="S119" s="20">
        <v>0.36</v>
      </c>
      <c r="U119" s="19" t="s">
        <v>214</v>
      </c>
      <c r="V119" s="29">
        <v>47.4</v>
      </c>
      <c r="W119" s="29">
        <v>6.1</v>
      </c>
      <c r="X119" s="29">
        <v>0.1</v>
      </c>
      <c r="Y119" s="29">
        <v>0.1</v>
      </c>
      <c r="Z119" s="29">
        <v>46.4</v>
      </c>
      <c r="AA119" s="19"/>
      <c r="AB119" s="20">
        <f t="shared" si="88"/>
        <v>100.1</v>
      </c>
      <c r="AC119" s="29">
        <f>100*V119/$AB$119</f>
        <v>47.352647352647352</v>
      </c>
      <c r="AD119" s="29">
        <f>100*W119/$AB$119</f>
        <v>6.0939060939060941</v>
      </c>
      <c r="AE119" s="29">
        <f>100*X119/$AB$119</f>
        <v>9.9900099900099903E-2</v>
      </c>
      <c r="AF119" s="29">
        <f>100*Y119/$AB$119</f>
        <v>9.9900099900099903E-2</v>
      </c>
      <c r="AG119" s="29">
        <f>100*Z119/$AB$119</f>
        <v>46.353646353646354</v>
      </c>
      <c r="AJ119" s="29"/>
      <c r="AM119" s="29"/>
      <c r="AO119" s="20">
        <v>31</v>
      </c>
    </row>
    <row r="120" spans="1:41">
      <c r="A120" s="19">
        <f t="shared" si="78"/>
        <v>119</v>
      </c>
      <c r="B120" s="29" t="s">
        <v>467</v>
      </c>
      <c r="C120" s="29">
        <v>3</v>
      </c>
      <c r="D120" s="29" t="s">
        <v>217</v>
      </c>
      <c r="E120" s="29" t="s">
        <v>475</v>
      </c>
      <c r="F120" s="19"/>
      <c r="G120" s="29"/>
      <c r="H120" s="29"/>
      <c r="I120" s="19"/>
      <c r="J120" s="20" t="s">
        <v>221</v>
      </c>
      <c r="K120" s="29"/>
      <c r="L120" s="29">
        <v>84.1</v>
      </c>
      <c r="M120" s="29">
        <v>15.09</v>
      </c>
      <c r="N120" s="19">
        <v>0.81</v>
      </c>
      <c r="O120" s="20">
        <f>SUM(K120:N120)</f>
        <v>100</v>
      </c>
      <c r="P120" s="29">
        <v>0</v>
      </c>
      <c r="Q120" s="27">
        <v>84.1</v>
      </c>
      <c r="R120" s="27">
        <v>15.09</v>
      </c>
      <c r="S120" s="20">
        <v>0.81</v>
      </c>
      <c r="U120" s="19" t="s">
        <v>214</v>
      </c>
      <c r="V120" s="29">
        <v>51.41</v>
      </c>
      <c r="W120" s="29">
        <v>6.25</v>
      </c>
      <c r="X120" s="29">
        <v>0.1</v>
      </c>
      <c r="Y120" s="29">
        <v>0.1</v>
      </c>
      <c r="Z120" s="29">
        <v>42.14</v>
      </c>
      <c r="AA120" s="19"/>
      <c r="AB120" s="20">
        <f t="shared" si="88"/>
        <v>100</v>
      </c>
      <c r="AC120" s="29">
        <v>51.41</v>
      </c>
      <c r="AD120" s="29">
        <v>6.25</v>
      </c>
      <c r="AE120" s="29">
        <v>0.1</v>
      </c>
      <c r="AF120" s="29">
        <v>0.1</v>
      </c>
      <c r="AG120" s="29">
        <v>42.14</v>
      </c>
      <c r="AJ120" s="29"/>
      <c r="AM120" s="29"/>
      <c r="AO120" s="20">
        <v>31</v>
      </c>
    </row>
    <row r="121" spans="1:41">
      <c r="A121" s="19">
        <f t="shared" si="78"/>
        <v>120</v>
      </c>
      <c r="B121" s="29" t="s">
        <v>467</v>
      </c>
      <c r="C121" s="29">
        <v>3</v>
      </c>
      <c r="D121" s="29" t="s">
        <v>217</v>
      </c>
      <c r="E121" s="29" t="s">
        <v>217</v>
      </c>
      <c r="F121" s="19"/>
      <c r="G121" s="29"/>
      <c r="H121" s="29"/>
      <c r="I121" s="19"/>
      <c r="J121" s="20" t="s">
        <v>221</v>
      </c>
      <c r="K121" s="29"/>
      <c r="L121" s="29">
        <v>79.45</v>
      </c>
      <c r="M121" s="29">
        <v>16.850000000000001</v>
      </c>
      <c r="N121" s="19">
        <v>3.7</v>
      </c>
      <c r="O121" s="20">
        <f>SUM(K121:N121)</f>
        <v>100.00000000000001</v>
      </c>
      <c r="P121" s="29">
        <v>0</v>
      </c>
      <c r="Q121" s="27">
        <v>79.45</v>
      </c>
      <c r="R121" s="27">
        <v>16.850000000000001</v>
      </c>
      <c r="S121" s="20">
        <v>3.7</v>
      </c>
      <c r="U121" s="19" t="s">
        <v>214</v>
      </c>
      <c r="V121" s="29">
        <v>50.61</v>
      </c>
      <c r="W121" s="29">
        <v>7.45</v>
      </c>
      <c r="X121" s="29">
        <v>0.08</v>
      </c>
      <c r="Y121" s="29">
        <v>0</v>
      </c>
      <c r="Z121" s="29">
        <v>41.86</v>
      </c>
      <c r="AA121" s="19"/>
      <c r="AB121" s="20">
        <f t="shared" si="88"/>
        <v>100</v>
      </c>
      <c r="AC121" s="29">
        <v>50.61</v>
      </c>
      <c r="AD121" s="29">
        <v>7.45</v>
      </c>
      <c r="AE121" s="29">
        <v>0.08</v>
      </c>
      <c r="AF121" s="29">
        <v>0</v>
      </c>
      <c r="AG121" s="29">
        <v>41.86</v>
      </c>
      <c r="AJ121" s="29">
        <v>18.126000000000001</v>
      </c>
      <c r="AL121" s="29">
        <f>AM121*(Q121+R121+S121)/(Q121+R121)</f>
        <v>18.822429906542059</v>
      </c>
      <c r="AM121" s="29">
        <v>18.126000000000001</v>
      </c>
      <c r="AN121" s="19">
        <f>AM121*(Q121+R121+S121)/(P121+Q121+R121+S121)</f>
        <v>18.126000000000001</v>
      </c>
      <c r="AO121" s="20">
        <v>31</v>
      </c>
    </row>
    <row r="122" spans="1:41">
      <c r="A122" s="19">
        <f t="shared" si="78"/>
        <v>121</v>
      </c>
      <c r="B122" s="29" t="s">
        <v>467</v>
      </c>
      <c r="C122" s="29">
        <v>3</v>
      </c>
      <c r="D122" s="29" t="s">
        <v>217</v>
      </c>
      <c r="E122" s="29" t="s">
        <v>217</v>
      </c>
      <c r="F122" s="19"/>
      <c r="G122" s="29"/>
      <c r="H122" s="29"/>
      <c r="I122" s="19"/>
      <c r="J122" s="20" t="s">
        <v>221</v>
      </c>
      <c r="K122" s="29"/>
      <c r="L122" s="29">
        <v>81.64</v>
      </c>
      <c r="M122" s="29">
        <v>17.54</v>
      </c>
      <c r="N122" s="19">
        <v>0.82</v>
      </c>
      <c r="O122" s="20">
        <f>SUM(K122:N122)</f>
        <v>100</v>
      </c>
      <c r="P122" s="29">
        <v>0</v>
      </c>
      <c r="Q122" s="27">
        <v>81.64</v>
      </c>
      <c r="R122" s="27">
        <v>17.54</v>
      </c>
      <c r="S122" s="20">
        <v>0.82</v>
      </c>
      <c r="U122" s="19" t="s">
        <v>214</v>
      </c>
      <c r="V122" s="29">
        <v>48.35</v>
      </c>
      <c r="W122" s="29">
        <v>6.62</v>
      </c>
      <c r="X122" s="29">
        <v>0.04</v>
      </c>
      <c r="Y122" s="29">
        <v>0.28999999999999998</v>
      </c>
      <c r="Z122" s="29">
        <v>44.7</v>
      </c>
      <c r="AA122" s="19"/>
      <c r="AB122" s="20">
        <f t="shared" si="88"/>
        <v>100</v>
      </c>
      <c r="AC122" s="29">
        <v>48.35</v>
      </c>
      <c r="AD122" s="29">
        <v>6.62</v>
      </c>
      <c r="AE122" s="29">
        <v>0.04</v>
      </c>
      <c r="AF122" s="29">
        <v>0.28999999999999998</v>
      </c>
      <c r="AG122" s="29">
        <v>44.7</v>
      </c>
      <c r="AJ122" s="29">
        <v>20.696999999999999</v>
      </c>
      <c r="AL122" s="29">
        <f>AM122*(Q122+R122+S122)/(Q122+R122)</f>
        <v>20.868118572292797</v>
      </c>
      <c r="AM122" s="29">
        <v>20.696999999999999</v>
      </c>
      <c r="AN122" s="19">
        <f>AM122*(Q122+R122+S122)/(P122+Q122+R122+S122)</f>
        <v>20.696999999999999</v>
      </c>
      <c r="AO122" s="20">
        <v>31</v>
      </c>
    </row>
    <row r="123" spans="1:41">
      <c r="A123" s="19">
        <f t="shared" si="78"/>
        <v>122</v>
      </c>
      <c r="B123" s="29" t="s">
        <v>467</v>
      </c>
      <c r="C123" s="29">
        <v>3</v>
      </c>
      <c r="D123" s="29" t="s">
        <v>217</v>
      </c>
      <c r="E123" s="29" t="s">
        <v>217</v>
      </c>
      <c r="F123" s="19"/>
      <c r="G123" s="29"/>
      <c r="H123" s="29"/>
      <c r="I123" s="19"/>
      <c r="K123" s="29"/>
      <c r="L123" s="29"/>
      <c r="M123" s="29"/>
      <c r="N123" s="19"/>
      <c r="U123" s="19" t="s">
        <v>214</v>
      </c>
      <c r="V123" s="29">
        <v>54.64</v>
      </c>
      <c r="W123" s="29">
        <v>6.54</v>
      </c>
      <c r="X123" s="29">
        <v>0.96</v>
      </c>
      <c r="Y123" s="29">
        <v>0.69</v>
      </c>
      <c r="Z123" s="29">
        <v>37.08</v>
      </c>
      <c r="AA123" s="19">
        <v>0.08</v>
      </c>
      <c r="AB123" s="20">
        <f t="shared" si="88"/>
        <v>99.99</v>
      </c>
      <c r="AC123" s="29">
        <f t="shared" ref="AC123:AH123" si="97">100*V123/$AB$123</f>
        <v>54.645464546454647</v>
      </c>
      <c r="AD123" s="29">
        <f t="shared" si="97"/>
        <v>6.5406540654065406</v>
      </c>
      <c r="AE123" s="29">
        <f t="shared" si="97"/>
        <v>0.9600960096009602</v>
      </c>
      <c r="AF123" s="29">
        <f t="shared" si="97"/>
        <v>0.69006900690069006</v>
      </c>
      <c r="AG123" s="29">
        <f t="shared" si="97"/>
        <v>37.083708370837087</v>
      </c>
      <c r="AH123" s="19">
        <f t="shared" si="97"/>
        <v>8.0008000800080012E-2</v>
      </c>
      <c r="AJ123" s="29"/>
      <c r="AM123" s="29"/>
      <c r="AO123" s="20">
        <v>31</v>
      </c>
    </row>
    <row r="124" spans="1:41">
      <c r="A124" s="19">
        <f t="shared" si="78"/>
        <v>123</v>
      </c>
      <c r="B124" s="29" t="s">
        <v>467</v>
      </c>
      <c r="C124" s="29">
        <v>3</v>
      </c>
      <c r="D124" s="29" t="s">
        <v>217</v>
      </c>
      <c r="E124" s="29" t="s">
        <v>217</v>
      </c>
      <c r="F124" s="19"/>
      <c r="G124" s="29"/>
      <c r="H124" s="29"/>
      <c r="I124" s="19"/>
      <c r="K124" s="29"/>
      <c r="L124" s="29"/>
      <c r="M124" s="29"/>
      <c r="N124" s="19"/>
      <c r="U124" s="19" t="s">
        <v>214</v>
      </c>
      <c r="V124" s="29">
        <v>50.53</v>
      </c>
      <c r="W124" s="29">
        <v>5.8</v>
      </c>
      <c r="X124" s="29">
        <v>0.41</v>
      </c>
      <c r="Y124" s="29">
        <v>0.05</v>
      </c>
      <c r="Z124" s="29">
        <v>42.32</v>
      </c>
      <c r="AA124" s="19">
        <v>0.89</v>
      </c>
      <c r="AB124" s="20">
        <f t="shared" si="88"/>
        <v>99.999999999999986</v>
      </c>
      <c r="AC124" s="29">
        <v>50.53</v>
      </c>
      <c r="AD124" s="29">
        <v>5.8</v>
      </c>
      <c r="AE124" s="29">
        <v>0.41</v>
      </c>
      <c r="AF124" s="29">
        <v>0.05</v>
      </c>
      <c r="AG124" s="29">
        <v>42.32</v>
      </c>
      <c r="AH124" s="20">
        <v>0.89</v>
      </c>
      <c r="AJ124" s="29"/>
      <c r="AM124" s="29"/>
      <c r="AO124" s="20">
        <v>31</v>
      </c>
    </row>
    <row r="125" spans="1:41">
      <c r="A125" s="19">
        <f t="shared" si="78"/>
        <v>124</v>
      </c>
      <c r="B125" s="29" t="s">
        <v>467</v>
      </c>
      <c r="C125" s="29">
        <v>3</v>
      </c>
      <c r="D125" s="29" t="s">
        <v>217</v>
      </c>
      <c r="E125" s="29" t="s">
        <v>217</v>
      </c>
      <c r="F125" s="19"/>
      <c r="G125" s="29"/>
      <c r="H125" s="29"/>
      <c r="I125" s="19"/>
      <c r="J125" s="20" t="s">
        <v>221</v>
      </c>
      <c r="K125" s="29"/>
      <c r="L125" s="29">
        <v>80.5</v>
      </c>
      <c r="M125" s="29">
        <v>15.3</v>
      </c>
      <c r="N125" s="19">
        <v>4.2</v>
      </c>
      <c r="O125" s="20">
        <f>SUM(K125:N125)</f>
        <v>100</v>
      </c>
      <c r="P125" s="29">
        <v>0</v>
      </c>
      <c r="Q125" s="27">
        <v>80.5</v>
      </c>
      <c r="R125" s="27">
        <v>15.3</v>
      </c>
      <c r="S125" s="20">
        <v>4.2</v>
      </c>
      <c r="U125" s="19" t="s">
        <v>214</v>
      </c>
      <c r="V125" s="29">
        <v>46.49</v>
      </c>
      <c r="W125" s="29">
        <v>6.56</v>
      </c>
      <c r="X125" s="29">
        <v>1</v>
      </c>
      <c r="Y125" s="29">
        <v>0.28999999999999998</v>
      </c>
      <c r="Z125" s="29">
        <v>45.67</v>
      </c>
      <c r="AA125" s="19"/>
      <c r="AB125" s="20">
        <f t="shared" si="88"/>
        <v>100.01</v>
      </c>
      <c r="AC125" s="29">
        <f>100*V125/$AB$125</f>
        <v>46.485351464853515</v>
      </c>
      <c r="AD125" s="29">
        <f>100*W125/$AB$125</f>
        <v>6.5593440655934403</v>
      </c>
      <c r="AE125" s="29">
        <f>100*X125/$AB$125</f>
        <v>0.99990000999900008</v>
      </c>
      <c r="AF125" s="29">
        <f>100*Y125/$AB$125</f>
        <v>0.28997100289970995</v>
      </c>
      <c r="AG125" s="29">
        <f>100*Z125/$AB$125</f>
        <v>45.665433456654334</v>
      </c>
      <c r="AJ125" s="29"/>
      <c r="AM125" s="29"/>
      <c r="AO125" s="20">
        <v>31</v>
      </c>
    </row>
    <row r="126" spans="1:41">
      <c r="A126" s="19">
        <f t="shared" si="78"/>
        <v>125</v>
      </c>
      <c r="B126" s="29" t="s">
        <v>467</v>
      </c>
      <c r="C126" s="29">
        <v>3</v>
      </c>
      <c r="D126" s="29" t="s">
        <v>217</v>
      </c>
      <c r="E126" s="29" t="s">
        <v>476</v>
      </c>
      <c r="F126" s="19"/>
      <c r="G126" s="29"/>
      <c r="H126" s="29"/>
      <c r="I126" s="19"/>
      <c r="J126" s="20" t="s">
        <v>221</v>
      </c>
      <c r="K126" s="29"/>
      <c r="L126" s="29">
        <v>82.66</v>
      </c>
      <c r="M126" s="29">
        <v>15.4</v>
      </c>
      <c r="N126" s="19">
        <v>1.95</v>
      </c>
      <c r="O126" s="20">
        <f>SUM(K126:N126)</f>
        <v>100.01</v>
      </c>
      <c r="P126" s="27">
        <f>100*K126/O126</f>
        <v>0</v>
      </c>
      <c r="Q126" s="27">
        <f>100*L126/O126</f>
        <v>82.651734826517341</v>
      </c>
      <c r="R126" s="27">
        <f>100*M126/O126</f>
        <v>15.398460153984601</v>
      </c>
      <c r="S126" s="20">
        <f>100*N126/O126</f>
        <v>1.9498050194980501</v>
      </c>
      <c r="U126" s="19" t="s">
        <v>214</v>
      </c>
      <c r="V126" s="29">
        <v>49.54</v>
      </c>
      <c r="W126" s="29">
        <v>6.21</v>
      </c>
      <c r="X126" s="29">
        <v>0.12</v>
      </c>
      <c r="Y126" s="29">
        <v>0.04</v>
      </c>
      <c r="Z126" s="29">
        <v>44.06</v>
      </c>
      <c r="AA126" s="19">
        <v>0.03</v>
      </c>
      <c r="AB126" s="20">
        <f t="shared" si="88"/>
        <v>100</v>
      </c>
      <c r="AC126" s="29">
        <v>49.54</v>
      </c>
      <c r="AD126" s="29">
        <v>6.21</v>
      </c>
      <c r="AE126" s="29">
        <v>0.12</v>
      </c>
      <c r="AF126" s="29">
        <v>0.04</v>
      </c>
      <c r="AG126" s="29">
        <v>44.06</v>
      </c>
      <c r="AH126" s="20">
        <v>0.03</v>
      </c>
      <c r="AJ126" s="29">
        <v>19.163</v>
      </c>
      <c r="AL126" s="29">
        <f>AM126*(Q126+R126+S126)/(Q126+R126)</f>
        <v>19.544071282888027</v>
      </c>
      <c r="AM126" s="29">
        <v>19.163</v>
      </c>
      <c r="AN126" s="19">
        <f>AM126*(Q126+R126+S126)/(P126+Q126+R126+S126)</f>
        <v>19.163</v>
      </c>
      <c r="AO126" s="20">
        <v>31</v>
      </c>
    </row>
    <row r="127" spans="1:41">
      <c r="A127" s="19">
        <f t="shared" si="78"/>
        <v>126</v>
      </c>
      <c r="B127" s="29" t="s">
        <v>467</v>
      </c>
      <c r="C127" s="29">
        <v>3</v>
      </c>
      <c r="D127" s="29" t="s">
        <v>217</v>
      </c>
      <c r="E127" s="29" t="s">
        <v>476</v>
      </c>
      <c r="F127" s="19"/>
      <c r="G127" s="29"/>
      <c r="H127" s="29"/>
      <c r="I127" s="19"/>
      <c r="J127" s="20" t="s">
        <v>221</v>
      </c>
      <c r="K127" s="29"/>
      <c r="L127" s="29">
        <v>87.07</v>
      </c>
      <c r="M127" s="29">
        <v>11.45</v>
      </c>
      <c r="N127" s="19">
        <v>1.49</v>
      </c>
      <c r="O127" s="20">
        <f>SUM(K127:N127)</f>
        <v>100.00999999999999</v>
      </c>
      <c r="P127" s="27">
        <f>100*K127/O127</f>
        <v>0</v>
      </c>
      <c r="Q127" s="27">
        <f>100*L127/O127</f>
        <v>87.061293870612943</v>
      </c>
      <c r="R127" s="27">
        <f>100*M127/O127</f>
        <v>11.448855114488552</v>
      </c>
      <c r="S127" s="20">
        <f>100*N127/O127</f>
        <v>1.4898510148985102</v>
      </c>
      <c r="U127" s="19" t="s">
        <v>214</v>
      </c>
      <c r="V127" s="29">
        <v>51.73</v>
      </c>
      <c r="W127" s="29">
        <v>4.54</v>
      </c>
      <c r="X127" s="29">
        <v>0.16</v>
      </c>
      <c r="Y127" s="29">
        <v>0.08</v>
      </c>
      <c r="Z127" s="29">
        <v>43.5</v>
      </c>
      <c r="AA127" s="19"/>
      <c r="AB127" s="20">
        <f t="shared" si="88"/>
        <v>100.00999999999999</v>
      </c>
      <c r="AC127" s="29">
        <f>100*V127/$AB$127</f>
        <v>51.724827517248279</v>
      </c>
      <c r="AD127" s="29">
        <f>100*W127/$AB$127</f>
        <v>4.5395460453954612</v>
      </c>
      <c r="AE127" s="29">
        <f>100*X127/$AB$127</f>
        <v>0.15998400159984003</v>
      </c>
      <c r="AF127" s="29">
        <f>100*Y127/$AB$127</f>
        <v>7.9992000799920013E-2</v>
      </c>
      <c r="AG127" s="29">
        <f>100*Z127/$AB$127</f>
        <v>43.495650434956509</v>
      </c>
      <c r="AJ127" s="29">
        <v>20.186</v>
      </c>
      <c r="AL127" s="29">
        <f>AM127*(Q127+R127+S127)/(Q127+R127)</f>
        <v>20.491289687373119</v>
      </c>
      <c r="AM127" s="29">
        <v>20.186</v>
      </c>
      <c r="AN127" s="19">
        <f>AM127*(Q127+R127+S127)/(P127+Q127+R127+S127)</f>
        <v>20.186</v>
      </c>
      <c r="AO127" s="20">
        <v>31</v>
      </c>
    </row>
    <row r="128" spans="1:41">
      <c r="A128" s="19">
        <f t="shared" si="78"/>
        <v>127</v>
      </c>
      <c r="B128" s="29" t="s">
        <v>467</v>
      </c>
      <c r="C128" s="29">
        <v>3</v>
      </c>
      <c r="D128" s="29" t="s">
        <v>217</v>
      </c>
      <c r="E128" s="29" t="s">
        <v>476</v>
      </c>
      <c r="J128" s="20" t="s">
        <v>221</v>
      </c>
      <c r="L128" s="27">
        <v>81.5</v>
      </c>
      <c r="M128" s="29">
        <v>15.05</v>
      </c>
      <c r="N128" s="20">
        <v>3.45</v>
      </c>
      <c r="O128" s="20">
        <f>SUM(K128:N128)</f>
        <v>100</v>
      </c>
      <c r="P128" s="27">
        <v>0</v>
      </c>
      <c r="Q128" s="27">
        <v>81.5</v>
      </c>
      <c r="R128" s="27">
        <v>15.05</v>
      </c>
      <c r="S128" s="20">
        <v>3.45</v>
      </c>
      <c r="U128" s="19" t="s">
        <v>214</v>
      </c>
      <c r="V128" s="29">
        <v>49.03</v>
      </c>
      <c r="W128" s="29">
        <v>5.69</v>
      </c>
      <c r="X128" s="29">
        <v>0.22</v>
      </c>
      <c r="Y128" s="29">
        <v>7.0000000000000007E-2</v>
      </c>
      <c r="Z128" s="29">
        <v>44.98</v>
      </c>
      <c r="AB128" s="20">
        <f t="shared" si="88"/>
        <v>99.99</v>
      </c>
      <c r="AC128" s="29">
        <f>100*V128/$AB$128</f>
        <v>49.034903490349038</v>
      </c>
      <c r="AD128" s="27">
        <f>100*W128/$AB$128</f>
        <v>5.6905690569056908</v>
      </c>
      <c r="AE128" s="27">
        <f>100*X128/$AB$128</f>
        <v>0.22002200220022003</v>
      </c>
      <c r="AF128" s="27">
        <f>100*Y128/$AB$128</f>
        <v>7.0007000700070016E-2</v>
      </c>
      <c r="AG128" s="27">
        <f>100*Z128/$AB$128</f>
        <v>44.984498449844985</v>
      </c>
      <c r="AJ128" s="27">
        <v>18.591000000000001</v>
      </c>
      <c r="AL128" s="29">
        <f>AM128*(Q128+R128+S128)/(Q128+R128)</f>
        <v>19.255308130502332</v>
      </c>
      <c r="AM128" s="27">
        <v>18.591000000000001</v>
      </c>
      <c r="AN128" s="19">
        <f>AM128*(Q128+R128+S128)/(P128+Q128+R128+S128)</f>
        <v>18.591000000000001</v>
      </c>
      <c r="AO128" s="20">
        <v>31</v>
      </c>
    </row>
    <row r="129" spans="1:41">
      <c r="A129" s="19">
        <f t="shared" si="78"/>
        <v>128</v>
      </c>
      <c r="B129" s="29" t="s">
        <v>467</v>
      </c>
      <c r="C129" s="29">
        <v>3</v>
      </c>
      <c r="D129" s="29" t="s">
        <v>217</v>
      </c>
      <c r="E129" s="29" t="s">
        <v>477</v>
      </c>
      <c r="F129" s="19"/>
      <c r="G129" s="29"/>
      <c r="H129" s="29"/>
      <c r="I129" s="19"/>
      <c r="J129" s="20" t="s">
        <v>221</v>
      </c>
      <c r="K129" s="29"/>
      <c r="L129" s="29">
        <v>83.45</v>
      </c>
      <c r="M129" s="29">
        <v>14.37</v>
      </c>
      <c r="N129" s="19">
        <v>2.1800000000000002</v>
      </c>
      <c r="O129" s="20">
        <f>SUM(K129:N129)</f>
        <v>100.00000000000001</v>
      </c>
      <c r="P129" s="29">
        <v>0</v>
      </c>
      <c r="Q129" s="27">
        <v>83.45</v>
      </c>
      <c r="R129" s="27">
        <v>14.37</v>
      </c>
      <c r="S129" s="20">
        <v>2.1800000000000002</v>
      </c>
      <c r="U129" s="19" t="s">
        <v>214</v>
      </c>
      <c r="V129" s="29">
        <v>48.79</v>
      </c>
      <c r="W129" s="29">
        <v>5.16</v>
      </c>
      <c r="X129" s="29">
        <v>0.3</v>
      </c>
      <c r="Y129" s="29">
        <v>0.04</v>
      </c>
      <c r="Z129" s="29">
        <v>45.7</v>
      </c>
      <c r="AA129" s="19"/>
      <c r="AB129" s="20">
        <f t="shared" si="88"/>
        <v>99.990000000000009</v>
      </c>
      <c r="AC129" s="29">
        <f>100*V129/$AB$129</f>
        <v>48.794879487948791</v>
      </c>
      <c r="AD129" s="29">
        <f>100*W129/$AB$129</f>
        <v>5.1605160516051605</v>
      </c>
      <c r="AE129" s="29">
        <f>100*X129/$AB$129</f>
        <v>0.30003000300030003</v>
      </c>
      <c r="AF129" s="29">
        <f>100*Y129/$AB$129</f>
        <v>4.0004000400039999E-2</v>
      </c>
      <c r="AG129" s="29">
        <f>100*Z129/$AB$129</f>
        <v>45.704570457045698</v>
      </c>
      <c r="AJ129" s="29">
        <v>18.933</v>
      </c>
      <c r="AL129" s="29">
        <f>AM129*(Q129+R129+S129)/(Q129+R129)</f>
        <v>19.354937640564302</v>
      </c>
      <c r="AM129" s="29">
        <v>18.933</v>
      </c>
      <c r="AN129" s="19">
        <f>AM129*(Q129+R129+S129)/(P129+Q129+R129+S129)</f>
        <v>18.933</v>
      </c>
      <c r="AO129" s="23">
        <v>31</v>
      </c>
    </row>
    <row r="130" spans="1:41" s="105" customFormat="1">
      <c r="A130" s="102">
        <f t="shared" si="78"/>
        <v>129</v>
      </c>
      <c r="B130" s="103" t="s">
        <v>219</v>
      </c>
      <c r="C130" s="103">
        <v>4</v>
      </c>
      <c r="D130" s="103" t="s">
        <v>939</v>
      </c>
      <c r="E130" s="103" t="s">
        <v>450</v>
      </c>
      <c r="F130" s="102" t="s">
        <v>375</v>
      </c>
      <c r="G130" s="103"/>
      <c r="H130" s="103"/>
      <c r="I130" s="102">
        <v>2.09</v>
      </c>
      <c r="J130" s="104" t="s">
        <v>454</v>
      </c>
      <c r="K130" s="103">
        <v>3.65</v>
      </c>
      <c r="L130" s="106"/>
      <c r="M130" s="106"/>
      <c r="N130" s="108">
        <v>1.86</v>
      </c>
      <c r="O130" s="104"/>
      <c r="P130" s="103"/>
      <c r="Q130" s="106"/>
      <c r="R130" s="106"/>
      <c r="S130" s="108"/>
      <c r="T130" s="104"/>
      <c r="U130" s="102"/>
      <c r="V130" s="106"/>
      <c r="W130" s="106"/>
      <c r="X130" s="106"/>
      <c r="Y130" s="106"/>
      <c r="Z130" s="106"/>
      <c r="AA130" s="102"/>
      <c r="AB130" s="104"/>
      <c r="AH130" s="104"/>
      <c r="AI130" s="103"/>
      <c r="AJ130" s="103"/>
      <c r="AK130" s="104"/>
      <c r="AL130" s="103"/>
      <c r="AM130" s="103"/>
      <c r="AN130" s="104"/>
      <c r="AO130" s="19">
        <v>2</v>
      </c>
    </row>
    <row r="131" spans="1:41">
      <c r="A131" s="19">
        <f t="shared" ref="A131:A194" si="98">A130+1</f>
        <v>130</v>
      </c>
      <c r="B131" s="29" t="s">
        <v>219</v>
      </c>
      <c r="C131" s="29">
        <v>4</v>
      </c>
      <c r="D131" s="29" t="s">
        <v>939</v>
      </c>
      <c r="E131" s="29" t="s">
        <v>450</v>
      </c>
      <c r="F131" s="19"/>
      <c r="G131" s="29">
        <v>0.69199999999999995</v>
      </c>
      <c r="H131" s="29"/>
      <c r="I131" s="19"/>
      <c r="J131" s="20" t="s">
        <v>454</v>
      </c>
      <c r="K131" s="29">
        <v>8.02</v>
      </c>
      <c r="L131" s="29"/>
      <c r="M131" s="29"/>
      <c r="N131" s="19"/>
      <c r="V131" s="29"/>
      <c r="W131" s="29"/>
      <c r="X131" s="29"/>
      <c r="Y131" s="29"/>
      <c r="Z131" s="29"/>
      <c r="AA131" s="19"/>
      <c r="AI131" s="29"/>
      <c r="AL131" s="29"/>
      <c r="AO131" s="19">
        <v>56</v>
      </c>
    </row>
    <row r="132" spans="1:41">
      <c r="A132" s="19">
        <f t="shared" si="98"/>
        <v>131</v>
      </c>
      <c r="B132" s="29" t="s">
        <v>219</v>
      </c>
      <c r="C132" s="29">
        <v>4</v>
      </c>
      <c r="D132" s="29" t="s">
        <v>939</v>
      </c>
      <c r="E132" s="29" t="s">
        <v>451</v>
      </c>
      <c r="F132" s="19"/>
      <c r="G132" s="29">
        <v>1.2749999999999999</v>
      </c>
      <c r="H132" s="29"/>
      <c r="I132" s="19"/>
      <c r="J132" s="20" t="s">
        <v>454</v>
      </c>
      <c r="K132" s="29">
        <v>4.38</v>
      </c>
      <c r="L132" s="29"/>
      <c r="M132" s="29"/>
      <c r="N132" s="19">
        <v>1.74</v>
      </c>
      <c r="V132" s="29"/>
      <c r="W132" s="29"/>
      <c r="X132" s="29"/>
      <c r="Y132" s="29"/>
      <c r="Z132" s="29"/>
      <c r="AA132" s="19"/>
      <c r="AI132" s="29"/>
      <c r="AL132" s="29"/>
      <c r="AO132" s="19">
        <v>56</v>
      </c>
    </row>
    <row r="133" spans="1:41">
      <c r="A133" s="19">
        <f t="shared" si="98"/>
        <v>132</v>
      </c>
      <c r="B133" s="29" t="s">
        <v>197</v>
      </c>
      <c r="C133" s="29">
        <v>4</v>
      </c>
      <c r="D133" s="29" t="s">
        <v>939</v>
      </c>
      <c r="E133" s="29" t="s">
        <v>229</v>
      </c>
      <c r="F133" s="19" t="s">
        <v>376</v>
      </c>
      <c r="G133" s="29">
        <v>1.3169999999999999</v>
      </c>
      <c r="I133" s="19"/>
      <c r="K133" s="29"/>
      <c r="L133" s="29"/>
      <c r="M133" s="29"/>
      <c r="N133" s="19"/>
      <c r="V133" s="29"/>
      <c r="W133" s="29"/>
      <c r="X133" s="29"/>
      <c r="Y133" s="29"/>
      <c r="Z133" s="29"/>
      <c r="AA133" s="19"/>
      <c r="AI133" s="29"/>
      <c r="AL133" s="29"/>
      <c r="AO133" s="19">
        <v>55</v>
      </c>
    </row>
    <row r="134" spans="1:41">
      <c r="A134" s="19">
        <f t="shared" si="98"/>
        <v>133</v>
      </c>
      <c r="B134" s="29" t="s">
        <v>197</v>
      </c>
      <c r="C134" s="29">
        <v>4</v>
      </c>
      <c r="D134" s="29" t="s">
        <v>939</v>
      </c>
      <c r="E134" s="29" t="s">
        <v>231</v>
      </c>
      <c r="F134" s="19"/>
      <c r="G134" s="29"/>
      <c r="H134" s="29"/>
      <c r="I134" s="19"/>
      <c r="K134" s="29"/>
      <c r="L134" s="29"/>
      <c r="M134" s="29"/>
      <c r="N134" s="19"/>
      <c r="U134" s="20" t="s">
        <v>215</v>
      </c>
      <c r="V134" s="29">
        <v>48</v>
      </c>
      <c r="W134" s="29">
        <v>5.7</v>
      </c>
      <c r="X134" s="29">
        <v>1.1000000000000001</v>
      </c>
      <c r="Y134" s="29">
        <v>0.1</v>
      </c>
      <c r="Z134" s="29">
        <v>45.1</v>
      </c>
      <c r="AA134" s="19"/>
      <c r="AB134" s="20">
        <f>SUM(V134:AA134)</f>
        <v>100</v>
      </c>
      <c r="AC134" s="29">
        <v>48</v>
      </c>
      <c r="AD134" s="29">
        <v>5.7</v>
      </c>
      <c r="AE134" s="29">
        <v>1.1000000000000001</v>
      </c>
      <c r="AF134" s="29">
        <v>0.1</v>
      </c>
      <c r="AG134" s="29">
        <v>45.1</v>
      </c>
      <c r="AI134" s="29">
        <v>4</v>
      </c>
      <c r="AL134" s="29">
        <v>4</v>
      </c>
      <c r="AO134" s="20">
        <v>29</v>
      </c>
    </row>
    <row r="135" spans="1:41">
      <c r="A135" s="19">
        <f t="shared" si="98"/>
        <v>134</v>
      </c>
      <c r="B135" s="29" t="s">
        <v>219</v>
      </c>
      <c r="C135" s="29">
        <v>4</v>
      </c>
      <c r="D135" s="29" t="s">
        <v>939</v>
      </c>
      <c r="E135" s="29" t="s">
        <v>220</v>
      </c>
      <c r="J135" s="20" t="s">
        <v>221</v>
      </c>
      <c r="K135" s="29">
        <v>0</v>
      </c>
      <c r="L135" s="31">
        <v>76.489999999999995</v>
      </c>
      <c r="M135" s="31">
        <v>20.6</v>
      </c>
      <c r="N135" s="22">
        <v>2.91</v>
      </c>
      <c r="O135" s="20">
        <f>SUM(K135:N135)</f>
        <v>100</v>
      </c>
      <c r="P135" s="29">
        <v>0</v>
      </c>
      <c r="Q135" s="31">
        <v>76.489999999999995</v>
      </c>
      <c r="R135" s="31">
        <v>20.6</v>
      </c>
      <c r="S135" s="22">
        <v>2.91</v>
      </c>
      <c r="U135" s="20" t="s">
        <v>215</v>
      </c>
      <c r="V135" s="29">
        <v>48.74</v>
      </c>
      <c r="W135" s="31">
        <v>5.92</v>
      </c>
      <c r="X135" s="31">
        <v>1.43</v>
      </c>
      <c r="Y135" s="31">
        <v>0.16</v>
      </c>
      <c r="Z135" s="31">
        <v>43</v>
      </c>
      <c r="AB135" s="20">
        <f>SUM(V135:AA135)</f>
        <v>99.25</v>
      </c>
      <c r="AC135" s="27">
        <f>100*V135/AB135</f>
        <v>49.10831234256927</v>
      </c>
      <c r="AD135" s="27">
        <f>100*W135/AB135</f>
        <v>5.9647355163727962</v>
      </c>
      <c r="AE135" s="27">
        <f>100*X135/AB135</f>
        <v>1.4408060453400504</v>
      </c>
      <c r="AF135" s="27">
        <f>100*Y135/AB135</f>
        <v>0.16120906801007556</v>
      </c>
      <c r="AG135" s="27">
        <f>100*Z135/AB135</f>
        <v>43.324937027707811</v>
      </c>
      <c r="AO135" s="20">
        <v>15</v>
      </c>
    </row>
    <row r="136" spans="1:41">
      <c r="A136" s="19">
        <f t="shared" si="98"/>
        <v>135</v>
      </c>
      <c r="B136" s="29" t="s">
        <v>219</v>
      </c>
      <c r="C136" s="29">
        <v>4</v>
      </c>
      <c r="D136" s="29" t="s">
        <v>939</v>
      </c>
      <c r="E136" s="29" t="s">
        <v>224</v>
      </c>
      <c r="J136" s="20" t="s">
        <v>1172</v>
      </c>
      <c r="K136" s="29">
        <v>76.099999999999994</v>
      </c>
      <c r="U136" s="19" t="s">
        <v>221</v>
      </c>
      <c r="V136" s="31">
        <v>38</v>
      </c>
      <c r="W136" s="31">
        <v>3.7</v>
      </c>
      <c r="X136" s="31">
        <v>1.9</v>
      </c>
      <c r="Y136" s="31">
        <v>0</v>
      </c>
      <c r="Z136" s="31">
        <v>35.6</v>
      </c>
      <c r="AB136" s="20">
        <f>SUM(V136:AA136)</f>
        <v>79.2</v>
      </c>
      <c r="AC136" s="27">
        <f>100*V136/AB136</f>
        <v>47.979797979797979</v>
      </c>
      <c r="AD136" s="27">
        <f>100*W136/AB136</f>
        <v>4.6717171717171713</v>
      </c>
      <c r="AE136" s="27">
        <f>100*X136/AB136</f>
        <v>2.3989898989898988</v>
      </c>
      <c r="AF136" s="27">
        <f>100*Y136/AB136</f>
        <v>0</v>
      </c>
      <c r="AG136" s="27">
        <f>100*Z136/AB136</f>
        <v>44.949494949494948</v>
      </c>
      <c r="AO136" s="20">
        <v>16</v>
      </c>
    </row>
    <row r="137" spans="1:41">
      <c r="A137" s="19">
        <f t="shared" si="98"/>
        <v>136</v>
      </c>
      <c r="B137" s="29" t="s">
        <v>197</v>
      </c>
      <c r="C137" s="29">
        <v>4</v>
      </c>
      <c r="D137" s="29" t="s">
        <v>939</v>
      </c>
      <c r="E137" s="29" t="s">
        <v>226</v>
      </c>
      <c r="F137" s="19" t="s">
        <v>374</v>
      </c>
      <c r="G137" s="29"/>
      <c r="H137" s="29"/>
      <c r="I137" s="19"/>
      <c r="K137" s="29"/>
      <c r="L137" s="29"/>
      <c r="M137" s="29"/>
      <c r="N137" s="19">
        <v>1.1299999999999999</v>
      </c>
      <c r="V137" s="29">
        <v>41.2</v>
      </c>
      <c r="W137" s="29">
        <v>6</v>
      </c>
      <c r="X137" s="29">
        <v>1.8</v>
      </c>
      <c r="Y137" s="29">
        <v>0.1</v>
      </c>
      <c r="Z137" s="29">
        <v>50.9</v>
      </c>
      <c r="AA137" s="19"/>
      <c r="AB137" s="20">
        <f>SUM(V137:AA137)</f>
        <v>100</v>
      </c>
      <c r="AC137" s="29">
        <v>41.2</v>
      </c>
      <c r="AD137" s="29">
        <v>6</v>
      </c>
      <c r="AE137" s="29">
        <v>1.8</v>
      </c>
      <c r="AF137" s="29">
        <v>0.1</v>
      </c>
      <c r="AG137" s="29">
        <v>50.9</v>
      </c>
      <c r="AI137" s="29"/>
      <c r="AL137" s="29"/>
      <c r="AO137" s="19">
        <v>52</v>
      </c>
    </row>
    <row r="138" spans="1:41">
      <c r="A138" s="19">
        <f t="shared" si="98"/>
        <v>137</v>
      </c>
      <c r="B138" s="29" t="s">
        <v>197</v>
      </c>
      <c r="C138" s="29">
        <v>4</v>
      </c>
      <c r="D138" s="29" t="s">
        <v>939</v>
      </c>
      <c r="E138" s="29" t="s">
        <v>461</v>
      </c>
      <c r="F138" s="19" t="s">
        <v>460</v>
      </c>
      <c r="G138" s="29"/>
      <c r="H138" s="29">
        <v>0.159</v>
      </c>
      <c r="I138" s="19">
        <v>2.4489999999999998</v>
      </c>
      <c r="L138" s="29"/>
      <c r="M138" s="29"/>
      <c r="N138" s="19"/>
      <c r="V138" s="29"/>
      <c r="W138" s="29"/>
      <c r="X138" s="29"/>
      <c r="Y138" s="29"/>
      <c r="Z138" s="29"/>
      <c r="AA138" s="19"/>
      <c r="AB138" s="20">
        <f t="shared" ref="AB138:AB147" si="99">SUM(V138:AA138)</f>
        <v>0</v>
      </c>
      <c r="AI138" s="29"/>
      <c r="AL138" s="29"/>
      <c r="AO138" s="20">
        <v>54</v>
      </c>
    </row>
    <row r="139" spans="1:41">
      <c r="A139" s="19">
        <f t="shared" si="98"/>
        <v>138</v>
      </c>
      <c r="B139" s="29" t="s">
        <v>197</v>
      </c>
      <c r="C139" s="29">
        <v>4</v>
      </c>
      <c r="D139" s="29" t="s">
        <v>939</v>
      </c>
      <c r="E139" s="29" t="s">
        <v>239</v>
      </c>
      <c r="F139" s="19"/>
      <c r="G139" s="29"/>
      <c r="H139" s="29"/>
      <c r="I139" s="19"/>
      <c r="J139" s="20" t="s">
        <v>221</v>
      </c>
      <c r="K139" s="29"/>
      <c r="L139" s="29">
        <v>67.599999999999994</v>
      </c>
      <c r="M139" s="29">
        <v>22.49</v>
      </c>
      <c r="N139" s="19">
        <v>9.91</v>
      </c>
      <c r="O139" s="20">
        <f>SUM(K139:N139)</f>
        <v>99.999999999999986</v>
      </c>
      <c r="P139" s="29">
        <v>0</v>
      </c>
      <c r="Q139" s="29">
        <v>67.599999999999994</v>
      </c>
      <c r="R139" s="29">
        <v>22.49</v>
      </c>
      <c r="S139" s="19">
        <v>9.91</v>
      </c>
      <c r="U139" s="20" t="s">
        <v>215</v>
      </c>
      <c r="V139" s="29">
        <v>47.49</v>
      </c>
      <c r="W139" s="29">
        <v>5.88</v>
      </c>
      <c r="X139" s="29">
        <v>4.1100000000000003</v>
      </c>
      <c r="Y139" s="29">
        <v>0.73</v>
      </c>
      <c r="Z139" s="29">
        <v>41.79</v>
      </c>
      <c r="AA139" s="19"/>
      <c r="AB139" s="20">
        <f>SUM(V139:AA139)</f>
        <v>100</v>
      </c>
      <c r="AC139" s="29">
        <v>47.49</v>
      </c>
      <c r="AD139" s="29">
        <v>5.88</v>
      </c>
      <c r="AE139" s="29">
        <v>4.1100000000000003</v>
      </c>
      <c r="AF139" s="29">
        <v>0.73</v>
      </c>
      <c r="AG139" s="29">
        <v>41.79</v>
      </c>
      <c r="AJ139" s="29">
        <v>16.989999999999998</v>
      </c>
      <c r="AL139" s="29">
        <f>AM139*(Q139+R139+S139)/(Q139+R139)</f>
        <v>18.858918858918855</v>
      </c>
      <c r="AM139" s="29">
        <v>16.989999999999998</v>
      </c>
      <c r="AN139" s="19">
        <f t="shared" ref="AN139:AN147" si="100">AM139*(Q139+R139+S139)/(P139+Q139+R139+S139)</f>
        <v>16.989999999999998</v>
      </c>
      <c r="AO139" s="20">
        <v>42</v>
      </c>
    </row>
    <row r="140" spans="1:41">
      <c r="A140" s="19">
        <f t="shared" si="98"/>
        <v>139</v>
      </c>
      <c r="B140" s="29" t="s">
        <v>197</v>
      </c>
      <c r="C140" s="29">
        <v>4</v>
      </c>
      <c r="D140" s="29" t="s">
        <v>939</v>
      </c>
      <c r="E140" s="29" t="s">
        <v>240</v>
      </c>
      <c r="F140" s="19"/>
      <c r="G140" s="29"/>
      <c r="H140" s="29"/>
      <c r="I140" s="19"/>
      <c r="J140" s="20" t="s">
        <v>221</v>
      </c>
      <c r="K140" s="29"/>
      <c r="L140" s="29">
        <v>79.52</v>
      </c>
      <c r="M140" s="29">
        <v>17.329999999999998</v>
      </c>
      <c r="N140" s="19">
        <v>3.15</v>
      </c>
      <c r="O140" s="20">
        <f>SUM(K140:N140)</f>
        <v>100</v>
      </c>
      <c r="P140" s="29">
        <v>0</v>
      </c>
      <c r="Q140" s="29">
        <v>79.52</v>
      </c>
      <c r="R140" s="29">
        <v>17.329999999999998</v>
      </c>
      <c r="S140" s="19">
        <v>3.15</v>
      </c>
      <c r="U140" s="20" t="s">
        <v>215</v>
      </c>
      <c r="V140" s="29">
        <v>44.41</v>
      </c>
      <c r="W140" s="29">
        <v>5.33</v>
      </c>
      <c r="X140" s="29">
        <v>1.81</v>
      </c>
      <c r="Y140" s="29">
        <v>0.64</v>
      </c>
      <c r="Z140" s="29">
        <v>47.82</v>
      </c>
      <c r="AA140" s="19"/>
      <c r="AB140" s="20">
        <f>SUM(V140:AA140)</f>
        <v>100.00999999999999</v>
      </c>
      <c r="AC140" s="29">
        <v>44.41</v>
      </c>
      <c r="AD140" s="29">
        <v>5.33</v>
      </c>
      <c r="AE140" s="29">
        <v>1.81</v>
      </c>
      <c r="AF140" s="29">
        <v>0.64</v>
      </c>
      <c r="AG140" s="29">
        <v>47.82</v>
      </c>
      <c r="AJ140" s="29">
        <v>17.100000000000001</v>
      </c>
      <c r="AL140" s="27">
        <f t="shared" ref="AL140:AL147" si="101">AM140*(Q140+R140+S140)/(Q140+R140)</f>
        <v>17.656169334021687</v>
      </c>
      <c r="AM140" s="29">
        <v>17.100000000000001</v>
      </c>
      <c r="AN140" s="19">
        <f t="shared" si="100"/>
        <v>17.100000000000001</v>
      </c>
      <c r="AO140" s="20">
        <v>42</v>
      </c>
    </row>
    <row r="141" spans="1:41">
      <c r="A141" s="19">
        <f t="shared" si="98"/>
        <v>140</v>
      </c>
      <c r="B141" s="29" t="s">
        <v>197</v>
      </c>
      <c r="C141" s="29">
        <v>4</v>
      </c>
      <c r="D141" s="29" t="s">
        <v>939</v>
      </c>
      <c r="E141" s="29" t="s">
        <v>244</v>
      </c>
      <c r="F141" s="19"/>
      <c r="G141" s="29"/>
      <c r="H141" s="29"/>
      <c r="I141" s="19"/>
      <c r="J141" s="20" t="s">
        <v>221</v>
      </c>
      <c r="K141" s="29"/>
      <c r="L141" s="29">
        <v>76.489999999999995</v>
      </c>
      <c r="M141" s="29">
        <v>20.6</v>
      </c>
      <c r="N141" s="19">
        <v>2.91</v>
      </c>
      <c r="O141" s="20">
        <f>SUM(K141:N141)</f>
        <v>100</v>
      </c>
      <c r="P141" s="29">
        <v>0</v>
      </c>
      <c r="Q141" s="29">
        <v>76.489999999999995</v>
      </c>
      <c r="R141" s="29">
        <v>20.6</v>
      </c>
      <c r="S141" s="19">
        <v>2.91</v>
      </c>
      <c r="U141" s="20" t="s">
        <v>215</v>
      </c>
      <c r="V141" s="29">
        <v>48.74</v>
      </c>
      <c r="W141" s="29">
        <v>5.92</v>
      </c>
      <c r="X141" s="29">
        <v>1.43</v>
      </c>
      <c r="Y141" s="29">
        <v>0.08</v>
      </c>
      <c r="Z141" s="29">
        <v>43.83</v>
      </c>
      <c r="AA141" s="19"/>
      <c r="AB141" s="20">
        <f>SUM(V141:AA141)</f>
        <v>100</v>
      </c>
      <c r="AC141" s="29">
        <v>48.74</v>
      </c>
      <c r="AD141" s="29">
        <v>5.92</v>
      </c>
      <c r="AE141" s="29">
        <v>1.43</v>
      </c>
      <c r="AF141" s="29">
        <v>0.08</v>
      </c>
      <c r="AG141" s="29">
        <v>43.83</v>
      </c>
      <c r="AJ141" s="29">
        <v>18.47</v>
      </c>
      <c r="AL141" s="27">
        <f t="shared" si="101"/>
        <v>19.023586363168192</v>
      </c>
      <c r="AM141" s="29">
        <v>18.47</v>
      </c>
      <c r="AN141" s="19">
        <f t="shared" si="100"/>
        <v>18.47</v>
      </c>
      <c r="AO141" s="20">
        <v>42</v>
      </c>
    </row>
    <row r="142" spans="1:41">
      <c r="A142" s="19">
        <f t="shared" si="98"/>
        <v>141</v>
      </c>
      <c r="B142" s="29" t="s">
        <v>197</v>
      </c>
      <c r="C142" s="29">
        <v>4</v>
      </c>
      <c r="D142" s="29" t="s">
        <v>939</v>
      </c>
      <c r="E142" s="29" t="s">
        <v>462</v>
      </c>
      <c r="J142" s="20" t="s">
        <v>221</v>
      </c>
      <c r="L142" s="29">
        <v>64.38</v>
      </c>
      <c r="M142" s="29">
        <v>24.77</v>
      </c>
      <c r="N142" s="20">
        <v>10.85</v>
      </c>
      <c r="O142" s="20">
        <f>SUM(K142:N142)</f>
        <v>99.999999999999986</v>
      </c>
      <c r="P142" s="29">
        <v>0</v>
      </c>
      <c r="Q142" s="29">
        <v>64.38</v>
      </c>
      <c r="R142" s="29">
        <v>24.77</v>
      </c>
      <c r="S142" s="20">
        <v>10.85</v>
      </c>
      <c r="U142" s="20" t="s">
        <v>215</v>
      </c>
      <c r="V142" s="29">
        <v>35.799999999999997</v>
      </c>
      <c r="W142" s="29">
        <v>4.79</v>
      </c>
      <c r="X142" s="29">
        <v>4.37</v>
      </c>
      <c r="Y142" s="29">
        <v>0.1</v>
      </c>
      <c r="Z142" s="29">
        <v>54.93</v>
      </c>
      <c r="AB142" s="20">
        <f>SUM(V142:AA142)</f>
        <v>99.99</v>
      </c>
      <c r="AC142" s="29">
        <v>35.799999999999997</v>
      </c>
      <c r="AD142" s="29">
        <v>4.79</v>
      </c>
      <c r="AE142" s="29">
        <v>4.37</v>
      </c>
      <c r="AF142" s="29">
        <v>0.1</v>
      </c>
      <c r="AG142" s="29">
        <v>54.93</v>
      </c>
      <c r="AJ142" s="27">
        <v>16.39</v>
      </c>
      <c r="AL142" s="27">
        <f t="shared" si="101"/>
        <v>18.384744812114413</v>
      </c>
      <c r="AM142" s="27">
        <v>16.39</v>
      </c>
      <c r="AN142" s="19">
        <f t="shared" si="100"/>
        <v>16.39</v>
      </c>
      <c r="AO142" s="20">
        <v>42</v>
      </c>
    </row>
    <row r="143" spans="1:41">
      <c r="A143" s="19">
        <f t="shared" si="98"/>
        <v>142</v>
      </c>
      <c r="B143" s="29" t="s">
        <v>197</v>
      </c>
      <c r="C143" s="29">
        <v>4</v>
      </c>
      <c r="D143" s="29" t="s">
        <v>939</v>
      </c>
      <c r="E143" s="29" t="s">
        <v>241</v>
      </c>
      <c r="F143" s="19"/>
      <c r="G143" s="29"/>
      <c r="H143" s="29"/>
      <c r="I143" s="19"/>
      <c r="J143" s="20" t="s">
        <v>221</v>
      </c>
      <c r="K143" s="29"/>
      <c r="L143" s="29">
        <v>63.97</v>
      </c>
      <c r="M143" s="29">
        <v>17.59</v>
      </c>
      <c r="N143" s="19">
        <v>18.440000000000001</v>
      </c>
      <c r="O143" s="20">
        <f t="shared" ref="O143:O147" si="102">SUM(K143:N143)</f>
        <v>100</v>
      </c>
      <c r="P143" s="29">
        <v>0</v>
      </c>
      <c r="Q143" s="29">
        <v>63.97</v>
      </c>
      <c r="R143" s="29">
        <v>17.59</v>
      </c>
      <c r="S143" s="19">
        <v>18.440000000000001</v>
      </c>
      <c r="U143" s="20" t="s">
        <v>215</v>
      </c>
      <c r="V143" s="29">
        <v>43.37</v>
      </c>
      <c r="W143" s="29">
        <v>5.93</v>
      </c>
      <c r="X143" s="29">
        <v>1.25</v>
      </c>
      <c r="Y143" s="29">
        <v>0.81</v>
      </c>
      <c r="Z143" s="29">
        <v>48.64</v>
      </c>
      <c r="AA143" s="19"/>
      <c r="AB143" s="20">
        <f t="shared" si="99"/>
        <v>100</v>
      </c>
      <c r="AC143" s="29">
        <v>43.37</v>
      </c>
      <c r="AD143" s="29">
        <v>5.93</v>
      </c>
      <c r="AE143" s="29">
        <v>1.25</v>
      </c>
      <c r="AF143" s="29">
        <v>0.81</v>
      </c>
      <c r="AG143" s="29">
        <v>48.64</v>
      </c>
      <c r="AJ143" s="29">
        <v>18.899999999999999</v>
      </c>
      <c r="AL143" s="27">
        <f t="shared" si="101"/>
        <v>23.173124080431581</v>
      </c>
      <c r="AM143" s="29">
        <v>18.899999999999999</v>
      </c>
      <c r="AN143" s="19">
        <f t="shared" si="100"/>
        <v>18.899999999999999</v>
      </c>
      <c r="AO143" s="20">
        <v>42</v>
      </c>
    </row>
    <row r="144" spans="1:41">
      <c r="A144" s="19">
        <f t="shared" si="98"/>
        <v>143</v>
      </c>
      <c r="B144" s="29" t="s">
        <v>197</v>
      </c>
      <c r="C144" s="29">
        <v>4</v>
      </c>
      <c r="D144" s="29" t="s">
        <v>939</v>
      </c>
      <c r="E144" s="29" t="s">
        <v>271</v>
      </c>
      <c r="J144" s="20" t="s">
        <v>221</v>
      </c>
      <c r="L144" s="29">
        <v>65.36</v>
      </c>
      <c r="M144" s="29">
        <v>20.059999999999999</v>
      </c>
      <c r="N144" s="20">
        <v>14.58</v>
      </c>
      <c r="O144" s="20">
        <f t="shared" si="102"/>
        <v>100</v>
      </c>
      <c r="P144" s="29">
        <v>0</v>
      </c>
      <c r="Q144" s="29">
        <v>65.36</v>
      </c>
      <c r="R144" s="29">
        <v>20.059999999999999</v>
      </c>
      <c r="S144" s="20">
        <v>14.58</v>
      </c>
      <c r="U144" s="20" t="s">
        <v>215</v>
      </c>
      <c r="V144" s="29">
        <v>38.46</v>
      </c>
      <c r="W144" s="29">
        <v>6.16</v>
      </c>
      <c r="X144" s="29">
        <v>0.21</v>
      </c>
      <c r="Y144" s="29">
        <v>0.65</v>
      </c>
      <c r="Z144" s="29">
        <v>54.52</v>
      </c>
      <c r="AB144" s="20">
        <f t="shared" si="99"/>
        <v>100</v>
      </c>
      <c r="AC144" s="29">
        <v>38.46</v>
      </c>
      <c r="AD144" s="29">
        <v>6.16</v>
      </c>
      <c r="AE144" s="29">
        <v>0.21</v>
      </c>
      <c r="AF144" s="29">
        <v>0.65</v>
      </c>
      <c r="AG144" s="29">
        <v>54.52</v>
      </c>
      <c r="AJ144" s="27">
        <v>13.57</v>
      </c>
      <c r="AL144" s="27">
        <f t="shared" si="101"/>
        <v>15.886209318660734</v>
      </c>
      <c r="AM144" s="27">
        <v>13.57</v>
      </c>
      <c r="AN144" s="19">
        <f t="shared" si="100"/>
        <v>13.57</v>
      </c>
      <c r="AO144" s="20">
        <v>42</v>
      </c>
    </row>
    <row r="145" spans="1:41">
      <c r="A145" s="19">
        <f t="shared" si="98"/>
        <v>144</v>
      </c>
      <c r="B145" s="29" t="s">
        <v>197</v>
      </c>
      <c r="C145" s="29">
        <v>4</v>
      </c>
      <c r="D145" s="29" t="s">
        <v>939</v>
      </c>
      <c r="E145" s="29" t="s">
        <v>220</v>
      </c>
      <c r="J145" s="20" t="s">
        <v>221</v>
      </c>
      <c r="L145" s="29">
        <v>77.930000000000007</v>
      </c>
      <c r="M145" s="29">
        <v>19.920000000000002</v>
      </c>
      <c r="N145" s="20">
        <v>2.15</v>
      </c>
      <c r="O145" s="20">
        <f t="shared" si="102"/>
        <v>100.00000000000001</v>
      </c>
      <c r="P145" s="29">
        <v>0</v>
      </c>
      <c r="Q145" s="29">
        <v>77.930000000000007</v>
      </c>
      <c r="R145" s="29">
        <v>19.920000000000002</v>
      </c>
      <c r="S145" s="20">
        <v>2.15</v>
      </c>
      <c r="U145" s="20" t="s">
        <v>215</v>
      </c>
      <c r="V145" s="29">
        <v>40.28</v>
      </c>
      <c r="W145" s="29">
        <v>6.12</v>
      </c>
      <c r="X145" s="29">
        <v>1.08</v>
      </c>
      <c r="Y145" s="29">
        <v>0.06</v>
      </c>
      <c r="Z145" s="29">
        <v>52.46</v>
      </c>
      <c r="AB145" s="20">
        <f t="shared" si="99"/>
        <v>100</v>
      </c>
      <c r="AC145" s="29">
        <v>40.28</v>
      </c>
      <c r="AD145" s="29">
        <v>6.12</v>
      </c>
      <c r="AE145" s="29">
        <v>1.08</v>
      </c>
      <c r="AF145" s="29">
        <v>0.06</v>
      </c>
      <c r="AG145" s="29">
        <v>52.46</v>
      </c>
      <c r="AJ145" s="29">
        <v>17.100000000000001</v>
      </c>
      <c r="AL145" s="27">
        <f t="shared" si="101"/>
        <v>17.475728155339809</v>
      </c>
      <c r="AM145" s="29">
        <v>17.100000000000001</v>
      </c>
      <c r="AN145" s="19">
        <f t="shared" si="100"/>
        <v>17.100000000000001</v>
      </c>
      <c r="AO145" s="20">
        <v>42</v>
      </c>
    </row>
    <row r="146" spans="1:41">
      <c r="A146" s="19">
        <f t="shared" si="98"/>
        <v>145</v>
      </c>
      <c r="B146" s="29" t="s">
        <v>197</v>
      </c>
      <c r="C146" s="29">
        <v>4</v>
      </c>
      <c r="D146" s="29" t="s">
        <v>939</v>
      </c>
      <c r="E146" s="29" t="s">
        <v>242</v>
      </c>
      <c r="F146" s="19"/>
      <c r="G146" s="29"/>
      <c r="H146" s="29"/>
      <c r="I146" s="19"/>
      <c r="J146" s="20" t="s">
        <v>221</v>
      </c>
      <c r="K146" s="29"/>
      <c r="L146" s="29">
        <v>65.260000000000005</v>
      </c>
      <c r="M146" s="29">
        <v>18.77</v>
      </c>
      <c r="N146" s="19">
        <v>15.97</v>
      </c>
      <c r="O146" s="20">
        <f>SUM(K146:N146)</f>
        <v>100</v>
      </c>
      <c r="P146" s="29">
        <v>0</v>
      </c>
      <c r="Q146" s="29">
        <v>65.260000000000005</v>
      </c>
      <c r="R146" s="29">
        <v>18.77</v>
      </c>
      <c r="S146" s="19">
        <v>15.97</v>
      </c>
      <c r="U146" s="20" t="s">
        <v>215</v>
      </c>
      <c r="V146" s="29">
        <v>47.58</v>
      </c>
      <c r="W146" s="29">
        <v>6.48</v>
      </c>
      <c r="X146" s="29">
        <v>1.57</v>
      </c>
      <c r="Y146" s="29">
        <v>0.43</v>
      </c>
      <c r="Z146" s="29">
        <v>43.93</v>
      </c>
      <c r="AA146" s="19"/>
      <c r="AB146" s="20">
        <f>SUM(V146:AA146)</f>
        <v>99.990000000000009</v>
      </c>
      <c r="AC146" s="29">
        <v>47.58</v>
      </c>
      <c r="AD146" s="29">
        <v>6.48</v>
      </c>
      <c r="AE146" s="29">
        <v>1.57</v>
      </c>
      <c r="AF146" s="29">
        <v>0.43</v>
      </c>
      <c r="AG146" s="29">
        <v>43.93</v>
      </c>
      <c r="AJ146" s="29">
        <v>17.079999999999998</v>
      </c>
      <c r="AL146" s="27">
        <f t="shared" si="101"/>
        <v>20.326074021182908</v>
      </c>
      <c r="AM146" s="29">
        <v>17.079999999999998</v>
      </c>
      <c r="AN146" s="19">
        <f t="shared" si="100"/>
        <v>17.079999999999998</v>
      </c>
      <c r="AO146" s="20">
        <v>42</v>
      </c>
    </row>
    <row r="147" spans="1:41">
      <c r="A147" s="19">
        <f t="shared" si="98"/>
        <v>146</v>
      </c>
      <c r="B147" s="29" t="s">
        <v>197</v>
      </c>
      <c r="C147" s="29">
        <v>4</v>
      </c>
      <c r="D147" s="29" t="s">
        <v>939</v>
      </c>
      <c r="E147" s="29" t="s">
        <v>239</v>
      </c>
      <c r="F147" s="19"/>
      <c r="G147" s="29"/>
      <c r="H147" s="29"/>
      <c r="I147" s="19"/>
      <c r="J147" s="20" t="s">
        <v>221</v>
      </c>
      <c r="K147" s="29"/>
      <c r="L147" s="29">
        <v>71.760000000000005</v>
      </c>
      <c r="M147" s="29">
        <v>8.23</v>
      </c>
      <c r="N147" s="19">
        <v>20.010000000000002</v>
      </c>
      <c r="O147" s="20">
        <f t="shared" si="102"/>
        <v>100.00000000000001</v>
      </c>
      <c r="P147" s="29">
        <v>0</v>
      </c>
      <c r="Q147" s="29">
        <v>71.760000000000005</v>
      </c>
      <c r="R147" s="29">
        <v>8.23</v>
      </c>
      <c r="S147" s="19">
        <v>20.010000000000002</v>
      </c>
      <c r="U147" s="20" t="s">
        <v>215</v>
      </c>
      <c r="V147" s="29">
        <v>49.68</v>
      </c>
      <c r="W147" s="29">
        <v>5.08</v>
      </c>
      <c r="X147" s="29">
        <v>4.07</v>
      </c>
      <c r="Y147" s="29">
        <v>0.66</v>
      </c>
      <c r="Z147" s="29">
        <v>40.51</v>
      </c>
      <c r="AA147" s="19"/>
      <c r="AB147" s="20">
        <f t="shared" si="99"/>
        <v>100</v>
      </c>
      <c r="AC147" s="29">
        <v>49.68</v>
      </c>
      <c r="AD147" s="29">
        <v>5.08</v>
      </c>
      <c r="AE147" s="29">
        <v>4.07</v>
      </c>
      <c r="AF147" s="29">
        <v>0.66</v>
      </c>
      <c r="AG147" s="29">
        <v>40.51</v>
      </c>
      <c r="AJ147" s="29">
        <v>15.784000000000001</v>
      </c>
      <c r="AL147" s="27">
        <f t="shared" si="101"/>
        <v>19.732466558319793</v>
      </c>
      <c r="AM147" s="29">
        <v>15.784000000000001</v>
      </c>
      <c r="AN147" s="19">
        <f t="shared" si="100"/>
        <v>15.784000000000001</v>
      </c>
      <c r="AO147" s="20">
        <v>31</v>
      </c>
    </row>
    <row r="148" spans="1:41">
      <c r="A148" s="19">
        <f t="shared" si="98"/>
        <v>147</v>
      </c>
      <c r="B148" s="29" t="s">
        <v>197</v>
      </c>
      <c r="C148" s="29">
        <v>4</v>
      </c>
      <c r="D148" s="29" t="s">
        <v>939</v>
      </c>
      <c r="E148" s="29" t="s">
        <v>240</v>
      </c>
      <c r="F148" s="19"/>
      <c r="G148" s="29"/>
      <c r="H148" s="29"/>
      <c r="I148" s="19"/>
      <c r="K148" s="29"/>
      <c r="L148" s="29"/>
      <c r="M148" s="29"/>
      <c r="N148" s="19"/>
      <c r="U148" s="20" t="s">
        <v>215</v>
      </c>
      <c r="V148" s="29">
        <v>42.09</v>
      </c>
      <c r="W148" s="29">
        <v>6.5</v>
      </c>
      <c r="X148" s="29">
        <v>2.12</v>
      </c>
      <c r="Y148" s="29">
        <v>0.23</v>
      </c>
      <c r="Z148" s="29">
        <v>49.06</v>
      </c>
      <c r="AA148" s="19"/>
      <c r="AB148" s="20">
        <f t="shared" ref="AB148:AB150" si="103">SUM(V148:AA148)</f>
        <v>100</v>
      </c>
      <c r="AC148" s="29">
        <v>42.09</v>
      </c>
      <c r="AD148" s="29">
        <v>6.5</v>
      </c>
      <c r="AE148" s="29">
        <v>2.12</v>
      </c>
      <c r="AF148" s="29">
        <v>0.23</v>
      </c>
      <c r="AG148" s="29">
        <v>49.06</v>
      </c>
      <c r="AJ148" s="29">
        <v>16.911999999999999</v>
      </c>
      <c r="AM148" s="29">
        <v>16.911999999999999</v>
      </c>
      <c r="AN148" s="19"/>
      <c r="AO148" s="20">
        <v>31</v>
      </c>
    </row>
    <row r="149" spans="1:41">
      <c r="A149" s="19">
        <f t="shared" si="98"/>
        <v>148</v>
      </c>
      <c r="B149" s="29" t="s">
        <v>197</v>
      </c>
      <c r="C149" s="29">
        <v>4</v>
      </c>
      <c r="D149" s="29" t="s">
        <v>939</v>
      </c>
      <c r="E149" s="29" t="s">
        <v>246</v>
      </c>
      <c r="F149" s="19"/>
      <c r="G149" s="29"/>
      <c r="H149" s="29"/>
      <c r="I149" s="19"/>
      <c r="K149" s="29"/>
      <c r="L149" s="29"/>
      <c r="M149" s="29"/>
      <c r="N149" s="19"/>
      <c r="U149" s="20" t="s">
        <v>215</v>
      </c>
      <c r="V149" s="29">
        <v>42.13</v>
      </c>
      <c r="W149" s="29">
        <v>5.88</v>
      </c>
      <c r="X149" s="29">
        <v>3.14</v>
      </c>
      <c r="Y149" s="29">
        <v>0.22</v>
      </c>
      <c r="Z149" s="29">
        <v>48.62</v>
      </c>
      <c r="AA149" s="19"/>
      <c r="AB149" s="20">
        <f t="shared" si="103"/>
        <v>99.990000000000009</v>
      </c>
      <c r="AC149" s="27">
        <f t="shared" ref="AC149" si="104">100*V149/AB149</f>
        <v>42.134213421342132</v>
      </c>
      <c r="AD149" s="27">
        <f>100*W149/AB149</f>
        <v>5.8805880588058796</v>
      </c>
      <c r="AE149" s="27">
        <f>100*X149/AB149</f>
        <v>3.1403140314031401</v>
      </c>
      <c r="AF149" s="27">
        <f>100*Y149/AB149</f>
        <v>0.22002200220022</v>
      </c>
      <c r="AG149" s="27">
        <f>100*Z149/AB149</f>
        <v>48.624862486248624</v>
      </c>
      <c r="AJ149" s="29">
        <v>16.533000000000001</v>
      </c>
      <c r="AM149" s="29">
        <v>16.533000000000001</v>
      </c>
      <c r="AN149" s="19"/>
      <c r="AO149" s="20">
        <v>31</v>
      </c>
    </row>
    <row r="150" spans="1:41">
      <c r="A150" s="19">
        <f t="shared" si="98"/>
        <v>149</v>
      </c>
      <c r="B150" s="29" t="s">
        <v>197</v>
      </c>
      <c r="C150" s="29">
        <v>4</v>
      </c>
      <c r="D150" s="29" t="s">
        <v>939</v>
      </c>
      <c r="E150" s="29" t="s">
        <v>248</v>
      </c>
      <c r="F150" s="19"/>
      <c r="G150" s="29"/>
      <c r="H150" s="29"/>
      <c r="I150" s="19"/>
      <c r="K150" s="29"/>
      <c r="L150" s="29"/>
      <c r="M150" s="29"/>
      <c r="N150" s="19"/>
      <c r="U150" s="20" t="s">
        <v>215</v>
      </c>
      <c r="V150" s="29">
        <v>48.12</v>
      </c>
      <c r="W150" s="29">
        <v>6.27</v>
      </c>
      <c r="X150" s="29">
        <v>3.09</v>
      </c>
      <c r="Y150" s="29">
        <v>0.78</v>
      </c>
      <c r="Z150" s="29">
        <v>41.74</v>
      </c>
      <c r="AA150" s="19"/>
      <c r="AB150" s="20">
        <f t="shared" si="103"/>
        <v>100</v>
      </c>
      <c r="AC150" s="29">
        <v>48.12</v>
      </c>
      <c r="AD150" s="29">
        <v>6.27</v>
      </c>
      <c r="AE150" s="29">
        <v>3.09</v>
      </c>
      <c r="AF150" s="29">
        <v>0.78</v>
      </c>
      <c r="AG150" s="29">
        <v>41.74</v>
      </c>
      <c r="AJ150" s="29">
        <v>18.042000000000002</v>
      </c>
      <c r="AM150" s="29">
        <v>18.042000000000002</v>
      </c>
      <c r="AN150" s="19"/>
      <c r="AO150" s="20">
        <v>31</v>
      </c>
    </row>
    <row r="151" spans="1:41">
      <c r="A151" s="19">
        <f t="shared" si="98"/>
        <v>150</v>
      </c>
      <c r="B151" s="29" t="s">
        <v>197</v>
      </c>
      <c r="C151" s="29">
        <v>4</v>
      </c>
      <c r="D151" s="29" t="s">
        <v>939</v>
      </c>
      <c r="E151" s="29" t="s">
        <v>245</v>
      </c>
      <c r="F151" s="19"/>
      <c r="G151" s="29"/>
      <c r="H151" s="29"/>
      <c r="I151" s="19"/>
      <c r="J151" s="20" t="s">
        <v>221</v>
      </c>
      <c r="K151" s="29"/>
      <c r="L151" s="29">
        <v>80.45</v>
      </c>
      <c r="M151" s="29">
        <v>2.36</v>
      </c>
      <c r="N151" s="19">
        <v>17.190000000000001</v>
      </c>
      <c r="O151" s="20">
        <f t="shared" ref="O151" si="105">SUM(K151:N151)</f>
        <v>100</v>
      </c>
      <c r="P151" s="27">
        <v>0</v>
      </c>
      <c r="Q151" s="29">
        <v>80.45</v>
      </c>
      <c r="R151" s="29">
        <v>2.36</v>
      </c>
      <c r="S151" s="19">
        <v>17.190000000000001</v>
      </c>
      <c r="V151" s="29"/>
      <c r="W151" s="29"/>
      <c r="X151" s="29"/>
      <c r="Y151" s="29"/>
      <c r="Z151" s="29"/>
      <c r="AA151" s="19"/>
      <c r="AJ151" s="29"/>
      <c r="AM151" s="29"/>
      <c r="AO151" s="20">
        <v>31</v>
      </c>
    </row>
    <row r="152" spans="1:41">
      <c r="A152" s="19">
        <f t="shared" si="98"/>
        <v>151</v>
      </c>
      <c r="B152" s="29" t="s">
        <v>219</v>
      </c>
      <c r="C152" s="29">
        <v>4</v>
      </c>
      <c r="D152" s="29" t="s">
        <v>939</v>
      </c>
      <c r="E152" s="29" t="s">
        <v>259</v>
      </c>
      <c r="F152" s="19"/>
      <c r="G152" s="29"/>
      <c r="H152" s="29"/>
      <c r="I152" s="19"/>
      <c r="J152" s="20" t="s">
        <v>221</v>
      </c>
      <c r="K152" s="29"/>
      <c r="L152" s="29">
        <v>65.45</v>
      </c>
      <c r="M152" s="29">
        <v>15.45</v>
      </c>
      <c r="N152" s="19">
        <v>19.100000000000001</v>
      </c>
      <c r="O152" s="20">
        <v>100</v>
      </c>
      <c r="P152" s="29">
        <v>0</v>
      </c>
      <c r="Q152" s="29">
        <v>65.45</v>
      </c>
      <c r="R152" s="29">
        <v>15.45</v>
      </c>
      <c r="S152" s="19">
        <v>19.100000000000001</v>
      </c>
      <c r="U152" s="20" t="s">
        <v>215</v>
      </c>
      <c r="V152" s="29">
        <v>41.3</v>
      </c>
      <c r="W152" s="29">
        <v>3.1</v>
      </c>
      <c r="X152" s="29">
        <v>5.36</v>
      </c>
      <c r="Y152" s="29">
        <v>0.66</v>
      </c>
      <c r="Z152" s="29">
        <v>49.58</v>
      </c>
      <c r="AA152" s="19"/>
      <c r="AB152" s="20">
        <v>100</v>
      </c>
      <c r="AC152" s="29">
        <v>41.3</v>
      </c>
      <c r="AD152" s="29">
        <v>3.1</v>
      </c>
      <c r="AE152" s="29">
        <v>5.36</v>
      </c>
      <c r="AF152" s="29">
        <v>0.66</v>
      </c>
      <c r="AG152" s="29">
        <v>49.58</v>
      </c>
      <c r="AJ152" s="29"/>
      <c r="AM152" s="29"/>
      <c r="AO152" s="20">
        <v>31</v>
      </c>
    </row>
    <row r="153" spans="1:41">
      <c r="A153" s="19">
        <f t="shared" si="98"/>
        <v>152</v>
      </c>
      <c r="B153" s="29" t="s">
        <v>219</v>
      </c>
      <c r="C153" s="29">
        <v>4</v>
      </c>
      <c r="D153" s="29" t="s">
        <v>939</v>
      </c>
      <c r="E153" s="29" t="s">
        <v>259</v>
      </c>
      <c r="F153" s="19"/>
      <c r="G153" s="29"/>
      <c r="H153" s="29"/>
      <c r="I153" s="19"/>
      <c r="J153" s="20" t="s">
        <v>221</v>
      </c>
      <c r="K153" s="29"/>
      <c r="L153" s="29">
        <v>65.06</v>
      </c>
      <c r="M153" s="29">
        <v>14.99</v>
      </c>
      <c r="N153" s="19">
        <v>19.96</v>
      </c>
      <c r="O153" s="20">
        <v>100.00999999999999</v>
      </c>
      <c r="P153" s="29">
        <f t="shared" ref="P153" si="106">100*K153/O153</f>
        <v>0</v>
      </c>
      <c r="Q153" s="30">
        <f t="shared" ref="Q153" si="107">100*L153/O153</f>
        <v>65.053494650534958</v>
      </c>
      <c r="R153" s="30">
        <f t="shared" ref="R153" si="108">100*M153/O153</f>
        <v>14.988501149885012</v>
      </c>
      <c r="S153" s="21">
        <f t="shared" ref="S153" si="109">100*N153/O153</f>
        <v>19.958004199580042</v>
      </c>
      <c r="U153" s="20" t="s">
        <v>215</v>
      </c>
      <c r="V153" s="29">
        <v>41.14</v>
      </c>
      <c r="W153" s="29">
        <v>4.8499999999999996</v>
      </c>
      <c r="X153" s="29">
        <v>4.3899999999999997</v>
      </c>
      <c r="Y153" s="29">
        <v>1.1599999999999999</v>
      </c>
      <c r="Z153" s="29">
        <v>48.46</v>
      </c>
      <c r="AA153" s="19"/>
      <c r="AB153" s="20">
        <v>100</v>
      </c>
      <c r="AC153" s="29">
        <v>41.14</v>
      </c>
      <c r="AD153" s="29">
        <v>4.8499999999999996</v>
      </c>
      <c r="AE153" s="29">
        <v>4.3899999999999997</v>
      </c>
      <c r="AF153" s="29">
        <v>1.1599999999999999</v>
      </c>
      <c r="AG153" s="29">
        <v>48.46</v>
      </c>
      <c r="AJ153" s="29"/>
      <c r="AM153" s="29"/>
      <c r="AO153" s="20">
        <v>31</v>
      </c>
    </row>
    <row r="154" spans="1:41">
      <c r="A154" s="19">
        <f t="shared" si="98"/>
        <v>153</v>
      </c>
      <c r="B154" s="29" t="s">
        <v>219</v>
      </c>
      <c r="C154" s="29">
        <v>4</v>
      </c>
      <c r="D154" s="29" t="s">
        <v>939</v>
      </c>
      <c r="E154" s="29" t="s">
        <v>259</v>
      </c>
      <c r="F154" s="19"/>
      <c r="G154" s="29"/>
      <c r="H154" s="29"/>
      <c r="I154" s="19"/>
      <c r="K154" s="29"/>
      <c r="L154" s="29"/>
      <c r="M154" s="29"/>
      <c r="N154" s="19"/>
      <c r="U154" s="20" t="s">
        <v>215</v>
      </c>
      <c r="V154" s="29">
        <v>50.31</v>
      </c>
      <c r="W154" s="29">
        <v>6.71</v>
      </c>
      <c r="X154" s="29">
        <v>2.73</v>
      </c>
      <c r="Y154" s="29">
        <v>0.42</v>
      </c>
      <c r="Z154" s="29">
        <v>39.83</v>
      </c>
      <c r="AA154" s="19"/>
      <c r="AB154" s="20">
        <v>100</v>
      </c>
      <c r="AC154" s="29">
        <v>50.31</v>
      </c>
      <c r="AD154" s="29">
        <v>6.71</v>
      </c>
      <c r="AE154" s="29">
        <v>2.73</v>
      </c>
      <c r="AF154" s="29">
        <v>0.42</v>
      </c>
      <c r="AG154" s="29">
        <v>39.83</v>
      </c>
      <c r="AJ154" s="29"/>
      <c r="AM154" s="29"/>
      <c r="AO154" s="20">
        <v>31</v>
      </c>
    </row>
    <row r="155" spans="1:41">
      <c r="A155" s="19">
        <f t="shared" si="98"/>
        <v>154</v>
      </c>
      <c r="B155" s="29" t="s">
        <v>197</v>
      </c>
      <c r="C155" s="29">
        <v>4</v>
      </c>
      <c r="D155" s="29" t="s">
        <v>939</v>
      </c>
      <c r="E155" s="29" t="s">
        <v>478</v>
      </c>
      <c r="F155" s="19" t="s">
        <v>479</v>
      </c>
      <c r="G155" s="29">
        <v>0.69750000000000001</v>
      </c>
      <c r="H155" s="29">
        <v>0.14749999999999999</v>
      </c>
      <c r="I155" s="19"/>
      <c r="K155" s="29"/>
      <c r="L155" s="29"/>
      <c r="M155" s="29"/>
      <c r="N155" s="19"/>
      <c r="V155" s="29"/>
      <c r="W155" s="29"/>
      <c r="X155" s="29"/>
      <c r="Y155" s="29"/>
      <c r="Z155" s="29"/>
      <c r="AA155" s="19"/>
      <c r="AC155" s="29"/>
      <c r="AD155" s="29"/>
      <c r="AE155" s="29"/>
      <c r="AF155" s="29"/>
      <c r="AG155" s="29"/>
      <c r="AJ155" s="29"/>
      <c r="AM155" s="29"/>
      <c r="AO155" s="20">
        <v>44</v>
      </c>
    </row>
    <row r="156" spans="1:41">
      <c r="A156" s="19">
        <f t="shared" si="98"/>
        <v>155</v>
      </c>
      <c r="B156" s="29" t="s">
        <v>197</v>
      </c>
      <c r="C156" s="29">
        <v>4</v>
      </c>
      <c r="D156" s="29" t="s">
        <v>939</v>
      </c>
      <c r="E156" s="29" t="s">
        <v>247</v>
      </c>
      <c r="F156" s="19"/>
      <c r="G156" s="29"/>
      <c r="H156" s="29"/>
      <c r="I156" s="19"/>
      <c r="J156" s="20" t="s">
        <v>221</v>
      </c>
      <c r="K156" s="29"/>
      <c r="L156" s="29">
        <v>84.42</v>
      </c>
      <c r="M156" s="29">
        <v>15.18</v>
      </c>
      <c r="N156" s="19">
        <v>0.4</v>
      </c>
      <c r="O156" s="20">
        <f>SUM(K156:N156)</f>
        <v>100</v>
      </c>
      <c r="P156" s="27">
        <f t="shared" ref="P156" si="110">100*K156/O156</f>
        <v>0</v>
      </c>
      <c r="Q156" s="27">
        <v>84.42</v>
      </c>
      <c r="R156" s="27">
        <v>15.18</v>
      </c>
      <c r="S156" s="20">
        <v>0.4</v>
      </c>
      <c r="U156" s="20" t="s">
        <v>215</v>
      </c>
      <c r="V156" s="29">
        <v>45.97</v>
      </c>
      <c r="W156" s="29">
        <v>6.35</v>
      </c>
      <c r="X156" s="29">
        <v>1.69</v>
      </c>
      <c r="Y156" s="29">
        <v>0.25</v>
      </c>
      <c r="Z156" s="29">
        <v>45.74</v>
      </c>
      <c r="AA156" s="19"/>
      <c r="AB156" s="20">
        <f t="shared" ref="AB156:AB159" si="111">SUM(V156:AA156)</f>
        <v>100</v>
      </c>
      <c r="AC156" s="27">
        <v>45.97</v>
      </c>
      <c r="AD156" s="27">
        <v>6.35</v>
      </c>
      <c r="AE156" s="27">
        <v>1.69</v>
      </c>
      <c r="AF156" s="27">
        <v>0.25</v>
      </c>
      <c r="AG156" s="27">
        <v>45.74</v>
      </c>
      <c r="AJ156" s="29">
        <v>18.14</v>
      </c>
      <c r="AL156" s="29">
        <f>AM156*(Q156+R156+S156)/(Q156+R156)</f>
        <v>18.212851405622491</v>
      </c>
      <c r="AM156" s="29">
        <v>18.14</v>
      </c>
      <c r="AN156" s="19">
        <f>AM156*(Q156+R156+S156)/(P156+Q156+R156+S156)</f>
        <v>18.14</v>
      </c>
      <c r="AO156" s="20">
        <v>31</v>
      </c>
    </row>
    <row r="157" spans="1:41">
      <c r="A157" s="19">
        <f t="shared" si="98"/>
        <v>156</v>
      </c>
      <c r="B157" s="29" t="s">
        <v>197</v>
      </c>
      <c r="C157" s="29">
        <v>4</v>
      </c>
      <c r="D157" s="29" t="s">
        <v>939</v>
      </c>
      <c r="E157" s="29" t="s">
        <v>247</v>
      </c>
      <c r="F157" s="19"/>
      <c r="G157" s="29"/>
      <c r="H157" s="29"/>
      <c r="I157" s="19"/>
      <c r="J157" s="20" t="s">
        <v>221</v>
      </c>
      <c r="K157" s="29"/>
      <c r="L157" s="29">
        <v>87.74</v>
      </c>
      <c r="M157" s="29">
        <v>11.84</v>
      </c>
      <c r="N157" s="19">
        <v>0.42</v>
      </c>
      <c r="O157" s="20">
        <f>SUM(K157:N157)</f>
        <v>100</v>
      </c>
      <c r="P157" s="29">
        <v>0</v>
      </c>
      <c r="Q157" s="27">
        <v>87.74</v>
      </c>
      <c r="R157" s="27">
        <v>11.84</v>
      </c>
      <c r="S157" s="20">
        <v>0.42</v>
      </c>
      <c r="U157" s="20" t="s">
        <v>215</v>
      </c>
      <c r="V157" s="29">
        <v>44.2</v>
      </c>
      <c r="W157" s="29">
        <v>5.73</v>
      </c>
      <c r="X157" s="29">
        <v>1.2</v>
      </c>
      <c r="Y157" s="29">
        <v>0.1</v>
      </c>
      <c r="Z157" s="29">
        <v>48.75</v>
      </c>
      <c r="AA157" s="19">
        <v>0.02</v>
      </c>
      <c r="AB157" s="20">
        <f>SUM(V157:AA157)</f>
        <v>100.00000000000001</v>
      </c>
      <c r="AC157" s="27">
        <v>44.2</v>
      </c>
      <c r="AD157" s="27">
        <v>5.73</v>
      </c>
      <c r="AE157" s="27">
        <v>1.2</v>
      </c>
      <c r="AF157" s="27">
        <v>0.1</v>
      </c>
      <c r="AG157" s="27">
        <v>48.75</v>
      </c>
      <c r="AH157" s="20">
        <v>0.02</v>
      </c>
      <c r="AJ157" s="29">
        <v>17.972000000000001</v>
      </c>
      <c r="AL157" s="29">
        <f>AM157*(Q157+R157+S157)/(Q157+R157)</f>
        <v>18.047800763205462</v>
      </c>
      <c r="AM157" s="29">
        <v>17.972000000000001</v>
      </c>
      <c r="AN157" s="19">
        <f>AM157*(Q157+R157+S157)/(P157+Q157+R157+S157)</f>
        <v>17.972000000000001</v>
      </c>
      <c r="AO157" s="20">
        <v>31</v>
      </c>
    </row>
    <row r="158" spans="1:41">
      <c r="A158" s="19">
        <f t="shared" si="98"/>
        <v>157</v>
      </c>
      <c r="B158" s="29" t="s">
        <v>197</v>
      </c>
      <c r="C158" s="29">
        <v>4</v>
      </c>
      <c r="D158" s="29" t="s">
        <v>939</v>
      </c>
      <c r="E158" s="29" t="s">
        <v>247</v>
      </c>
      <c r="F158" s="19"/>
      <c r="G158" s="29"/>
      <c r="H158" s="29"/>
      <c r="I158" s="19"/>
      <c r="J158" s="20" t="s">
        <v>221</v>
      </c>
      <c r="K158" s="29"/>
      <c r="L158" s="29"/>
      <c r="M158" s="29"/>
      <c r="N158" s="19"/>
      <c r="U158" s="20" t="s">
        <v>215</v>
      </c>
      <c r="V158" s="29">
        <v>40.64</v>
      </c>
      <c r="W158" s="29">
        <v>6.59</v>
      </c>
      <c r="X158" s="29">
        <v>1.68</v>
      </c>
      <c r="Y158" s="29">
        <v>0.14000000000000001</v>
      </c>
      <c r="Z158" s="29">
        <v>50.96</v>
      </c>
      <c r="AA158" s="19"/>
      <c r="AB158" s="20">
        <f t="shared" si="111"/>
        <v>100.01</v>
      </c>
      <c r="AC158" s="27">
        <f>100*V158/$AB$158</f>
        <v>40.635936406359363</v>
      </c>
      <c r="AD158" s="27">
        <f t="shared" ref="AD158:AG158" si="112">100*W158/$AB$158</f>
        <v>6.58934106589341</v>
      </c>
      <c r="AE158" s="27">
        <f t="shared" si="112"/>
        <v>1.6798320167983201</v>
      </c>
      <c r="AF158" s="27">
        <f t="shared" si="112"/>
        <v>0.13998600139986003</v>
      </c>
      <c r="AG158" s="27">
        <f t="shared" si="112"/>
        <v>50.954904509549046</v>
      </c>
      <c r="AJ158" s="29">
        <v>17.802</v>
      </c>
      <c r="AM158" s="29">
        <v>17.802</v>
      </c>
      <c r="AO158" s="20">
        <v>31</v>
      </c>
    </row>
    <row r="159" spans="1:41">
      <c r="A159" s="19">
        <f t="shared" si="98"/>
        <v>158</v>
      </c>
      <c r="B159" s="29" t="s">
        <v>197</v>
      </c>
      <c r="C159" s="29">
        <v>4</v>
      </c>
      <c r="D159" s="29" t="s">
        <v>939</v>
      </c>
      <c r="E159" s="29" t="s">
        <v>247</v>
      </c>
      <c r="F159" s="19"/>
      <c r="G159" s="29"/>
      <c r="H159" s="29"/>
      <c r="I159" s="19"/>
      <c r="J159" s="20" t="s">
        <v>221</v>
      </c>
      <c r="K159" s="29"/>
      <c r="L159" s="29">
        <v>86.45</v>
      </c>
      <c r="M159" s="29">
        <v>12.45</v>
      </c>
      <c r="N159" s="19">
        <v>1.1100000000000001</v>
      </c>
      <c r="O159" s="20">
        <f>SUM(K159:N159)</f>
        <v>100.01</v>
      </c>
      <c r="P159" s="27">
        <f t="shared" ref="P159" si="113">100*K159/O159</f>
        <v>0</v>
      </c>
      <c r="Q159" s="27">
        <f t="shared" ref="Q159" si="114">100*L159/O159</f>
        <v>86.441355864413552</v>
      </c>
      <c r="R159" s="27">
        <f t="shared" ref="R159" si="115">100*M159/O159</f>
        <v>12.448755124487551</v>
      </c>
      <c r="S159" s="20">
        <f t="shared" ref="S159" si="116">100*N159/O159</f>
        <v>1.1098890110988902</v>
      </c>
      <c r="U159" s="20" t="s">
        <v>215</v>
      </c>
      <c r="V159" s="29">
        <v>43.41</v>
      </c>
      <c r="W159" s="29">
        <v>6.29</v>
      </c>
      <c r="X159" s="29">
        <v>1.72</v>
      </c>
      <c r="Y159" s="29">
        <v>0.13</v>
      </c>
      <c r="Z159" s="29">
        <v>48.44</v>
      </c>
      <c r="AA159" s="19"/>
      <c r="AB159" s="20">
        <f t="shared" si="111"/>
        <v>99.99</v>
      </c>
      <c r="AC159" s="27">
        <f>100*V159/$AB$159</f>
        <v>43.414341434143417</v>
      </c>
      <c r="AD159" s="27">
        <f t="shared" ref="AD159:AG159" si="117">100*W159/$AB$159</f>
        <v>6.2906290629062909</v>
      </c>
      <c r="AE159" s="27">
        <f t="shared" si="117"/>
        <v>1.7201720172017203</v>
      </c>
      <c r="AF159" s="27">
        <f t="shared" si="117"/>
        <v>0.13001300130013002</v>
      </c>
      <c r="AG159" s="27">
        <f t="shared" si="117"/>
        <v>48.444844484448446</v>
      </c>
      <c r="AJ159" s="29">
        <v>18.094999999999999</v>
      </c>
      <c r="AL159" s="27">
        <f t="shared" ref="AL159" si="118">AM159*(Q159+R159+S159)/(Q159+R159)</f>
        <v>18.298088473205254</v>
      </c>
      <c r="AM159" s="29">
        <v>18.094999999999999</v>
      </c>
      <c r="AN159" s="19">
        <f>AM159*(Q159+R159+S159)/(P159+Q159+R159+S159)</f>
        <v>18.094999999999999</v>
      </c>
      <c r="AO159" s="20">
        <v>31</v>
      </c>
    </row>
    <row r="160" spans="1:41">
      <c r="A160" s="19">
        <f t="shared" si="98"/>
        <v>159</v>
      </c>
      <c r="B160" s="29" t="s">
        <v>197</v>
      </c>
      <c r="C160" s="29">
        <v>4</v>
      </c>
      <c r="D160" s="29" t="s">
        <v>939</v>
      </c>
      <c r="E160" s="29" t="s">
        <v>478</v>
      </c>
      <c r="F160" s="19"/>
      <c r="G160" s="29"/>
      <c r="H160" s="29"/>
      <c r="I160" s="19"/>
      <c r="J160" s="20" t="s">
        <v>221</v>
      </c>
      <c r="K160" s="29"/>
      <c r="L160" s="29">
        <v>81.33</v>
      </c>
      <c r="M160" s="29">
        <v>16.29</v>
      </c>
      <c r="N160" s="19">
        <v>2.38</v>
      </c>
      <c r="O160" s="20">
        <f>SUM(K160:N160)</f>
        <v>100</v>
      </c>
      <c r="P160" s="29">
        <v>0</v>
      </c>
      <c r="Q160" s="29">
        <v>81.33</v>
      </c>
      <c r="R160" s="29">
        <v>16.29</v>
      </c>
      <c r="S160" s="19">
        <v>2.38</v>
      </c>
      <c r="U160" s="19" t="s">
        <v>214</v>
      </c>
      <c r="V160" s="31">
        <v>45.246875640237654</v>
      </c>
      <c r="W160" s="31">
        <v>7.0887113296455642</v>
      </c>
      <c r="X160" s="31">
        <v>1.2702315099364883</v>
      </c>
      <c r="Y160" s="31">
        <v>1.0960868674451956</v>
      </c>
      <c r="Z160" s="31">
        <v>45.298094652735095</v>
      </c>
      <c r="AA160" s="19"/>
      <c r="AB160" s="20">
        <f>SUM(V160:AA160)</f>
        <v>100</v>
      </c>
      <c r="AC160" s="31">
        <v>45.246875640237654</v>
      </c>
      <c r="AD160" s="31">
        <v>7.0887113296455642</v>
      </c>
      <c r="AE160" s="31">
        <v>1.2702315099364883</v>
      </c>
      <c r="AF160" s="31">
        <v>1.0960868674451956</v>
      </c>
      <c r="AG160" s="31">
        <v>45.298094652735095</v>
      </c>
      <c r="AH160" s="21"/>
      <c r="AI160" s="31">
        <v>17.649999999999999</v>
      </c>
      <c r="AL160" s="31">
        <v>17.649999999999999</v>
      </c>
      <c r="AM160" s="27">
        <f>AL160*(Q160+R160)/100</f>
        <v>17.22993</v>
      </c>
      <c r="AN160" s="19">
        <f>AM160*(Q160+R160+S160)/(P160+Q160+R160+S160)</f>
        <v>17.22993</v>
      </c>
      <c r="AO160" s="36">
        <v>14</v>
      </c>
    </row>
    <row r="161" spans="1:41">
      <c r="A161" s="19">
        <f t="shared" si="98"/>
        <v>160</v>
      </c>
      <c r="B161" s="29" t="s">
        <v>197</v>
      </c>
      <c r="C161" s="29">
        <v>4</v>
      </c>
      <c r="D161" s="29" t="s">
        <v>939</v>
      </c>
      <c r="E161" s="29" t="s">
        <v>464</v>
      </c>
      <c r="F161" s="19"/>
      <c r="G161" s="29"/>
      <c r="H161" s="29"/>
      <c r="I161" s="19"/>
      <c r="K161" s="29"/>
      <c r="L161" s="29"/>
      <c r="M161" s="29"/>
      <c r="N161" s="19"/>
      <c r="U161" s="19" t="s">
        <v>214</v>
      </c>
      <c r="V161" s="29">
        <v>42.78</v>
      </c>
      <c r="W161" s="29">
        <v>6.19</v>
      </c>
      <c r="X161" s="29">
        <v>2.48</v>
      </c>
      <c r="Y161" s="29">
        <v>0.15</v>
      </c>
      <c r="Z161" s="29">
        <v>48.39</v>
      </c>
      <c r="AA161" s="19"/>
      <c r="AB161" s="20">
        <f>SUM(V161:AA161)</f>
        <v>99.99</v>
      </c>
      <c r="AC161" s="27">
        <f>100*V161/$AB$161</f>
        <v>42.784278427842786</v>
      </c>
      <c r="AD161" s="27">
        <f>100*W161/$AB$161</f>
        <v>6.1906190619061912</v>
      </c>
      <c r="AE161" s="27">
        <f>100*X161/$AB$161</f>
        <v>2.4802480248024805</v>
      </c>
      <c r="AF161" s="27">
        <f>100*Y161/$AB$161</f>
        <v>0.15001500150015001</v>
      </c>
      <c r="AG161" s="27">
        <f>100*Z161/$AB$161</f>
        <v>48.394839483948395</v>
      </c>
      <c r="AI161" s="29"/>
      <c r="AJ161" s="27">
        <v>18.157</v>
      </c>
      <c r="AL161" s="29"/>
      <c r="AM161" s="27">
        <v>18.157</v>
      </c>
      <c r="AO161" s="20">
        <v>31</v>
      </c>
    </row>
    <row r="162" spans="1:41">
      <c r="A162" s="19">
        <f t="shared" si="98"/>
        <v>161</v>
      </c>
      <c r="B162" s="29" t="s">
        <v>197</v>
      </c>
      <c r="C162" s="29">
        <v>4</v>
      </c>
      <c r="D162" s="29" t="s">
        <v>939</v>
      </c>
      <c r="E162" s="29" t="s">
        <v>464</v>
      </c>
      <c r="F162" s="19"/>
      <c r="G162" s="29"/>
      <c r="H162" s="29"/>
      <c r="I162" s="19"/>
      <c r="J162" s="20" t="s">
        <v>221</v>
      </c>
      <c r="K162" s="29"/>
      <c r="L162" s="29">
        <v>8.7899999999999991</v>
      </c>
      <c r="M162" s="29">
        <v>90.59</v>
      </c>
      <c r="N162" s="19">
        <v>0.62</v>
      </c>
      <c r="O162" s="20">
        <f t="shared" ref="O162" si="119">SUM(K162:N162)</f>
        <v>100</v>
      </c>
      <c r="P162" s="29">
        <v>0</v>
      </c>
      <c r="Q162" s="29">
        <v>8.7899999999999991</v>
      </c>
      <c r="R162" s="29">
        <v>90.59</v>
      </c>
      <c r="S162" s="19">
        <v>0.62</v>
      </c>
      <c r="U162" s="19" t="s">
        <v>214</v>
      </c>
      <c r="V162" s="29">
        <v>43.47</v>
      </c>
      <c r="W162" s="29">
        <v>6.74</v>
      </c>
      <c r="X162" s="29">
        <v>2.93</v>
      </c>
      <c r="Y162" s="29">
        <v>0.1</v>
      </c>
      <c r="Z162" s="29">
        <v>46.76</v>
      </c>
      <c r="AA162" s="19"/>
      <c r="AB162" s="20">
        <f>SUM(V162:AA162)</f>
        <v>100</v>
      </c>
      <c r="AC162" s="29">
        <v>43.47</v>
      </c>
      <c r="AD162" s="29">
        <v>6.74</v>
      </c>
      <c r="AE162" s="29">
        <v>2.93</v>
      </c>
      <c r="AF162" s="29">
        <v>0.1</v>
      </c>
      <c r="AG162" s="29">
        <v>46.76</v>
      </c>
      <c r="AI162" s="29"/>
      <c r="AL162" s="29"/>
      <c r="AO162" s="20">
        <v>31</v>
      </c>
    </row>
    <row r="163" spans="1:41">
      <c r="A163" s="19">
        <f t="shared" si="98"/>
        <v>162</v>
      </c>
      <c r="B163" s="29" t="s">
        <v>219</v>
      </c>
      <c r="C163" s="29">
        <v>4</v>
      </c>
      <c r="D163" s="29" t="s">
        <v>939</v>
      </c>
      <c r="E163" s="29" t="s">
        <v>463</v>
      </c>
      <c r="F163" s="19"/>
      <c r="G163" s="29"/>
      <c r="H163" s="29"/>
      <c r="I163" s="19"/>
      <c r="J163" s="20" t="s">
        <v>221</v>
      </c>
      <c r="K163" s="29"/>
      <c r="L163" s="29">
        <v>73.989999999999995</v>
      </c>
      <c r="M163" s="29">
        <v>23.22</v>
      </c>
      <c r="N163" s="19">
        <v>2.79</v>
      </c>
      <c r="O163" s="20">
        <f>SUM(K163:N163)</f>
        <v>100</v>
      </c>
      <c r="P163" s="29">
        <v>0</v>
      </c>
      <c r="Q163" s="27">
        <v>73.989999999999995</v>
      </c>
      <c r="R163" s="27">
        <v>23.22</v>
      </c>
      <c r="S163" s="20">
        <v>2.79</v>
      </c>
      <c r="V163" s="29"/>
      <c r="W163" s="29"/>
      <c r="X163" s="29"/>
      <c r="Y163" s="29"/>
      <c r="Z163" s="29"/>
      <c r="AA163" s="19"/>
      <c r="AJ163" s="29"/>
      <c r="AM163" s="29"/>
      <c r="AO163" s="20">
        <v>31</v>
      </c>
    </row>
    <row r="164" spans="1:41">
      <c r="A164" s="19">
        <f t="shared" si="98"/>
        <v>163</v>
      </c>
      <c r="B164" s="29" t="s">
        <v>219</v>
      </c>
      <c r="C164" s="29">
        <v>4</v>
      </c>
      <c r="D164" s="29" t="s">
        <v>939</v>
      </c>
      <c r="E164" s="29" t="s">
        <v>257</v>
      </c>
      <c r="F164" s="19"/>
      <c r="G164" s="29"/>
      <c r="H164" s="29"/>
      <c r="I164" s="19"/>
      <c r="J164" s="20" t="s">
        <v>221</v>
      </c>
      <c r="K164" s="29"/>
      <c r="L164" s="29">
        <v>73.88</v>
      </c>
      <c r="M164" s="29">
        <v>24.31</v>
      </c>
      <c r="N164" s="19">
        <v>1.82</v>
      </c>
      <c r="O164" s="20">
        <f>SUM(K164:N164)</f>
        <v>100.00999999999999</v>
      </c>
      <c r="P164" s="27">
        <f t="shared" ref="P164:P165" si="120">100*K164/O164</f>
        <v>0</v>
      </c>
      <c r="Q164" s="27">
        <f t="shared" ref="Q164:Q165" si="121">100*L164/O164</f>
        <v>73.872612738726133</v>
      </c>
      <c r="R164" s="27">
        <f t="shared" ref="R164:R165" si="122">100*M164/O164</f>
        <v>24.307569243075694</v>
      </c>
      <c r="S164" s="20">
        <f t="shared" ref="S164:S165" si="123">100*N164/O164</f>
        <v>1.8198180181981805</v>
      </c>
      <c r="V164" s="29"/>
      <c r="W164" s="29"/>
      <c r="X164" s="29"/>
      <c r="Y164" s="29"/>
      <c r="Z164" s="29"/>
      <c r="AA164" s="19"/>
      <c r="AJ164" s="29"/>
      <c r="AM164" s="29"/>
      <c r="AO164" s="20">
        <v>31</v>
      </c>
    </row>
    <row r="165" spans="1:41">
      <c r="A165" s="19">
        <f t="shared" si="98"/>
        <v>164</v>
      </c>
      <c r="B165" s="29" t="s">
        <v>219</v>
      </c>
      <c r="C165" s="29">
        <v>4</v>
      </c>
      <c r="D165" s="29" t="s">
        <v>939</v>
      </c>
      <c r="E165" s="29" t="s">
        <v>257</v>
      </c>
      <c r="F165" s="19"/>
      <c r="G165" s="29"/>
      <c r="H165" s="29"/>
      <c r="I165" s="19"/>
      <c r="J165" s="20" t="s">
        <v>221</v>
      </c>
      <c r="K165" s="29"/>
      <c r="L165" s="29">
        <v>74.34</v>
      </c>
      <c r="M165" s="29">
        <v>23.57</v>
      </c>
      <c r="N165" s="19">
        <v>2.1</v>
      </c>
      <c r="O165" s="20">
        <f>SUM(K165:N165)</f>
        <v>100.00999999999999</v>
      </c>
      <c r="P165" s="27">
        <f t="shared" si="120"/>
        <v>0</v>
      </c>
      <c r="Q165" s="27">
        <f t="shared" si="121"/>
        <v>74.332566743325671</v>
      </c>
      <c r="R165" s="27">
        <f t="shared" si="122"/>
        <v>23.567643235676435</v>
      </c>
      <c r="S165" s="20">
        <f t="shared" si="123"/>
        <v>2.0997900209979004</v>
      </c>
      <c r="U165" s="19" t="s">
        <v>214</v>
      </c>
      <c r="V165" s="29">
        <v>51.98</v>
      </c>
      <c r="W165" s="29">
        <v>6.88</v>
      </c>
      <c r="X165" s="29">
        <v>0.83</v>
      </c>
      <c r="Y165" s="29">
        <v>0.21</v>
      </c>
      <c r="Z165" s="29">
        <v>40.1</v>
      </c>
      <c r="AA165" s="19"/>
      <c r="AB165" s="20">
        <f>SUM(V165:AA165)</f>
        <v>100</v>
      </c>
      <c r="AC165" s="27">
        <v>51.98</v>
      </c>
      <c r="AD165" s="27">
        <v>6.88</v>
      </c>
      <c r="AE165" s="27">
        <v>0.83</v>
      </c>
      <c r="AF165" s="27">
        <v>0.21</v>
      </c>
      <c r="AG165" s="27">
        <v>40.1</v>
      </c>
      <c r="AJ165" s="29"/>
      <c r="AM165" s="29"/>
      <c r="AO165" s="20">
        <v>31</v>
      </c>
    </row>
    <row r="166" spans="1:41">
      <c r="A166" s="19">
        <f t="shared" si="98"/>
        <v>165</v>
      </c>
      <c r="B166" s="29" t="s">
        <v>219</v>
      </c>
      <c r="C166" s="29">
        <v>4</v>
      </c>
      <c r="D166" s="29" t="s">
        <v>939</v>
      </c>
      <c r="E166" s="29" t="s">
        <v>257</v>
      </c>
      <c r="F166" s="19"/>
      <c r="G166" s="29"/>
      <c r="H166" s="29"/>
      <c r="I166" s="19"/>
      <c r="K166" s="29"/>
      <c r="L166" s="29"/>
      <c r="M166" s="29"/>
      <c r="N166" s="19"/>
      <c r="U166" s="19" t="s">
        <v>214</v>
      </c>
      <c r="V166" s="29">
        <v>53.6</v>
      </c>
      <c r="W166" s="29">
        <v>6.7</v>
      </c>
      <c r="X166" s="29">
        <v>1.2</v>
      </c>
      <c r="Y166" s="29">
        <v>0.2</v>
      </c>
      <c r="Z166" s="29">
        <v>38.299999999999997</v>
      </c>
      <c r="AA166" s="19"/>
      <c r="AB166" s="20">
        <f>SUM(V166:AA166)</f>
        <v>100</v>
      </c>
      <c r="AC166" s="27">
        <v>53.6</v>
      </c>
      <c r="AD166" s="27">
        <v>6.7</v>
      </c>
      <c r="AE166" s="27">
        <v>1.2</v>
      </c>
      <c r="AF166" s="27">
        <v>0.2</v>
      </c>
      <c r="AG166" s="27">
        <v>38.299999999999997</v>
      </c>
      <c r="AJ166" s="29">
        <v>20.588999999999999</v>
      </c>
      <c r="AM166" s="29">
        <v>20.588999999999999</v>
      </c>
      <c r="AO166" s="20">
        <v>31</v>
      </c>
    </row>
    <row r="167" spans="1:41">
      <c r="A167" s="19">
        <f t="shared" si="98"/>
        <v>166</v>
      </c>
      <c r="B167" s="29" t="s">
        <v>219</v>
      </c>
      <c r="C167" s="29">
        <v>4</v>
      </c>
      <c r="D167" s="29" t="s">
        <v>939</v>
      </c>
      <c r="E167" s="29" t="s">
        <v>258</v>
      </c>
      <c r="F167" s="19"/>
      <c r="G167" s="29"/>
      <c r="H167" s="29"/>
      <c r="I167" s="19"/>
      <c r="J167" s="20" t="s">
        <v>221</v>
      </c>
      <c r="K167" s="29"/>
      <c r="L167" s="29">
        <v>74.73</v>
      </c>
      <c r="M167" s="29">
        <v>23.81</v>
      </c>
      <c r="N167" s="19">
        <v>1.45</v>
      </c>
      <c r="O167" s="20">
        <f>SUM(K167:N167)</f>
        <v>99.990000000000009</v>
      </c>
      <c r="P167" s="27">
        <f t="shared" ref="P167" si="124">100*K167/O167</f>
        <v>0</v>
      </c>
      <c r="Q167" s="27">
        <f t="shared" ref="Q167" si="125">100*L167/O167</f>
        <v>74.737473747374736</v>
      </c>
      <c r="R167" s="27">
        <f t="shared" ref="R167" si="126">100*M167/O167</f>
        <v>23.812381238123809</v>
      </c>
      <c r="S167" s="20">
        <f t="shared" ref="S167" si="127">100*N167/O167</f>
        <v>1.4501450145014501</v>
      </c>
      <c r="U167" s="19" t="s">
        <v>214</v>
      </c>
      <c r="V167" s="29">
        <v>52.55</v>
      </c>
      <c r="W167" s="29">
        <v>6.42</v>
      </c>
      <c r="X167" s="29">
        <v>1.55</v>
      </c>
      <c r="Y167" s="29"/>
      <c r="Z167" s="29">
        <v>39.479999999999997</v>
      </c>
      <c r="AA167" s="19"/>
      <c r="AB167" s="20">
        <f>SUM(V167:AA167)</f>
        <v>100</v>
      </c>
      <c r="AC167" s="27">
        <v>52.55</v>
      </c>
      <c r="AD167" s="27">
        <v>6.42</v>
      </c>
      <c r="AE167" s="27">
        <v>1.55</v>
      </c>
      <c r="AF167" s="27">
        <v>0</v>
      </c>
      <c r="AG167" s="27">
        <v>39.479999999999997</v>
      </c>
      <c r="AJ167" s="29"/>
      <c r="AM167" s="29"/>
      <c r="AO167" s="20">
        <v>31</v>
      </c>
    </row>
    <row r="168" spans="1:41">
      <c r="A168" s="19">
        <f t="shared" si="98"/>
        <v>167</v>
      </c>
      <c r="B168" s="29" t="s">
        <v>197</v>
      </c>
      <c r="C168" s="29">
        <v>4</v>
      </c>
      <c r="D168" s="29" t="s">
        <v>939</v>
      </c>
      <c r="E168" s="29" t="s">
        <v>261</v>
      </c>
      <c r="F168" s="19"/>
      <c r="G168" s="29"/>
      <c r="H168" s="29"/>
      <c r="I168" s="19"/>
      <c r="J168" s="20" t="s">
        <v>221</v>
      </c>
      <c r="K168" s="29"/>
      <c r="L168" s="29">
        <v>76.27</v>
      </c>
      <c r="M168" s="29">
        <v>21.29</v>
      </c>
      <c r="N168" s="19">
        <v>2.44</v>
      </c>
      <c r="O168" s="20">
        <f t="shared" ref="O168:O170" si="128">SUM(K168:N168)</f>
        <v>100</v>
      </c>
      <c r="P168" s="29">
        <v>0</v>
      </c>
      <c r="Q168" s="27">
        <v>76.27</v>
      </c>
      <c r="R168" s="27">
        <v>21.29</v>
      </c>
      <c r="S168" s="20">
        <v>2.44</v>
      </c>
      <c r="U168" s="19" t="s">
        <v>214</v>
      </c>
      <c r="V168" s="29">
        <v>43.93</v>
      </c>
      <c r="W168" s="29">
        <v>5.64</v>
      </c>
      <c r="X168" s="29">
        <v>1.34</v>
      </c>
      <c r="Y168" s="29">
        <v>7.0000000000000007E-2</v>
      </c>
      <c r="Z168" s="29">
        <v>48.93</v>
      </c>
      <c r="AA168" s="19">
        <v>0.08</v>
      </c>
      <c r="AB168" s="20">
        <f t="shared" ref="AB168:AB170" si="129">SUM(V168:AA168)</f>
        <v>99.99</v>
      </c>
      <c r="AC168" s="27">
        <f t="shared" ref="AC168:AH168" si="130">100*V168/$AB$168</f>
        <v>43.934393439343935</v>
      </c>
      <c r="AD168" s="27">
        <f t="shared" si="130"/>
        <v>5.6405640564056405</v>
      </c>
      <c r="AE168" s="27">
        <f t="shared" si="130"/>
        <v>1.3401340134013402</v>
      </c>
      <c r="AF168" s="27">
        <f t="shared" si="130"/>
        <v>7.0007000700070016E-2</v>
      </c>
      <c r="AG168" s="27">
        <f t="shared" si="130"/>
        <v>48.934893489348937</v>
      </c>
      <c r="AH168" s="20">
        <f t="shared" si="130"/>
        <v>8.0008000800080012E-2</v>
      </c>
      <c r="AJ168" s="29">
        <v>18.097000000000001</v>
      </c>
      <c r="AL168" s="27">
        <f t="shared" ref="AL168:AL170" si="131">AM168*(Q168+R168+S168)/(Q168+R168)</f>
        <v>18.549610496104961</v>
      </c>
      <c r="AM168" s="29">
        <v>18.097000000000001</v>
      </c>
      <c r="AN168" s="19">
        <f>AM168*(Q168+R168+S168)/(P168+Q168+R168+S168)</f>
        <v>18.097000000000001</v>
      </c>
      <c r="AO168" s="20">
        <v>31</v>
      </c>
    </row>
    <row r="169" spans="1:41">
      <c r="A169" s="19">
        <f t="shared" si="98"/>
        <v>168</v>
      </c>
      <c r="B169" s="29" t="s">
        <v>197</v>
      </c>
      <c r="C169" s="29">
        <v>4</v>
      </c>
      <c r="D169" s="29" t="s">
        <v>939</v>
      </c>
      <c r="E169" s="29" t="s">
        <v>261</v>
      </c>
      <c r="F169" s="19"/>
      <c r="G169" s="29"/>
      <c r="H169" s="29"/>
      <c r="I169" s="19"/>
      <c r="J169" s="20" t="s">
        <v>221</v>
      </c>
      <c r="K169" s="29"/>
      <c r="L169" s="29">
        <v>82.51</v>
      </c>
      <c r="M169" s="29">
        <v>14.73</v>
      </c>
      <c r="N169" s="19">
        <v>2.76</v>
      </c>
      <c r="O169" s="20">
        <f t="shared" si="128"/>
        <v>100.00000000000001</v>
      </c>
      <c r="P169" s="29">
        <v>0</v>
      </c>
      <c r="Q169" s="27">
        <v>82.51</v>
      </c>
      <c r="R169" s="27">
        <v>14.73</v>
      </c>
      <c r="S169" s="20">
        <v>2.76</v>
      </c>
      <c r="U169" s="19" t="s">
        <v>214</v>
      </c>
      <c r="V169" s="29">
        <v>52.94</v>
      </c>
      <c r="W169" s="29">
        <v>7.42</v>
      </c>
      <c r="X169" s="29">
        <v>1.38</v>
      </c>
      <c r="Y169" s="29">
        <v>0.08</v>
      </c>
      <c r="Z169" s="29">
        <v>38.19</v>
      </c>
      <c r="AA169" s="19"/>
      <c r="AB169" s="20">
        <f t="shared" si="129"/>
        <v>100.00999999999999</v>
      </c>
      <c r="AC169" s="27">
        <f>100*V169/$AB$169</f>
        <v>52.934706529347068</v>
      </c>
      <c r="AD169" s="27">
        <f>100*W169/$AB$169</f>
        <v>7.4192580741925811</v>
      </c>
      <c r="AE169" s="27">
        <f>100*X169/$AB$169</f>
        <v>1.3798620137986202</v>
      </c>
      <c r="AF169" s="27">
        <f>100*Y169/$AB$169</f>
        <v>7.9992000799920013E-2</v>
      </c>
      <c r="AG169" s="27">
        <f>100*Z169/$AB$169</f>
        <v>38.186181381861815</v>
      </c>
      <c r="AJ169" s="29">
        <v>18.231000000000002</v>
      </c>
      <c r="AL169" s="27">
        <f t="shared" si="131"/>
        <v>18.748457424928016</v>
      </c>
      <c r="AM169" s="29">
        <v>18.231000000000002</v>
      </c>
      <c r="AN169" s="19">
        <f>AM169*(Q169+R169+S169)/(P169+Q169+R169+S169)</f>
        <v>18.231000000000002</v>
      </c>
      <c r="AO169" s="20">
        <v>31</v>
      </c>
    </row>
    <row r="170" spans="1:41">
      <c r="A170" s="19">
        <f t="shared" si="98"/>
        <v>169</v>
      </c>
      <c r="B170" s="29" t="s">
        <v>197</v>
      </c>
      <c r="C170" s="29">
        <v>4</v>
      </c>
      <c r="D170" s="29" t="s">
        <v>939</v>
      </c>
      <c r="E170" s="29" t="s">
        <v>261</v>
      </c>
      <c r="F170" s="19"/>
      <c r="G170" s="29"/>
      <c r="H170" s="29"/>
      <c r="I170" s="19"/>
      <c r="J170" s="20" t="s">
        <v>221</v>
      </c>
      <c r="K170" s="29"/>
      <c r="L170" s="29">
        <v>76.47</v>
      </c>
      <c r="M170" s="29">
        <v>20.6</v>
      </c>
      <c r="N170" s="19">
        <v>2.91</v>
      </c>
      <c r="O170" s="20">
        <f t="shared" si="128"/>
        <v>99.97999999999999</v>
      </c>
      <c r="P170" s="27">
        <f t="shared" ref="P170" si="132">100*K170/O170</f>
        <v>0</v>
      </c>
      <c r="Q170" s="27">
        <f t="shared" ref="Q170" si="133">100*L170/O170</f>
        <v>76.485297059411891</v>
      </c>
      <c r="R170" s="27">
        <f t="shared" ref="R170" si="134">100*M170/O170</f>
        <v>20.604120824164834</v>
      </c>
      <c r="S170" s="20">
        <f t="shared" ref="S170" si="135">100*N170/O170</f>
        <v>2.910582116423285</v>
      </c>
      <c r="U170" s="19" t="s">
        <v>214</v>
      </c>
      <c r="V170" s="29">
        <v>48.74</v>
      </c>
      <c r="W170" s="29">
        <v>5.92</v>
      </c>
      <c r="X170" s="29">
        <v>1.43</v>
      </c>
      <c r="Y170" s="29">
        <v>0.19</v>
      </c>
      <c r="Z170" s="29">
        <v>43.72</v>
      </c>
      <c r="AA170" s="19"/>
      <c r="AB170" s="20">
        <f t="shared" si="129"/>
        <v>100</v>
      </c>
      <c r="AC170" s="27">
        <v>48.74</v>
      </c>
      <c r="AD170" s="27">
        <v>5.92</v>
      </c>
      <c r="AE170" s="27">
        <v>1.43</v>
      </c>
      <c r="AF170" s="27">
        <v>0.19</v>
      </c>
      <c r="AG170" s="27">
        <v>43.72</v>
      </c>
      <c r="AJ170" s="29">
        <v>18.47</v>
      </c>
      <c r="AL170" s="27">
        <f t="shared" si="131"/>
        <v>19.023700422375605</v>
      </c>
      <c r="AM170" s="29">
        <v>18.47</v>
      </c>
      <c r="AN170" s="19">
        <f>AM170*(Q170+R170+S170)/(P170+Q170+R170+S170)</f>
        <v>18.47</v>
      </c>
      <c r="AO170" s="20">
        <v>31</v>
      </c>
    </row>
    <row r="171" spans="1:41">
      <c r="A171" s="19">
        <f t="shared" si="98"/>
        <v>170</v>
      </c>
      <c r="B171" s="29" t="s">
        <v>197</v>
      </c>
      <c r="C171" s="29">
        <v>4</v>
      </c>
      <c r="D171" s="29" t="s">
        <v>939</v>
      </c>
      <c r="E171" s="29" t="s">
        <v>243</v>
      </c>
      <c r="F171" s="19"/>
      <c r="G171" s="29"/>
      <c r="H171" s="29"/>
      <c r="I171" s="19"/>
      <c r="J171" s="20" t="s">
        <v>221</v>
      </c>
      <c r="K171" s="29"/>
      <c r="L171" s="29">
        <v>75.37</v>
      </c>
      <c r="M171" s="29">
        <v>15.82</v>
      </c>
      <c r="N171" s="19">
        <v>8.81</v>
      </c>
      <c r="O171" s="20">
        <f>SUM(K171:N171)</f>
        <v>100</v>
      </c>
      <c r="P171" s="29">
        <v>0</v>
      </c>
      <c r="Q171" s="27">
        <v>75.37</v>
      </c>
      <c r="R171" s="27">
        <v>15.82</v>
      </c>
      <c r="S171" s="20">
        <v>8.81</v>
      </c>
      <c r="V171" s="29"/>
      <c r="W171" s="29"/>
      <c r="X171" s="29"/>
      <c r="Y171" s="29"/>
      <c r="Z171" s="29"/>
      <c r="AA171" s="19"/>
      <c r="AJ171" s="29"/>
      <c r="AM171" s="29"/>
      <c r="AO171" s="20">
        <v>31</v>
      </c>
    </row>
    <row r="172" spans="1:41">
      <c r="A172" s="19">
        <f t="shared" si="98"/>
        <v>171</v>
      </c>
      <c r="B172" s="29" t="s">
        <v>197</v>
      </c>
      <c r="C172" s="29">
        <v>4</v>
      </c>
      <c r="D172" s="29" t="s">
        <v>939</v>
      </c>
      <c r="E172" s="29" t="s">
        <v>260</v>
      </c>
      <c r="F172" s="19"/>
      <c r="G172" s="29"/>
      <c r="H172" s="29"/>
      <c r="I172" s="19"/>
      <c r="J172" s="20" t="s">
        <v>221</v>
      </c>
      <c r="K172" s="29"/>
      <c r="L172" s="29">
        <v>77.680000000000007</v>
      </c>
      <c r="M172" s="29">
        <v>19.2</v>
      </c>
      <c r="N172" s="19">
        <v>3.13</v>
      </c>
      <c r="O172" s="20">
        <f>SUM(K172:N172)</f>
        <v>100.01</v>
      </c>
      <c r="P172" s="27">
        <f t="shared" ref="P172" si="136">100*K172/O172</f>
        <v>0</v>
      </c>
      <c r="Q172" s="27">
        <f t="shared" ref="Q172" si="137">100*L172/O172</f>
        <v>77.672232776722339</v>
      </c>
      <c r="R172" s="27">
        <f t="shared" ref="R172" si="138">100*M172/O172</f>
        <v>19.1980801919808</v>
      </c>
      <c r="S172" s="20">
        <f t="shared" ref="S172" si="139">100*N172/O172</f>
        <v>3.1296870312968701</v>
      </c>
      <c r="U172" s="19" t="s">
        <v>214</v>
      </c>
      <c r="V172" s="29">
        <v>50.15</v>
      </c>
      <c r="W172" s="29">
        <v>5.82</v>
      </c>
      <c r="X172" s="29">
        <v>1.1399999999999999</v>
      </c>
      <c r="Y172" s="29">
        <v>0.2</v>
      </c>
      <c r="Z172" s="29">
        <v>42.69</v>
      </c>
      <c r="AA172" s="19"/>
      <c r="AB172" s="20">
        <f>SUM(V172:AA172)</f>
        <v>100</v>
      </c>
      <c r="AC172" s="27">
        <v>50.15</v>
      </c>
      <c r="AD172" s="27">
        <v>5.82</v>
      </c>
      <c r="AE172" s="27">
        <v>1.1399999999999999</v>
      </c>
      <c r="AF172" s="27">
        <v>0.2</v>
      </c>
      <c r="AG172" s="27">
        <v>42.69</v>
      </c>
      <c r="AJ172" s="29"/>
      <c r="AM172" s="29"/>
      <c r="AO172" s="20">
        <v>31</v>
      </c>
    </row>
    <row r="173" spans="1:41">
      <c r="A173" s="19">
        <f t="shared" si="98"/>
        <v>172</v>
      </c>
      <c r="B173" s="29" t="s">
        <v>197</v>
      </c>
      <c r="C173" s="29">
        <v>4</v>
      </c>
      <c r="D173" s="29" t="s">
        <v>939</v>
      </c>
      <c r="E173" s="29" t="s">
        <v>260</v>
      </c>
      <c r="F173" s="19"/>
      <c r="G173" s="29"/>
      <c r="H173" s="29"/>
      <c r="I173" s="19"/>
      <c r="J173" s="20" t="s">
        <v>221</v>
      </c>
      <c r="K173" s="29"/>
      <c r="L173" s="29">
        <v>77.930000000000007</v>
      </c>
      <c r="M173" s="29">
        <v>18.78</v>
      </c>
      <c r="N173" s="19">
        <v>3.29</v>
      </c>
      <c r="O173" s="20">
        <f>SUM(K173:N173)</f>
        <v>100.00000000000001</v>
      </c>
      <c r="P173" s="29">
        <v>0</v>
      </c>
      <c r="Q173" s="27">
        <v>77.930000000000007</v>
      </c>
      <c r="R173" s="27">
        <v>18.78</v>
      </c>
      <c r="S173" s="20">
        <v>3.29</v>
      </c>
      <c r="U173" s="19" t="s">
        <v>214</v>
      </c>
      <c r="V173" s="31">
        <v>48.5</v>
      </c>
      <c r="W173" s="31">
        <v>6.2</v>
      </c>
      <c r="X173" s="31">
        <v>1.3</v>
      </c>
      <c r="Y173" s="31">
        <v>0.2</v>
      </c>
      <c r="Z173" s="31">
        <v>39.5</v>
      </c>
      <c r="AA173" s="19"/>
      <c r="AB173" s="20">
        <f>SUM(V173:AA173)</f>
        <v>95.7</v>
      </c>
      <c r="AC173" s="27">
        <f>100*V173/$AB$173</f>
        <v>50.679205851619642</v>
      </c>
      <c r="AD173" s="27">
        <f>100*W173/$AB$173</f>
        <v>6.4785788923719956</v>
      </c>
      <c r="AE173" s="27">
        <f>100*X173/$AB$173</f>
        <v>1.3584117032392895</v>
      </c>
      <c r="AF173" s="27">
        <f>100*Y173/$AB$173</f>
        <v>0.2089864158829676</v>
      </c>
      <c r="AG173" s="27">
        <f>100*Z173/$AB$173</f>
        <v>41.274817136886099</v>
      </c>
      <c r="AJ173" s="29">
        <v>18.638000000000002</v>
      </c>
      <c r="AL173" s="27">
        <f t="shared" ref="AL173" si="140">AM173*(Q173+R173+S173)/(Q173+R173)</f>
        <v>19.272050460138562</v>
      </c>
      <c r="AM173" s="29">
        <v>18.638000000000002</v>
      </c>
      <c r="AN173" s="19">
        <f>AM173*(Q173+R173+S173)/(P173+Q173+R173+S173)</f>
        <v>18.638000000000002</v>
      </c>
      <c r="AO173" s="20">
        <v>31</v>
      </c>
    </row>
    <row r="174" spans="1:41">
      <c r="A174" s="19">
        <f t="shared" si="98"/>
        <v>173</v>
      </c>
      <c r="B174" s="29" t="s">
        <v>197</v>
      </c>
      <c r="C174" s="29">
        <v>4</v>
      </c>
      <c r="D174" s="29" t="s">
        <v>939</v>
      </c>
      <c r="E174" s="29" t="s">
        <v>260</v>
      </c>
      <c r="F174" s="19"/>
      <c r="G174" s="29"/>
      <c r="H174" s="29"/>
      <c r="I174" s="19"/>
      <c r="K174" s="29"/>
      <c r="L174" s="29"/>
      <c r="M174" s="29"/>
      <c r="N174" s="19"/>
      <c r="U174" s="19" t="s">
        <v>214</v>
      </c>
      <c r="V174" s="29">
        <v>47.58</v>
      </c>
      <c r="W174" s="29">
        <v>6.17</v>
      </c>
      <c r="X174" s="29">
        <v>0.78</v>
      </c>
      <c r="Y174" s="29">
        <v>0</v>
      </c>
      <c r="Z174" s="29">
        <v>45.47</v>
      </c>
      <c r="AA174" s="19"/>
      <c r="AB174" s="20">
        <f>SUM(V174:AA174)</f>
        <v>100</v>
      </c>
      <c r="AC174" s="27">
        <v>47.58</v>
      </c>
      <c r="AD174" s="27">
        <v>6.17</v>
      </c>
      <c r="AE174" s="27">
        <v>0.78</v>
      </c>
      <c r="AF174" s="27">
        <v>0</v>
      </c>
      <c r="AG174" s="27">
        <v>45.47</v>
      </c>
      <c r="AJ174" s="29"/>
      <c r="AM174" s="29"/>
      <c r="AO174" s="20">
        <v>31</v>
      </c>
    </row>
    <row r="175" spans="1:41">
      <c r="A175" s="19">
        <f t="shared" si="98"/>
        <v>174</v>
      </c>
      <c r="B175" s="29" t="s">
        <v>197</v>
      </c>
      <c r="C175" s="29">
        <v>4</v>
      </c>
      <c r="D175" s="29" t="s">
        <v>939</v>
      </c>
      <c r="E175" s="29" t="s">
        <v>260</v>
      </c>
      <c r="F175" s="19"/>
      <c r="G175" s="29"/>
      <c r="H175" s="29"/>
      <c r="I175" s="19"/>
      <c r="K175" s="29"/>
      <c r="L175" s="29"/>
      <c r="M175" s="29"/>
      <c r="N175" s="19"/>
      <c r="V175" s="29"/>
      <c r="W175" s="29"/>
      <c r="X175" s="29"/>
      <c r="Y175" s="29"/>
      <c r="Z175" s="29"/>
      <c r="AA175" s="19"/>
      <c r="AJ175" s="29">
        <v>16.887</v>
      </c>
      <c r="AM175" s="29">
        <v>16.887</v>
      </c>
      <c r="AO175" s="20">
        <v>31</v>
      </c>
    </row>
    <row r="176" spans="1:41">
      <c r="A176" s="19">
        <f t="shared" si="98"/>
        <v>175</v>
      </c>
      <c r="B176" s="29" t="s">
        <v>197</v>
      </c>
      <c r="C176" s="29">
        <v>4</v>
      </c>
      <c r="D176" s="29" t="s">
        <v>939</v>
      </c>
      <c r="E176" s="29" t="s">
        <v>483</v>
      </c>
      <c r="F176" s="19" t="s">
        <v>481</v>
      </c>
      <c r="G176" s="29">
        <v>0.83799999999999997</v>
      </c>
      <c r="H176" s="29"/>
      <c r="I176" s="19"/>
      <c r="J176" s="20" t="s">
        <v>482</v>
      </c>
      <c r="K176" s="29">
        <v>4.7949999999999999</v>
      </c>
      <c r="L176" s="29"/>
      <c r="M176" s="29"/>
      <c r="N176" s="19"/>
      <c r="V176" s="29"/>
      <c r="W176" s="29"/>
      <c r="X176" s="29"/>
      <c r="Y176" s="29"/>
      <c r="Z176" s="29"/>
      <c r="AA176" s="19"/>
      <c r="AI176" s="29"/>
      <c r="AL176" s="29"/>
      <c r="AO176" s="20">
        <v>46</v>
      </c>
    </row>
    <row r="177" spans="1:41">
      <c r="A177" s="19">
        <f t="shared" si="98"/>
        <v>176</v>
      </c>
      <c r="B177" s="29" t="s">
        <v>197</v>
      </c>
      <c r="C177" s="29">
        <v>4</v>
      </c>
      <c r="D177" s="29" t="s">
        <v>939</v>
      </c>
      <c r="E177" s="29" t="s">
        <v>336</v>
      </c>
      <c r="F177" s="19"/>
      <c r="G177" s="29">
        <v>1.0189999999999999</v>
      </c>
      <c r="H177" s="29"/>
      <c r="I177" s="19"/>
      <c r="K177" s="29"/>
      <c r="L177" s="29"/>
      <c r="M177" s="29"/>
      <c r="N177" s="19"/>
      <c r="V177" s="29"/>
      <c r="W177" s="29"/>
      <c r="X177" s="29"/>
      <c r="Y177" s="29"/>
      <c r="Z177" s="29"/>
      <c r="AA177" s="19"/>
      <c r="AI177" s="29"/>
      <c r="AL177" s="29"/>
      <c r="AO177" s="20">
        <v>47</v>
      </c>
    </row>
    <row r="178" spans="1:41">
      <c r="A178" s="19">
        <f t="shared" si="98"/>
        <v>177</v>
      </c>
      <c r="B178" s="29" t="s">
        <v>197</v>
      </c>
      <c r="C178" s="29">
        <v>4</v>
      </c>
      <c r="D178" s="29" t="s">
        <v>939</v>
      </c>
      <c r="E178" s="29" t="s">
        <v>484</v>
      </c>
      <c r="F178" s="19" t="s">
        <v>487</v>
      </c>
      <c r="G178" s="29">
        <v>0.47499999999999998</v>
      </c>
      <c r="H178" s="29"/>
      <c r="I178" s="19"/>
      <c r="K178" s="29"/>
      <c r="L178" s="29"/>
      <c r="M178" s="29"/>
      <c r="N178" s="19"/>
      <c r="V178" s="29"/>
      <c r="W178" s="29"/>
      <c r="X178" s="29"/>
      <c r="Y178" s="29"/>
      <c r="Z178" s="29"/>
      <c r="AA178" s="19"/>
      <c r="AI178" s="29"/>
      <c r="AL178" s="29"/>
      <c r="AO178" s="20">
        <v>48</v>
      </c>
    </row>
    <row r="179" spans="1:41">
      <c r="A179" s="19">
        <f t="shared" si="98"/>
        <v>178</v>
      </c>
      <c r="B179" s="29" t="s">
        <v>197</v>
      </c>
      <c r="C179" s="29">
        <v>4</v>
      </c>
      <c r="D179" s="29" t="s">
        <v>939</v>
      </c>
      <c r="E179" s="29" t="s">
        <v>484</v>
      </c>
      <c r="F179" s="19" t="s">
        <v>486</v>
      </c>
      <c r="G179" s="29">
        <v>0.90500000000000003</v>
      </c>
      <c r="H179" s="29"/>
      <c r="I179" s="19"/>
      <c r="K179" s="29"/>
      <c r="L179" s="29"/>
      <c r="M179" s="29"/>
      <c r="N179" s="19"/>
      <c r="V179" s="29"/>
      <c r="W179" s="29"/>
      <c r="X179" s="29"/>
      <c r="Y179" s="29"/>
      <c r="Z179" s="29"/>
      <c r="AA179" s="19"/>
      <c r="AI179" s="29"/>
      <c r="AL179" s="29"/>
      <c r="AO179" s="20">
        <v>48</v>
      </c>
    </row>
    <row r="180" spans="1:41">
      <c r="A180" s="19">
        <f t="shared" si="98"/>
        <v>179</v>
      </c>
      <c r="B180" s="29" t="s">
        <v>197</v>
      </c>
      <c r="C180" s="29">
        <v>4</v>
      </c>
      <c r="D180" s="29" t="s">
        <v>939</v>
      </c>
      <c r="E180" s="29" t="s">
        <v>484</v>
      </c>
      <c r="F180" s="19" t="s">
        <v>485</v>
      </c>
      <c r="G180" s="29">
        <v>0.28499999999999998</v>
      </c>
      <c r="H180" s="29"/>
      <c r="I180" s="19"/>
      <c r="K180" s="29"/>
      <c r="L180" s="29"/>
      <c r="M180" s="29"/>
      <c r="N180" s="19"/>
      <c r="V180" s="29"/>
      <c r="W180" s="29"/>
      <c r="X180" s="29"/>
      <c r="Y180" s="29"/>
      <c r="Z180" s="29"/>
      <c r="AA180" s="19"/>
      <c r="AI180" s="29"/>
      <c r="AL180" s="29"/>
      <c r="AO180" s="20">
        <v>48</v>
      </c>
    </row>
    <row r="181" spans="1:41">
      <c r="A181" s="19">
        <f t="shared" si="98"/>
        <v>180</v>
      </c>
      <c r="B181" s="29" t="s">
        <v>197</v>
      </c>
      <c r="C181" s="29">
        <v>4</v>
      </c>
      <c r="D181" s="29" t="s">
        <v>939</v>
      </c>
      <c r="E181" s="29" t="s">
        <v>226</v>
      </c>
      <c r="F181" s="19" t="s">
        <v>374</v>
      </c>
      <c r="G181" s="29"/>
      <c r="H181" s="29"/>
      <c r="I181" s="19">
        <v>3.9</v>
      </c>
      <c r="J181" s="20" t="s">
        <v>1172</v>
      </c>
      <c r="K181" s="29">
        <v>84.94</v>
      </c>
      <c r="L181" s="29"/>
      <c r="M181" s="29"/>
      <c r="N181" s="19">
        <v>1.1299999999999999</v>
      </c>
      <c r="V181" s="29"/>
      <c r="W181" s="29"/>
      <c r="X181" s="29"/>
      <c r="Y181" s="29"/>
      <c r="Z181" s="29"/>
      <c r="AA181" s="19"/>
      <c r="AJ181" s="29"/>
      <c r="AM181" s="29"/>
      <c r="AO181" s="20">
        <v>3</v>
      </c>
    </row>
    <row r="182" spans="1:41">
      <c r="A182" s="19">
        <f t="shared" si="98"/>
        <v>181</v>
      </c>
      <c r="B182" s="29" t="s">
        <v>197</v>
      </c>
      <c r="C182" s="29">
        <v>4</v>
      </c>
      <c r="D182" s="29" t="s">
        <v>939</v>
      </c>
      <c r="E182" s="29" t="s">
        <v>493</v>
      </c>
      <c r="F182" s="19" t="s">
        <v>262</v>
      </c>
      <c r="G182" s="29"/>
      <c r="H182" s="29"/>
      <c r="I182" s="19">
        <v>3.63</v>
      </c>
      <c r="J182" s="20" t="s">
        <v>1172</v>
      </c>
      <c r="K182" s="29">
        <v>78.010000000000005</v>
      </c>
      <c r="L182" s="29"/>
      <c r="M182" s="29"/>
      <c r="N182" s="19">
        <v>2.54</v>
      </c>
      <c r="V182" s="29"/>
      <c r="W182" s="29"/>
      <c r="X182" s="29"/>
      <c r="Y182" s="29"/>
      <c r="Z182" s="29"/>
      <c r="AA182" s="19"/>
      <c r="AI182" s="29"/>
      <c r="AL182" s="29"/>
      <c r="AO182" s="20">
        <v>3</v>
      </c>
    </row>
    <row r="183" spans="1:41">
      <c r="A183" s="19">
        <f t="shared" si="98"/>
        <v>182</v>
      </c>
      <c r="B183" s="29" t="s">
        <v>197</v>
      </c>
      <c r="C183" s="29">
        <v>4</v>
      </c>
      <c r="D183" s="29" t="s">
        <v>939</v>
      </c>
      <c r="E183" s="29" t="s">
        <v>263</v>
      </c>
      <c r="F183" s="19"/>
      <c r="G183" s="29"/>
      <c r="H183" s="29"/>
      <c r="I183" s="19">
        <v>4.03</v>
      </c>
      <c r="J183" s="20" t="s">
        <v>1172</v>
      </c>
      <c r="K183" s="29">
        <v>92.4</v>
      </c>
      <c r="L183" s="29"/>
      <c r="M183" s="29"/>
      <c r="N183" s="19">
        <v>0.56999999999999995</v>
      </c>
      <c r="V183" s="29"/>
      <c r="W183" s="29"/>
      <c r="X183" s="29"/>
      <c r="Y183" s="29"/>
      <c r="Z183" s="29"/>
      <c r="AA183" s="19"/>
      <c r="AI183" s="29"/>
      <c r="AL183" s="29"/>
      <c r="AO183" s="20">
        <v>3</v>
      </c>
    </row>
    <row r="184" spans="1:41">
      <c r="A184" s="19">
        <f t="shared" si="98"/>
        <v>183</v>
      </c>
      <c r="B184" s="29" t="s">
        <v>197</v>
      </c>
      <c r="C184" s="29">
        <v>4</v>
      </c>
      <c r="D184" s="29" t="s">
        <v>939</v>
      </c>
      <c r="E184" s="29" t="s">
        <v>264</v>
      </c>
      <c r="F184" s="19" t="s">
        <v>382</v>
      </c>
      <c r="G184" s="29"/>
      <c r="H184" s="29"/>
      <c r="I184" s="19">
        <v>3.99</v>
      </c>
      <c r="J184" s="20" t="s">
        <v>1172</v>
      </c>
      <c r="K184" s="29">
        <v>90.27</v>
      </c>
      <c r="L184" s="29"/>
      <c r="M184" s="29"/>
      <c r="N184" s="19">
        <v>0.66</v>
      </c>
      <c r="V184" s="29"/>
      <c r="W184" s="29"/>
      <c r="X184" s="29"/>
      <c r="Y184" s="29"/>
      <c r="Z184" s="29"/>
      <c r="AA184" s="19"/>
      <c r="AI184" s="29"/>
      <c r="AL184" s="29"/>
      <c r="AO184" s="20">
        <v>3</v>
      </c>
    </row>
    <row r="185" spans="1:41">
      <c r="A185" s="19">
        <f t="shared" si="98"/>
        <v>184</v>
      </c>
      <c r="B185" s="29" t="s">
        <v>197</v>
      </c>
      <c r="C185" s="29">
        <v>4</v>
      </c>
      <c r="D185" s="29" t="s">
        <v>939</v>
      </c>
      <c r="E185" s="29" t="s">
        <v>264</v>
      </c>
      <c r="F185" s="19" t="s">
        <v>383</v>
      </c>
      <c r="G185" s="29"/>
      <c r="H185" s="29"/>
      <c r="I185" s="19">
        <v>3.52</v>
      </c>
      <c r="J185" s="20" t="s">
        <v>1172</v>
      </c>
      <c r="K185" s="29">
        <v>70.239999999999995</v>
      </c>
      <c r="L185" s="29"/>
      <c r="M185" s="29"/>
      <c r="N185" s="19">
        <v>1.89</v>
      </c>
      <c r="V185" s="29"/>
      <c r="W185" s="29"/>
      <c r="X185" s="29"/>
      <c r="Y185" s="29"/>
      <c r="Z185" s="29"/>
      <c r="AA185" s="19"/>
      <c r="AI185" s="29"/>
      <c r="AL185" s="29"/>
      <c r="AO185" s="20">
        <v>3</v>
      </c>
    </row>
    <row r="186" spans="1:41">
      <c r="A186" s="19">
        <f t="shared" si="98"/>
        <v>185</v>
      </c>
      <c r="B186" s="29" t="s">
        <v>197</v>
      </c>
      <c r="C186" s="29">
        <v>4</v>
      </c>
      <c r="D186" s="29" t="s">
        <v>939</v>
      </c>
      <c r="E186" s="29" t="s">
        <v>265</v>
      </c>
      <c r="F186" s="19"/>
      <c r="G186" s="29"/>
      <c r="H186" s="29"/>
      <c r="I186" s="19">
        <v>3.91</v>
      </c>
      <c r="J186" s="20" t="s">
        <v>1172</v>
      </c>
      <c r="K186" s="29">
        <v>87.58</v>
      </c>
      <c r="L186" s="29"/>
      <c r="M186" s="29"/>
      <c r="N186" s="19">
        <v>1.08</v>
      </c>
      <c r="V186" s="29"/>
      <c r="W186" s="29"/>
      <c r="X186" s="29"/>
      <c r="Y186" s="29"/>
      <c r="Z186" s="29"/>
      <c r="AA186" s="19"/>
      <c r="AI186" s="29"/>
      <c r="AL186" s="29"/>
      <c r="AO186" s="20">
        <v>3</v>
      </c>
    </row>
    <row r="187" spans="1:41">
      <c r="A187" s="19">
        <f t="shared" si="98"/>
        <v>186</v>
      </c>
      <c r="B187" s="29" t="s">
        <v>197</v>
      </c>
      <c r="C187" s="29">
        <v>4</v>
      </c>
      <c r="D187" s="29" t="s">
        <v>939</v>
      </c>
      <c r="E187" s="29" t="s">
        <v>266</v>
      </c>
      <c r="F187" s="19"/>
      <c r="G187" s="29"/>
      <c r="H187" s="29"/>
      <c r="I187" s="19">
        <v>4.01</v>
      </c>
      <c r="J187" s="20" t="s">
        <v>1172</v>
      </c>
      <c r="K187" s="29">
        <v>90.69</v>
      </c>
      <c r="L187" s="29"/>
      <c r="M187" s="29"/>
      <c r="N187" s="19">
        <v>0.92</v>
      </c>
      <c r="V187" s="29"/>
      <c r="W187" s="29"/>
      <c r="X187" s="29"/>
      <c r="Y187" s="29"/>
      <c r="Z187" s="29"/>
      <c r="AA187" s="19"/>
      <c r="AI187" s="29"/>
      <c r="AL187" s="29"/>
      <c r="AO187" s="20">
        <v>3</v>
      </c>
    </row>
    <row r="188" spans="1:41">
      <c r="A188" s="19">
        <f t="shared" si="98"/>
        <v>187</v>
      </c>
      <c r="B188" s="29" t="s">
        <v>197</v>
      </c>
      <c r="C188" s="29">
        <v>4</v>
      </c>
      <c r="D188" s="29" t="s">
        <v>939</v>
      </c>
      <c r="E188" s="29" t="s">
        <v>267</v>
      </c>
      <c r="F188" s="19"/>
      <c r="G188" s="29"/>
      <c r="H188" s="29"/>
      <c r="I188" s="19">
        <v>3.9</v>
      </c>
      <c r="J188" s="20" t="s">
        <v>1172</v>
      </c>
      <c r="K188" s="29">
        <v>86</v>
      </c>
      <c r="L188" s="29"/>
      <c r="M188" s="29"/>
      <c r="N188" s="19">
        <v>1.37</v>
      </c>
      <c r="V188" s="29"/>
      <c r="W188" s="29"/>
      <c r="X188" s="29"/>
      <c r="Y188" s="29"/>
      <c r="Z188" s="29"/>
      <c r="AA188" s="19"/>
      <c r="AI188" s="29"/>
      <c r="AL188" s="29"/>
      <c r="AO188" s="20">
        <v>3</v>
      </c>
    </row>
    <row r="189" spans="1:41">
      <c r="A189" s="19">
        <f t="shared" si="98"/>
        <v>188</v>
      </c>
      <c r="B189" s="29" t="s">
        <v>197</v>
      </c>
      <c r="C189" s="29">
        <v>4</v>
      </c>
      <c r="D189" s="29" t="s">
        <v>939</v>
      </c>
      <c r="E189" s="29" t="s">
        <v>230</v>
      </c>
      <c r="F189" s="19"/>
      <c r="G189" s="29"/>
      <c r="H189" s="29"/>
      <c r="I189" s="19">
        <v>4.0199999999999996</v>
      </c>
      <c r="J189" s="20" t="s">
        <v>1172</v>
      </c>
      <c r="K189" s="29">
        <v>92.15</v>
      </c>
      <c r="L189" s="29"/>
      <c r="M189" s="29"/>
      <c r="N189" s="19">
        <v>0.71</v>
      </c>
      <c r="V189" s="29"/>
      <c r="W189" s="29"/>
      <c r="X189" s="29"/>
      <c r="Y189" s="29"/>
      <c r="Z189" s="29"/>
      <c r="AA189" s="19"/>
      <c r="AI189" s="29"/>
      <c r="AL189" s="29"/>
      <c r="AO189" s="20">
        <v>3</v>
      </c>
    </row>
    <row r="190" spans="1:41">
      <c r="A190" s="19">
        <f t="shared" si="98"/>
        <v>189</v>
      </c>
      <c r="B190" s="29" t="s">
        <v>197</v>
      </c>
      <c r="C190" s="29">
        <v>4</v>
      </c>
      <c r="D190" s="29" t="s">
        <v>939</v>
      </c>
      <c r="E190" s="29" t="s">
        <v>268</v>
      </c>
      <c r="F190" s="19" t="s">
        <v>384</v>
      </c>
      <c r="G190" s="29"/>
      <c r="H190" s="29"/>
      <c r="I190" s="19">
        <v>3.92</v>
      </c>
      <c r="J190" s="20" t="s">
        <v>1172</v>
      </c>
      <c r="K190" s="29">
        <v>87.79</v>
      </c>
      <c r="L190" s="29"/>
      <c r="M190" s="29"/>
      <c r="N190" s="19">
        <v>0.87</v>
      </c>
      <c r="V190" s="29"/>
      <c r="W190" s="29"/>
      <c r="X190" s="29"/>
      <c r="Y190" s="29"/>
      <c r="Z190" s="29"/>
      <c r="AA190" s="19"/>
      <c r="AI190" s="29"/>
      <c r="AL190" s="29"/>
      <c r="AO190" s="20">
        <v>3</v>
      </c>
    </row>
    <row r="191" spans="1:41">
      <c r="A191" s="19">
        <f t="shared" si="98"/>
        <v>190</v>
      </c>
      <c r="B191" s="29" t="s">
        <v>197</v>
      </c>
      <c r="C191" s="29">
        <v>4</v>
      </c>
      <c r="D191" s="29" t="s">
        <v>939</v>
      </c>
      <c r="E191" s="29" t="s">
        <v>269</v>
      </c>
      <c r="F191" s="19"/>
      <c r="G191" s="29"/>
      <c r="H191" s="29"/>
      <c r="I191" s="19">
        <v>4.0199999999999996</v>
      </c>
      <c r="J191" s="20" t="s">
        <v>1172</v>
      </c>
      <c r="K191" s="29">
        <v>91.91</v>
      </c>
      <c r="L191" s="29"/>
      <c r="M191" s="29"/>
      <c r="N191" s="19">
        <v>0.71</v>
      </c>
      <c r="V191" s="29"/>
      <c r="W191" s="29"/>
      <c r="X191" s="29"/>
      <c r="Y191" s="29"/>
      <c r="Z191" s="29"/>
      <c r="AA191" s="19"/>
      <c r="AI191" s="29"/>
      <c r="AL191" s="29"/>
      <c r="AO191" s="20">
        <v>3</v>
      </c>
    </row>
    <row r="192" spans="1:41">
      <c r="A192" s="19">
        <f t="shared" si="98"/>
        <v>191</v>
      </c>
      <c r="B192" s="29" t="s">
        <v>197</v>
      </c>
      <c r="C192" s="29">
        <v>4</v>
      </c>
      <c r="D192" s="29" t="s">
        <v>939</v>
      </c>
      <c r="E192" s="29" t="s">
        <v>270</v>
      </c>
      <c r="F192" s="19"/>
      <c r="G192" s="29"/>
      <c r="H192" s="29"/>
      <c r="I192" s="19">
        <v>3.9</v>
      </c>
      <c r="J192" s="20" t="s">
        <v>1172</v>
      </c>
      <c r="K192" s="29">
        <v>88</v>
      </c>
      <c r="L192" s="29"/>
      <c r="M192" s="29"/>
      <c r="N192" s="19">
        <v>1</v>
      </c>
      <c r="V192" s="29"/>
      <c r="W192" s="29"/>
      <c r="X192" s="29"/>
      <c r="Y192" s="29"/>
      <c r="Z192" s="29"/>
      <c r="AA192" s="19"/>
      <c r="AI192" s="29"/>
      <c r="AL192" s="29"/>
      <c r="AO192" s="20">
        <v>3</v>
      </c>
    </row>
    <row r="193" spans="1:41">
      <c r="A193" s="19">
        <f t="shared" si="98"/>
        <v>192</v>
      </c>
      <c r="B193" s="29" t="s">
        <v>197</v>
      </c>
      <c r="C193" s="29">
        <v>4</v>
      </c>
      <c r="D193" s="29" t="s">
        <v>939</v>
      </c>
      <c r="E193" s="29" t="s">
        <v>271</v>
      </c>
      <c r="F193" s="19"/>
      <c r="G193" s="29"/>
      <c r="H193" s="29"/>
      <c r="I193" s="19">
        <v>4.07</v>
      </c>
      <c r="J193" s="20" t="s">
        <v>1172</v>
      </c>
      <c r="K193" s="29">
        <v>94.64</v>
      </c>
      <c r="L193" s="29"/>
      <c r="M193" s="29"/>
      <c r="N193" s="19">
        <v>0.82</v>
      </c>
      <c r="V193" s="29"/>
      <c r="W193" s="29"/>
      <c r="X193" s="29"/>
      <c r="Y193" s="29"/>
      <c r="Z193" s="29"/>
      <c r="AA193" s="19"/>
      <c r="AI193" s="29"/>
      <c r="AL193" s="29"/>
      <c r="AO193" s="20">
        <v>3</v>
      </c>
    </row>
    <row r="194" spans="1:41">
      <c r="A194" s="19">
        <f t="shared" si="98"/>
        <v>193</v>
      </c>
      <c r="B194" s="29" t="s">
        <v>197</v>
      </c>
      <c r="C194" s="29">
        <v>4</v>
      </c>
      <c r="D194" s="29" t="s">
        <v>939</v>
      </c>
      <c r="E194" s="29" t="s">
        <v>272</v>
      </c>
      <c r="F194" s="19"/>
      <c r="G194" s="29"/>
      <c r="H194" s="29"/>
      <c r="I194" s="19">
        <v>4.01</v>
      </c>
      <c r="J194" s="20" t="s">
        <v>1172</v>
      </c>
      <c r="K194" s="29">
        <v>90.55</v>
      </c>
      <c r="L194" s="29"/>
      <c r="M194" s="29"/>
      <c r="N194" s="19">
        <v>0.55000000000000004</v>
      </c>
      <c r="V194" s="29"/>
      <c r="W194" s="29"/>
      <c r="X194" s="29"/>
      <c r="Y194" s="29"/>
      <c r="Z194" s="29"/>
      <c r="AA194" s="19"/>
      <c r="AI194" s="29"/>
      <c r="AL194" s="29"/>
      <c r="AO194" s="20">
        <v>3</v>
      </c>
    </row>
    <row r="195" spans="1:41">
      <c r="A195" s="19">
        <f t="shared" ref="A195:A258" si="141">A194+1</f>
        <v>194</v>
      </c>
      <c r="B195" s="29" t="s">
        <v>197</v>
      </c>
      <c r="C195" s="29">
        <v>4</v>
      </c>
      <c r="D195" s="29" t="s">
        <v>939</v>
      </c>
      <c r="E195" s="29" t="s">
        <v>459</v>
      </c>
      <c r="F195" s="19"/>
      <c r="G195" s="29"/>
      <c r="H195" s="29"/>
      <c r="I195" s="19">
        <v>3.62</v>
      </c>
      <c r="J195" s="20" t="s">
        <v>1172</v>
      </c>
      <c r="K195" s="29">
        <v>75.959999999999994</v>
      </c>
      <c r="L195" s="29"/>
      <c r="M195" s="29"/>
      <c r="N195" s="19">
        <v>0.62</v>
      </c>
      <c r="V195" s="29"/>
      <c r="W195" s="29"/>
      <c r="X195" s="29"/>
      <c r="Y195" s="29"/>
      <c r="Z195" s="29"/>
      <c r="AA195" s="19"/>
      <c r="AI195" s="29"/>
      <c r="AL195" s="29"/>
      <c r="AO195" s="20">
        <v>3</v>
      </c>
    </row>
    <row r="196" spans="1:41">
      <c r="A196" s="19">
        <f t="shared" si="141"/>
        <v>195</v>
      </c>
      <c r="B196" s="29" t="s">
        <v>197</v>
      </c>
      <c r="C196" s="29">
        <v>4</v>
      </c>
      <c r="D196" s="29" t="s">
        <v>939</v>
      </c>
      <c r="E196" s="29" t="s">
        <v>273</v>
      </c>
      <c r="F196" s="19"/>
      <c r="G196" s="29"/>
      <c r="H196" s="29"/>
      <c r="I196" s="19">
        <v>4.09</v>
      </c>
      <c r="J196" s="20" t="s">
        <v>1172</v>
      </c>
      <c r="K196" s="29">
        <v>96.01</v>
      </c>
      <c r="L196" s="29"/>
      <c r="M196" s="29"/>
      <c r="N196" s="19">
        <v>0.41</v>
      </c>
      <c r="V196" s="29"/>
      <c r="W196" s="29"/>
      <c r="X196" s="29"/>
      <c r="Y196" s="29"/>
      <c r="Z196" s="29"/>
      <c r="AA196" s="19"/>
      <c r="AI196" s="29"/>
      <c r="AL196" s="29"/>
      <c r="AO196" s="20">
        <v>3</v>
      </c>
    </row>
    <row r="197" spans="1:41">
      <c r="A197" s="19">
        <f t="shared" si="141"/>
        <v>196</v>
      </c>
      <c r="B197" s="29" t="s">
        <v>197</v>
      </c>
      <c r="C197" s="29">
        <v>4</v>
      </c>
      <c r="D197" s="29" t="s">
        <v>939</v>
      </c>
      <c r="E197" s="29" t="s">
        <v>274</v>
      </c>
      <c r="F197" s="19"/>
      <c r="G197" s="29"/>
      <c r="H197" s="29"/>
      <c r="I197" s="19">
        <v>4.0199999999999996</v>
      </c>
      <c r="J197" s="20" t="s">
        <v>1172</v>
      </c>
      <c r="K197" s="29">
        <v>92.03</v>
      </c>
      <c r="L197" s="29"/>
      <c r="M197" s="29"/>
      <c r="N197" s="19">
        <v>0.71</v>
      </c>
      <c r="V197" s="29"/>
      <c r="W197" s="29"/>
      <c r="X197" s="29"/>
      <c r="Y197" s="29"/>
      <c r="Z197" s="29"/>
      <c r="AA197" s="19"/>
      <c r="AI197" s="29"/>
      <c r="AL197" s="29"/>
      <c r="AO197" s="20">
        <v>3</v>
      </c>
    </row>
    <row r="198" spans="1:41">
      <c r="A198" s="19">
        <f t="shared" si="141"/>
        <v>197</v>
      </c>
      <c r="B198" s="29" t="s">
        <v>197</v>
      </c>
      <c r="C198" s="29">
        <v>4</v>
      </c>
      <c r="D198" s="29" t="s">
        <v>939</v>
      </c>
      <c r="E198" s="29" t="s">
        <v>275</v>
      </c>
      <c r="F198" s="19"/>
      <c r="G198" s="29"/>
      <c r="H198" s="29"/>
      <c r="I198" s="19">
        <v>4.07</v>
      </c>
      <c r="J198" s="20" t="s">
        <v>1172</v>
      </c>
      <c r="K198" s="29">
        <v>93.79</v>
      </c>
      <c r="L198" s="29"/>
      <c r="M198" s="29"/>
      <c r="N198" s="19">
        <v>1.41</v>
      </c>
      <c r="V198" s="29"/>
      <c r="W198" s="29"/>
      <c r="X198" s="29"/>
      <c r="Y198" s="29"/>
      <c r="Z198" s="29"/>
      <c r="AA198" s="19"/>
      <c r="AI198" s="29"/>
      <c r="AL198" s="29"/>
      <c r="AO198" s="20">
        <v>3</v>
      </c>
    </row>
    <row r="199" spans="1:41">
      <c r="A199" s="19">
        <f t="shared" si="141"/>
        <v>198</v>
      </c>
      <c r="B199" s="29" t="s">
        <v>197</v>
      </c>
      <c r="C199" s="29">
        <v>4</v>
      </c>
      <c r="D199" s="29" t="s">
        <v>939</v>
      </c>
      <c r="E199" s="29" t="s">
        <v>276</v>
      </c>
      <c r="F199" s="19"/>
      <c r="G199" s="29"/>
      <c r="H199" s="29"/>
      <c r="I199" s="19">
        <v>3.17</v>
      </c>
      <c r="J199" s="20" t="s">
        <v>1172</v>
      </c>
      <c r="K199" s="29">
        <v>58.58</v>
      </c>
      <c r="L199" s="29"/>
      <c r="M199" s="29"/>
      <c r="N199" s="19">
        <v>1.5</v>
      </c>
      <c r="V199" s="29"/>
      <c r="W199" s="29"/>
      <c r="X199" s="29"/>
      <c r="Y199" s="29"/>
      <c r="Z199" s="29"/>
      <c r="AA199" s="19"/>
      <c r="AI199" s="29"/>
      <c r="AL199" s="29"/>
      <c r="AO199" s="20">
        <v>3</v>
      </c>
    </row>
    <row r="200" spans="1:41">
      <c r="A200" s="19">
        <f t="shared" si="141"/>
        <v>199</v>
      </c>
      <c r="B200" s="29" t="s">
        <v>197</v>
      </c>
      <c r="C200" s="29">
        <v>4</v>
      </c>
      <c r="D200" s="29" t="s">
        <v>939</v>
      </c>
      <c r="E200" s="29" t="s">
        <v>229</v>
      </c>
      <c r="F200" s="19" t="s">
        <v>376</v>
      </c>
      <c r="G200" s="29"/>
      <c r="H200" s="29"/>
      <c r="I200" s="19">
        <v>3.75</v>
      </c>
      <c r="J200" s="20" t="s">
        <v>1172</v>
      </c>
      <c r="K200" s="29">
        <v>81.67</v>
      </c>
      <c r="L200" s="29"/>
      <c r="M200" s="29"/>
      <c r="N200" s="19">
        <v>0.77</v>
      </c>
      <c r="V200" s="29"/>
      <c r="W200" s="29"/>
      <c r="X200" s="29"/>
      <c r="Y200" s="29"/>
      <c r="Z200" s="29"/>
      <c r="AA200" s="19"/>
      <c r="AI200" s="29"/>
      <c r="AL200" s="29"/>
      <c r="AO200" s="20">
        <v>3</v>
      </c>
    </row>
    <row r="201" spans="1:41">
      <c r="A201" s="19">
        <f t="shared" si="141"/>
        <v>200</v>
      </c>
      <c r="B201" s="29" t="s">
        <v>197</v>
      </c>
      <c r="C201" s="29">
        <v>4</v>
      </c>
      <c r="D201" s="29" t="s">
        <v>939</v>
      </c>
      <c r="E201" s="29" t="s">
        <v>277</v>
      </c>
      <c r="F201" s="19"/>
      <c r="G201" s="29"/>
      <c r="H201" s="29"/>
      <c r="I201" s="19">
        <v>3.7</v>
      </c>
      <c r="J201" s="20" t="s">
        <v>1172</v>
      </c>
      <c r="K201" s="29">
        <v>78.66</v>
      </c>
      <c r="L201" s="29"/>
      <c r="M201" s="29"/>
      <c r="N201" s="19">
        <v>2.2599999999999998</v>
      </c>
      <c r="V201" s="29"/>
      <c r="W201" s="29"/>
      <c r="X201" s="29"/>
      <c r="Y201" s="29"/>
      <c r="Z201" s="29"/>
      <c r="AA201" s="19"/>
      <c r="AI201" s="29"/>
      <c r="AL201" s="29"/>
      <c r="AO201" s="20">
        <v>3</v>
      </c>
    </row>
    <row r="202" spans="1:41">
      <c r="A202" s="19">
        <f t="shared" si="141"/>
        <v>201</v>
      </c>
      <c r="B202" s="29" t="s">
        <v>197</v>
      </c>
      <c r="C202" s="29">
        <v>4</v>
      </c>
      <c r="D202" s="29" t="s">
        <v>939</v>
      </c>
      <c r="E202" s="29" t="s">
        <v>278</v>
      </c>
      <c r="F202" s="19"/>
      <c r="G202" s="29"/>
      <c r="H202" s="29"/>
      <c r="I202" s="19">
        <v>3.82</v>
      </c>
      <c r="J202" s="20" t="s">
        <v>1172</v>
      </c>
      <c r="K202" s="29">
        <v>84.46</v>
      </c>
      <c r="L202" s="29"/>
      <c r="M202" s="29"/>
      <c r="N202" s="19">
        <v>1.53</v>
      </c>
      <c r="V202" s="29"/>
      <c r="W202" s="29"/>
      <c r="X202" s="29"/>
      <c r="Y202" s="29"/>
      <c r="Z202" s="29"/>
      <c r="AA202" s="19"/>
      <c r="AI202" s="29"/>
      <c r="AL202" s="29"/>
      <c r="AO202" s="20">
        <v>3</v>
      </c>
    </row>
    <row r="203" spans="1:41">
      <c r="A203" s="19">
        <f t="shared" si="141"/>
        <v>202</v>
      </c>
      <c r="B203" s="29" t="s">
        <v>197</v>
      </c>
      <c r="C203" s="29">
        <v>4</v>
      </c>
      <c r="D203" s="29" t="s">
        <v>939</v>
      </c>
      <c r="E203" s="29" t="s">
        <v>279</v>
      </c>
      <c r="F203" s="19"/>
      <c r="G203" s="29"/>
      <c r="H203" s="29"/>
      <c r="I203" s="19">
        <v>4.0199999999999996</v>
      </c>
      <c r="J203" s="20" t="s">
        <v>1172</v>
      </c>
      <c r="K203" s="29">
        <v>91</v>
      </c>
      <c r="L203" s="29"/>
      <c r="M203" s="29"/>
      <c r="N203" s="19">
        <v>1</v>
      </c>
      <c r="V203" s="29"/>
      <c r="W203" s="29"/>
      <c r="X203" s="29"/>
      <c r="Y203" s="29"/>
      <c r="Z203" s="29"/>
      <c r="AA203" s="19"/>
      <c r="AI203" s="29"/>
      <c r="AL203" s="29"/>
      <c r="AO203" s="20">
        <v>3</v>
      </c>
    </row>
    <row r="204" spans="1:41">
      <c r="A204" s="19">
        <f t="shared" si="141"/>
        <v>203</v>
      </c>
      <c r="B204" s="29" t="s">
        <v>197</v>
      </c>
      <c r="C204" s="29">
        <v>4</v>
      </c>
      <c r="D204" s="29" t="s">
        <v>939</v>
      </c>
      <c r="E204" s="29" t="s">
        <v>245</v>
      </c>
      <c r="F204" s="19" t="s">
        <v>379</v>
      </c>
      <c r="G204" s="29"/>
      <c r="H204" s="29"/>
      <c r="I204" s="19">
        <v>4.09</v>
      </c>
      <c r="J204" s="20" t="s">
        <v>1172</v>
      </c>
      <c r="K204" s="29">
        <v>95.89</v>
      </c>
      <c r="L204" s="29"/>
      <c r="M204" s="29"/>
      <c r="N204" s="19">
        <v>0.48</v>
      </c>
      <c r="O204" s="20">
        <f>SUM(K204:N204)</f>
        <v>96.37</v>
      </c>
      <c r="Q204" s="29"/>
      <c r="R204" s="29"/>
      <c r="S204" s="19"/>
      <c r="V204" s="29"/>
      <c r="W204" s="29"/>
      <c r="X204" s="29"/>
      <c r="Y204" s="29"/>
      <c r="Z204" s="29"/>
      <c r="AA204" s="19"/>
      <c r="AJ204" s="29"/>
      <c r="AM204" s="29"/>
      <c r="AO204" s="20">
        <v>3</v>
      </c>
    </row>
    <row r="205" spans="1:41">
      <c r="A205" s="19">
        <f t="shared" si="141"/>
        <v>204</v>
      </c>
      <c r="B205" s="29" t="s">
        <v>197</v>
      </c>
      <c r="C205" s="29">
        <v>4</v>
      </c>
      <c r="D205" s="29" t="s">
        <v>939</v>
      </c>
      <c r="E205" s="29" t="s">
        <v>280</v>
      </c>
      <c r="F205" s="19"/>
      <c r="G205" s="29"/>
      <c r="H205" s="29"/>
      <c r="I205" s="19">
        <v>3.77</v>
      </c>
      <c r="J205" s="20" t="s">
        <v>1172</v>
      </c>
      <c r="K205" s="29">
        <v>83</v>
      </c>
      <c r="L205" s="29"/>
      <c r="M205" s="29"/>
      <c r="N205" s="19">
        <v>1.05</v>
      </c>
      <c r="V205" s="29"/>
      <c r="W205" s="29"/>
      <c r="X205" s="29"/>
      <c r="Y205" s="29"/>
      <c r="Z205" s="29"/>
      <c r="AA205" s="19"/>
      <c r="AI205" s="29"/>
      <c r="AL205" s="29"/>
      <c r="AO205" s="20">
        <v>3</v>
      </c>
    </row>
    <row r="206" spans="1:41">
      <c r="A206" s="19">
        <f t="shared" si="141"/>
        <v>205</v>
      </c>
      <c r="B206" s="29" t="s">
        <v>197</v>
      </c>
      <c r="C206" s="29">
        <v>4</v>
      </c>
      <c r="D206" s="29" t="s">
        <v>939</v>
      </c>
      <c r="E206" s="29" t="s">
        <v>281</v>
      </c>
      <c r="F206" s="19"/>
      <c r="G206" s="29"/>
      <c r="H206" s="29"/>
      <c r="I206" s="19">
        <v>3.99</v>
      </c>
      <c r="J206" s="20" t="s">
        <v>1172</v>
      </c>
      <c r="K206" s="29">
        <v>91.81</v>
      </c>
      <c r="L206" s="29"/>
      <c r="M206" s="29"/>
      <c r="N206" s="19">
        <v>0.89</v>
      </c>
      <c r="V206" s="29"/>
      <c r="W206" s="29"/>
      <c r="X206" s="29"/>
      <c r="Y206" s="29"/>
      <c r="Z206" s="29"/>
      <c r="AA206" s="19"/>
      <c r="AI206" s="29"/>
      <c r="AL206" s="29"/>
      <c r="AO206" s="20">
        <v>3</v>
      </c>
    </row>
    <row r="207" spans="1:41">
      <c r="A207" s="19">
        <f t="shared" si="141"/>
        <v>206</v>
      </c>
      <c r="B207" s="29" t="s">
        <v>197</v>
      </c>
      <c r="C207" s="29">
        <v>4</v>
      </c>
      <c r="D207" s="29" t="s">
        <v>939</v>
      </c>
      <c r="E207" s="29" t="s">
        <v>282</v>
      </c>
      <c r="F207" s="19"/>
      <c r="G207" s="29"/>
      <c r="H207" s="29"/>
      <c r="I207" s="19">
        <v>3.97</v>
      </c>
      <c r="J207" s="20" t="s">
        <v>1172</v>
      </c>
      <c r="K207" s="29">
        <v>89.58</v>
      </c>
      <c r="L207" s="29"/>
      <c r="M207" s="29"/>
      <c r="N207" s="19">
        <v>0.7</v>
      </c>
      <c r="V207" s="29"/>
      <c r="W207" s="29"/>
      <c r="X207" s="29"/>
      <c r="Y207" s="29"/>
      <c r="Z207" s="29"/>
      <c r="AA207" s="19"/>
      <c r="AI207" s="29"/>
      <c r="AL207" s="29"/>
      <c r="AO207" s="20">
        <v>3</v>
      </c>
    </row>
    <row r="208" spans="1:41">
      <c r="A208" s="19">
        <f t="shared" si="141"/>
        <v>207</v>
      </c>
      <c r="B208" s="29" t="s">
        <v>197</v>
      </c>
      <c r="C208" s="29">
        <v>4</v>
      </c>
      <c r="D208" s="29" t="s">
        <v>939</v>
      </c>
      <c r="E208" s="29" t="s">
        <v>283</v>
      </c>
      <c r="F208" s="19"/>
      <c r="G208" s="29"/>
      <c r="H208" s="29"/>
      <c r="I208" s="19">
        <v>3.95</v>
      </c>
      <c r="J208" s="20" t="s">
        <v>1172</v>
      </c>
      <c r="K208" s="29">
        <v>89.68</v>
      </c>
      <c r="L208" s="29"/>
      <c r="M208" s="29"/>
      <c r="N208" s="19">
        <v>0.37</v>
      </c>
      <c r="V208" s="29"/>
      <c r="W208" s="29"/>
      <c r="X208" s="29"/>
      <c r="Y208" s="29"/>
      <c r="Z208" s="29"/>
      <c r="AA208" s="19"/>
      <c r="AI208" s="29"/>
      <c r="AL208" s="29"/>
      <c r="AO208" s="20">
        <v>3</v>
      </c>
    </row>
    <row r="209" spans="1:41">
      <c r="A209" s="19">
        <f t="shared" si="141"/>
        <v>208</v>
      </c>
      <c r="B209" s="29" t="s">
        <v>197</v>
      </c>
      <c r="C209" s="29">
        <v>4</v>
      </c>
      <c r="D209" s="29" t="s">
        <v>939</v>
      </c>
      <c r="E209" s="29" t="s">
        <v>283</v>
      </c>
      <c r="F209" s="19" t="s">
        <v>385</v>
      </c>
      <c r="G209" s="29"/>
      <c r="H209" s="29"/>
      <c r="I209" s="19"/>
      <c r="J209" s="20" t="s">
        <v>1172</v>
      </c>
      <c r="K209" s="29">
        <v>3.93</v>
      </c>
      <c r="L209" s="29"/>
      <c r="M209" s="29"/>
      <c r="N209" s="19">
        <v>3.38</v>
      </c>
      <c r="V209" s="29"/>
      <c r="W209" s="29"/>
      <c r="X209" s="29"/>
      <c r="Y209" s="29"/>
      <c r="Z209" s="29"/>
      <c r="AA209" s="19"/>
      <c r="AI209" s="29"/>
      <c r="AL209" s="29"/>
      <c r="AO209" s="20">
        <v>3</v>
      </c>
    </row>
    <row r="210" spans="1:41">
      <c r="A210" s="19">
        <f t="shared" si="141"/>
        <v>209</v>
      </c>
      <c r="B210" s="29" t="s">
        <v>197</v>
      </c>
      <c r="C210" s="29">
        <v>4</v>
      </c>
      <c r="D210" s="29" t="s">
        <v>939</v>
      </c>
      <c r="E210" s="29" t="s">
        <v>284</v>
      </c>
      <c r="F210" s="19"/>
      <c r="G210" s="29"/>
      <c r="H210" s="29"/>
      <c r="I210" s="19">
        <v>3.93</v>
      </c>
      <c r="J210" s="20" t="s">
        <v>1172</v>
      </c>
      <c r="K210" s="29">
        <v>87.71</v>
      </c>
      <c r="L210" s="29"/>
      <c r="M210" s="29"/>
      <c r="N210" s="19">
        <v>87.71</v>
      </c>
      <c r="V210" s="29"/>
      <c r="W210" s="29"/>
      <c r="X210" s="29"/>
      <c r="Y210" s="29"/>
      <c r="Z210" s="29"/>
      <c r="AA210" s="19"/>
      <c r="AI210" s="29"/>
      <c r="AL210" s="29"/>
      <c r="AO210" s="20">
        <v>3</v>
      </c>
    </row>
    <row r="211" spans="1:41">
      <c r="A211" s="19">
        <f t="shared" si="141"/>
        <v>210</v>
      </c>
      <c r="B211" s="29" t="s">
        <v>197</v>
      </c>
      <c r="C211" s="29">
        <v>4</v>
      </c>
      <c r="D211" s="29" t="s">
        <v>939</v>
      </c>
      <c r="E211" s="29" t="s">
        <v>285</v>
      </c>
      <c r="F211" s="19"/>
      <c r="G211" s="29"/>
      <c r="H211" s="29"/>
      <c r="I211" s="19">
        <v>3.74</v>
      </c>
      <c r="J211" s="20" t="s">
        <v>1172</v>
      </c>
      <c r="K211" s="29">
        <v>79.53</v>
      </c>
      <c r="L211" s="29"/>
      <c r="M211" s="29"/>
      <c r="N211" s="19">
        <v>0.98</v>
      </c>
      <c r="V211" s="29"/>
      <c r="W211" s="29"/>
      <c r="X211" s="29"/>
      <c r="Y211" s="29"/>
      <c r="Z211" s="29"/>
      <c r="AA211" s="19"/>
      <c r="AI211" s="29"/>
      <c r="AL211" s="29"/>
      <c r="AO211" s="20">
        <v>3</v>
      </c>
    </row>
    <row r="212" spans="1:41">
      <c r="A212" s="19">
        <f t="shared" si="141"/>
        <v>211</v>
      </c>
      <c r="B212" s="29" t="s">
        <v>197</v>
      </c>
      <c r="C212" s="29">
        <v>4</v>
      </c>
      <c r="D212" s="29" t="s">
        <v>939</v>
      </c>
      <c r="E212" s="29" t="s">
        <v>246</v>
      </c>
      <c r="F212" s="19" t="s">
        <v>380</v>
      </c>
      <c r="G212" s="29"/>
      <c r="H212" s="29"/>
      <c r="I212" s="19">
        <v>3.75</v>
      </c>
      <c r="J212" s="20" t="s">
        <v>1172</v>
      </c>
      <c r="K212" s="29">
        <v>78.86</v>
      </c>
      <c r="L212" s="29"/>
      <c r="M212" s="29"/>
      <c r="N212" s="19">
        <v>0.87</v>
      </c>
      <c r="O212" s="20">
        <f>SUM(K212:N212)</f>
        <v>79.73</v>
      </c>
      <c r="V212" s="29"/>
      <c r="W212" s="29"/>
      <c r="X212" s="29"/>
      <c r="Y212" s="29"/>
      <c r="Z212" s="29"/>
      <c r="AA212" s="19"/>
      <c r="AJ212" s="29"/>
      <c r="AM212" s="29"/>
      <c r="AO212" s="20">
        <v>3</v>
      </c>
    </row>
    <row r="213" spans="1:41">
      <c r="A213" s="19">
        <f t="shared" si="141"/>
        <v>212</v>
      </c>
      <c r="B213" s="29" t="s">
        <v>197</v>
      </c>
      <c r="C213" s="29">
        <v>4</v>
      </c>
      <c r="D213" s="29" t="s">
        <v>939</v>
      </c>
      <c r="E213" s="29" t="s">
        <v>286</v>
      </c>
      <c r="F213" s="19" t="s">
        <v>386</v>
      </c>
      <c r="G213" s="29"/>
      <c r="H213" s="29"/>
      <c r="I213" s="19"/>
      <c r="J213" s="20" t="s">
        <v>1172</v>
      </c>
      <c r="K213" s="29">
        <v>2</v>
      </c>
      <c r="L213" s="29"/>
      <c r="M213" s="29"/>
      <c r="N213" s="19">
        <v>8.4</v>
      </c>
      <c r="V213" s="29"/>
      <c r="W213" s="29"/>
      <c r="X213" s="29"/>
      <c r="Y213" s="29"/>
      <c r="Z213" s="29"/>
      <c r="AA213" s="19"/>
      <c r="AI213" s="29"/>
      <c r="AL213" s="29"/>
      <c r="AO213" s="20">
        <v>3</v>
      </c>
    </row>
    <row r="214" spans="1:41">
      <c r="A214" s="19">
        <f t="shared" si="141"/>
        <v>213</v>
      </c>
      <c r="B214" s="29" t="s">
        <v>197</v>
      </c>
      <c r="C214" s="29">
        <v>4</v>
      </c>
      <c r="D214" s="29" t="s">
        <v>939</v>
      </c>
      <c r="E214" s="29" t="s">
        <v>286</v>
      </c>
      <c r="F214" s="19" t="s">
        <v>387</v>
      </c>
      <c r="G214" s="29"/>
      <c r="H214" s="29"/>
      <c r="I214" s="19">
        <v>4.01</v>
      </c>
      <c r="J214" s="20" t="s">
        <v>1172</v>
      </c>
      <c r="K214" s="29">
        <v>92.19</v>
      </c>
      <c r="L214" s="29"/>
      <c r="M214" s="29"/>
      <c r="N214" s="19">
        <v>0.3</v>
      </c>
      <c r="V214" s="29"/>
      <c r="W214" s="29"/>
      <c r="X214" s="29"/>
      <c r="Y214" s="29"/>
      <c r="Z214" s="29"/>
      <c r="AA214" s="19"/>
      <c r="AI214" s="29"/>
      <c r="AL214" s="29"/>
      <c r="AO214" s="20">
        <v>3</v>
      </c>
    </row>
    <row r="215" spans="1:41">
      <c r="A215" s="19">
        <f t="shared" si="141"/>
        <v>214</v>
      </c>
      <c r="B215" s="29" t="s">
        <v>197</v>
      </c>
      <c r="C215" s="29">
        <v>4</v>
      </c>
      <c r="D215" s="29" t="s">
        <v>939</v>
      </c>
      <c r="E215" s="29" t="s">
        <v>240</v>
      </c>
      <c r="F215" s="19" t="s">
        <v>381</v>
      </c>
      <c r="G215" s="29"/>
      <c r="H215" s="29"/>
      <c r="I215" s="19">
        <v>3.67</v>
      </c>
      <c r="J215" s="20" t="s">
        <v>1172</v>
      </c>
      <c r="K215" s="29">
        <v>78.959999999999994</v>
      </c>
      <c r="L215" s="29"/>
      <c r="M215" s="29"/>
      <c r="N215" s="19">
        <v>0.89</v>
      </c>
      <c r="O215" s="20">
        <f>SUM(K215:N215)</f>
        <v>79.849999999999994</v>
      </c>
      <c r="V215" s="29"/>
      <c r="W215" s="29"/>
      <c r="X215" s="29"/>
      <c r="Y215" s="29"/>
      <c r="Z215" s="29"/>
      <c r="AA215" s="19"/>
      <c r="AC215" s="29"/>
      <c r="AD215" s="29"/>
      <c r="AE215" s="29"/>
      <c r="AF215" s="29"/>
      <c r="AG215" s="29"/>
      <c r="AJ215" s="29"/>
      <c r="AM215" s="29"/>
      <c r="AO215" s="20">
        <v>3</v>
      </c>
    </row>
    <row r="216" spans="1:41">
      <c r="A216" s="19">
        <f t="shared" si="141"/>
        <v>215</v>
      </c>
      <c r="B216" s="29" t="s">
        <v>197</v>
      </c>
      <c r="C216" s="29">
        <v>4</v>
      </c>
      <c r="D216" s="29" t="s">
        <v>939</v>
      </c>
      <c r="E216" s="29" t="s">
        <v>240</v>
      </c>
      <c r="F216" s="19" t="s">
        <v>409</v>
      </c>
      <c r="G216" s="29"/>
      <c r="H216" s="29"/>
      <c r="I216" s="19">
        <v>3.48</v>
      </c>
      <c r="J216" s="20" t="s">
        <v>1172</v>
      </c>
      <c r="K216" s="29">
        <v>72.84</v>
      </c>
      <c r="L216" s="29"/>
      <c r="M216" s="29"/>
      <c r="N216" s="19">
        <v>0.95</v>
      </c>
      <c r="V216" s="29"/>
      <c r="W216" s="29"/>
      <c r="X216" s="29"/>
      <c r="Y216" s="29"/>
      <c r="Z216" s="29"/>
      <c r="AA216" s="19"/>
      <c r="AI216" s="29"/>
      <c r="AL216" s="29"/>
      <c r="AO216" s="20">
        <v>3</v>
      </c>
    </row>
    <row r="217" spans="1:41">
      <c r="A217" s="19">
        <f t="shared" si="141"/>
        <v>216</v>
      </c>
      <c r="B217" s="29" t="s">
        <v>197</v>
      </c>
      <c r="C217" s="29">
        <v>4</v>
      </c>
      <c r="D217" s="29" t="s">
        <v>939</v>
      </c>
      <c r="E217" s="29" t="s">
        <v>287</v>
      </c>
      <c r="F217" s="19"/>
      <c r="G217" s="29"/>
      <c r="H217" s="29"/>
      <c r="I217" s="19">
        <v>3.97</v>
      </c>
      <c r="J217" s="20" t="s">
        <v>1172</v>
      </c>
      <c r="K217" s="29">
        <v>91.6</v>
      </c>
      <c r="L217" s="29"/>
      <c r="M217" s="29"/>
      <c r="N217" s="19">
        <v>0.8</v>
      </c>
      <c r="V217" s="29"/>
      <c r="W217" s="29"/>
      <c r="X217" s="29"/>
      <c r="Y217" s="29"/>
      <c r="Z217" s="29"/>
      <c r="AA217" s="19"/>
      <c r="AI217" s="29"/>
      <c r="AL217" s="29"/>
      <c r="AO217" s="20">
        <v>3</v>
      </c>
    </row>
    <row r="218" spans="1:41">
      <c r="A218" s="19">
        <f t="shared" si="141"/>
        <v>217</v>
      </c>
      <c r="B218" s="29" t="s">
        <v>197</v>
      </c>
      <c r="C218" s="29">
        <v>4</v>
      </c>
      <c r="D218" s="29" t="s">
        <v>939</v>
      </c>
      <c r="E218" s="29" t="s">
        <v>288</v>
      </c>
      <c r="F218" s="19"/>
      <c r="G218" s="29"/>
      <c r="H218" s="29"/>
      <c r="I218" s="19">
        <v>4.08</v>
      </c>
      <c r="J218" s="20" t="s">
        <v>1172</v>
      </c>
      <c r="K218" s="29">
        <v>94.84</v>
      </c>
      <c r="L218" s="29"/>
      <c r="M218" s="29"/>
      <c r="N218" s="19">
        <v>0.54</v>
      </c>
      <c r="V218" s="29"/>
      <c r="W218" s="29"/>
      <c r="X218" s="29"/>
      <c r="Y218" s="29"/>
      <c r="Z218" s="29"/>
      <c r="AA218" s="19"/>
      <c r="AI218" s="29"/>
      <c r="AL218" s="29"/>
      <c r="AO218" s="20">
        <v>3</v>
      </c>
    </row>
    <row r="219" spans="1:41">
      <c r="A219" s="19">
        <f t="shared" si="141"/>
        <v>218</v>
      </c>
      <c r="B219" s="29" t="s">
        <v>197</v>
      </c>
      <c r="C219" s="29">
        <v>4</v>
      </c>
      <c r="D219" s="29" t="s">
        <v>939</v>
      </c>
      <c r="E219" s="29" t="s">
        <v>289</v>
      </c>
      <c r="F219" s="19"/>
      <c r="G219" s="29"/>
      <c r="H219" s="29"/>
      <c r="I219" s="19">
        <v>4.05</v>
      </c>
      <c r="J219" s="20" t="s">
        <v>1172</v>
      </c>
      <c r="K219" s="29">
        <v>93.61</v>
      </c>
      <c r="L219" s="29"/>
      <c r="M219" s="29"/>
      <c r="N219" s="19">
        <v>0.76</v>
      </c>
      <c r="V219" s="29"/>
      <c r="W219" s="29"/>
      <c r="X219" s="29"/>
      <c r="Y219" s="29"/>
      <c r="Z219" s="29"/>
      <c r="AA219" s="19"/>
      <c r="AI219" s="29"/>
      <c r="AL219" s="29"/>
      <c r="AO219" s="20">
        <v>3</v>
      </c>
    </row>
    <row r="220" spans="1:41">
      <c r="A220" s="19">
        <f t="shared" si="141"/>
        <v>219</v>
      </c>
      <c r="B220" s="29" t="s">
        <v>197</v>
      </c>
      <c r="C220" s="29">
        <v>4</v>
      </c>
      <c r="D220" s="29" t="s">
        <v>939</v>
      </c>
      <c r="E220" s="29" t="s">
        <v>290</v>
      </c>
      <c r="F220" s="19"/>
      <c r="G220" s="29"/>
      <c r="H220" s="29"/>
      <c r="I220" s="19">
        <v>3.96</v>
      </c>
      <c r="J220" s="20" t="s">
        <v>1172</v>
      </c>
      <c r="K220" s="29">
        <v>89.66</v>
      </c>
      <c r="L220" s="29"/>
      <c r="M220" s="29"/>
      <c r="N220" s="19">
        <v>0.81</v>
      </c>
      <c r="V220" s="29"/>
      <c r="W220" s="29"/>
      <c r="X220" s="29"/>
      <c r="Y220" s="29"/>
      <c r="Z220" s="29"/>
      <c r="AA220" s="19"/>
      <c r="AI220" s="29"/>
      <c r="AL220" s="29"/>
      <c r="AO220" s="20">
        <v>3</v>
      </c>
    </row>
    <row r="221" spans="1:41">
      <c r="A221" s="19">
        <f t="shared" si="141"/>
        <v>220</v>
      </c>
      <c r="B221" s="29" t="s">
        <v>197</v>
      </c>
      <c r="C221" s="29">
        <v>4</v>
      </c>
      <c r="D221" s="29" t="s">
        <v>939</v>
      </c>
      <c r="E221" s="29" t="s">
        <v>291</v>
      </c>
      <c r="F221" s="19" t="s">
        <v>388</v>
      </c>
      <c r="G221" s="29"/>
      <c r="H221" s="29"/>
      <c r="I221" s="19">
        <v>3.65</v>
      </c>
      <c r="J221" s="20" t="s">
        <v>1172</v>
      </c>
      <c r="K221" s="29">
        <v>77</v>
      </c>
      <c r="L221" s="29"/>
      <c r="M221" s="29"/>
      <c r="N221" s="19">
        <v>0.9</v>
      </c>
      <c r="V221" s="29"/>
      <c r="W221" s="29"/>
      <c r="X221" s="29"/>
      <c r="Y221" s="29"/>
      <c r="Z221" s="29"/>
      <c r="AA221" s="19"/>
      <c r="AI221" s="29"/>
      <c r="AL221" s="29"/>
      <c r="AO221" s="20">
        <v>3</v>
      </c>
    </row>
    <row r="222" spans="1:41">
      <c r="A222" s="19">
        <f t="shared" si="141"/>
        <v>221</v>
      </c>
      <c r="B222" s="29" t="s">
        <v>197</v>
      </c>
      <c r="C222" s="29">
        <v>4</v>
      </c>
      <c r="D222" s="29" t="s">
        <v>939</v>
      </c>
      <c r="E222" s="29" t="s">
        <v>242</v>
      </c>
      <c r="F222" s="19"/>
      <c r="G222" s="29"/>
      <c r="H222" s="29"/>
      <c r="I222" s="19">
        <v>4.0199999999999996</v>
      </c>
      <c r="J222" s="20" t="s">
        <v>1172</v>
      </c>
      <c r="K222" s="29">
        <v>91.58</v>
      </c>
      <c r="L222" s="29"/>
      <c r="M222" s="29"/>
      <c r="N222" s="19">
        <v>1.72</v>
      </c>
      <c r="Q222" s="29"/>
      <c r="R222" s="29"/>
      <c r="S222" s="19"/>
      <c r="V222" s="29"/>
      <c r="W222" s="29"/>
      <c r="X222" s="29"/>
      <c r="Y222" s="29"/>
      <c r="Z222" s="29"/>
      <c r="AA222" s="19"/>
      <c r="AC222" s="29"/>
      <c r="AD222" s="29"/>
      <c r="AE222" s="29"/>
      <c r="AF222" s="29"/>
      <c r="AG222" s="29"/>
      <c r="AI222" s="29"/>
      <c r="AL222" s="29"/>
      <c r="AO222" s="20">
        <v>3</v>
      </c>
    </row>
    <row r="223" spans="1:41">
      <c r="A223" s="19">
        <f t="shared" si="141"/>
        <v>222</v>
      </c>
      <c r="B223" s="29" t="s">
        <v>197</v>
      </c>
      <c r="C223" s="29">
        <v>4</v>
      </c>
      <c r="D223" s="29" t="s">
        <v>939</v>
      </c>
      <c r="E223" s="29" t="s">
        <v>292</v>
      </c>
      <c r="F223" s="19" t="s">
        <v>389</v>
      </c>
      <c r="G223" s="29"/>
      <c r="H223" s="29"/>
      <c r="I223" s="19">
        <v>4.07</v>
      </c>
      <c r="J223" s="20" t="s">
        <v>1172</v>
      </c>
      <c r="K223" s="29">
        <v>94.2</v>
      </c>
      <c r="L223" s="29"/>
      <c r="M223" s="29"/>
      <c r="N223" s="19">
        <v>0.57999999999999996</v>
      </c>
      <c r="V223" s="29"/>
      <c r="W223" s="29"/>
      <c r="X223" s="29"/>
      <c r="Y223" s="29"/>
      <c r="Z223" s="29"/>
      <c r="AA223" s="19"/>
      <c r="AI223" s="29"/>
      <c r="AL223" s="29"/>
      <c r="AO223" s="20">
        <v>3</v>
      </c>
    </row>
    <row r="224" spans="1:41">
      <c r="A224" s="19">
        <f t="shared" si="141"/>
        <v>223</v>
      </c>
      <c r="B224" s="29" t="s">
        <v>197</v>
      </c>
      <c r="C224" s="29">
        <v>4</v>
      </c>
      <c r="D224" s="29" t="s">
        <v>939</v>
      </c>
      <c r="E224" s="29" t="s">
        <v>292</v>
      </c>
      <c r="F224" s="19" t="s">
        <v>390</v>
      </c>
      <c r="G224" s="29"/>
      <c r="H224" s="29"/>
      <c r="I224" s="19">
        <v>3.89</v>
      </c>
      <c r="J224" s="20" t="s">
        <v>1172</v>
      </c>
      <c r="K224" s="29">
        <v>87.78</v>
      </c>
      <c r="L224" s="29"/>
      <c r="M224" s="29"/>
      <c r="N224" s="19">
        <v>0.9</v>
      </c>
      <c r="V224" s="29"/>
      <c r="W224" s="29"/>
      <c r="X224" s="29"/>
      <c r="Y224" s="29"/>
      <c r="Z224" s="29"/>
      <c r="AA224" s="19"/>
      <c r="AI224" s="29"/>
      <c r="AL224" s="29"/>
      <c r="AO224" s="20">
        <v>3</v>
      </c>
    </row>
    <row r="225" spans="1:41">
      <c r="A225" s="19">
        <f t="shared" si="141"/>
        <v>224</v>
      </c>
      <c r="B225" s="29" t="s">
        <v>197</v>
      </c>
      <c r="C225" s="29">
        <v>4</v>
      </c>
      <c r="D225" s="29" t="s">
        <v>939</v>
      </c>
      <c r="E225" s="29" t="s">
        <v>293</v>
      </c>
      <c r="F225" s="19" t="s">
        <v>410</v>
      </c>
      <c r="G225" s="29"/>
      <c r="H225" s="29"/>
      <c r="I225" s="19">
        <v>4.0199999999999996</v>
      </c>
      <c r="J225" s="20" t="s">
        <v>1172</v>
      </c>
      <c r="K225" s="29">
        <v>93</v>
      </c>
      <c r="L225" s="29"/>
      <c r="M225" s="29"/>
      <c r="N225" s="19">
        <v>0.5</v>
      </c>
      <c r="V225" s="29"/>
      <c r="W225" s="29"/>
      <c r="X225" s="29"/>
      <c r="Y225" s="29"/>
      <c r="Z225" s="29"/>
      <c r="AA225" s="19"/>
      <c r="AI225" s="29"/>
      <c r="AL225" s="29"/>
      <c r="AO225" s="20">
        <v>3</v>
      </c>
    </row>
    <row r="226" spans="1:41">
      <c r="A226" s="19">
        <f t="shared" si="141"/>
        <v>225</v>
      </c>
      <c r="B226" s="29" t="s">
        <v>197</v>
      </c>
      <c r="C226" s="29">
        <v>4</v>
      </c>
      <c r="D226" s="29" t="s">
        <v>939</v>
      </c>
      <c r="E226" s="29" t="s">
        <v>293</v>
      </c>
      <c r="F226" s="19" t="s">
        <v>391</v>
      </c>
      <c r="G226" s="29"/>
      <c r="H226" s="29"/>
      <c r="I226" s="19">
        <v>4.08</v>
      </c>
      <c r="J226" s="20" t="s">
        <v>1172</v>
      </c>
      <c r="K226" s="29">
        <v>93.76</v>
      </c>
      <c r="L226" s="29"/>
      <c r="M226" s="29"/>
      <c r="N226" s="19">
        <v>0.42</v>
      </c>
      <c r="V226" s="29"/>
      <c r="W226" s="29"/>
      <c r="X226" s="29"/>
      <c r="Y226" s="29"/>
      <c r="Z226" s="29"/>
      <c r="AA226" s="19"/>
      <c r="AI226" s="29"/>
      <c r="AL226" s="29"/>
      <c r="AO226" s="20">
        <v>3</v>
      </c>
    </row>
    <row r="227" spans="1:41">
      <c r="A227" s="19">
        <f t="shared" si="141"/>
        <v>226</v>
      </c>
      <c r="B227" s="29" t="s">
        <v>197</v>
      </c>
      <c r="C227" s="29">
        <v>4</v>
      </c>
      <c r="D227" s="29" t="s">
        <v>939</v>
      </c>
      <c r="E227" s="29" t="s">
        <v>294</v>
      </c>
      <c r="F227" s="19"/>
      <c r="G227" s="29"/>
      <c r="H227" s="29"/>
      <c r="I227" s="19">
        <v>4</v>
      </c>
      <c r="J227" s="20" t="s">
        <v>1172</v>
      </c>
      <c r="K227" s="29">
        <v>91.87</v>
      </c>
      <c r="L227" s="29"/>
      <c r="M227" s="29"/>
      <c r="N227" s="19">
        <v>0.7</v>
      </c>
      <c r="V227" s="29"/>
      <c r="W227" s="29"/>
      <c r="X227" s="29"/>
      <c r="Y227" s="29"/>
      <c r="Z227" s="29"/>
      <c r="AA227" s="19"/>
      <c r="AI227" s="29"/>
      <c r="AL227" s="29"/>
      <c r="AO227" s="20">
        <v>3</v>
      </c>
    </row>
    <row r="228" spans="1:41">
      <c r="A228" s="19">
        <f t="shared" si="141"/>
        <v>227</v>
      </c>
      <c r="B228" s="29" t="s">
        <v>197</v>
      </c>
      <c r="C228" s="29">
        <v>4</v>
      </c>
      <c r="D228" s="29" t="s">
        <v>939</v>
      </c>
      <c r="E228" s="29" t="s">
        <v>294</v>
      </c>
      <c r="F228" s="19" t="s">
        <v>392</v>
      </c>
      <c r="G228" s="29"/>
      <c r="H228" s="29"/>
      <c r="I228" s="19">
        <v>4.01</v>
      </c>
      <c r="J228" s="20" t="s">
        <v>1172</v>
      </c>
      <c r="K228" s="29">
        <v>91.07</v>
      </c>
      <c r="L228" s="29"/>
      <c r="M228" s="29"/>
      <c r="N228" s="19">
        <v>1.4</v>
      </c>
      <c r="V228" s="29"/>
      <c r="W228" s="29"/>
      <c r="X228" s="29"/>
      <c r="Y228" s="29"/>
      <c r="Z228" s="29"/>
      <c r="AA228" s="19"/>
      <c r="AI228" s="29"/>
      <c r="AL228" s="29"/>
      <c r="AO228" s="20">
        <v>3</v>
      </c>
    </row>
    <row r="229" spans="1:41">
      <c r="A229" s="19">
        <f t="shared" si="141"/>
        <v>228</v>
      </c>
      <c r="B229" s="29" t="s">
        <v>197</v>
      </c>
      <c r="C229" s="29">
        <v>4</v>
      </c>
      <c r="D229" s="29" t="s">
        <v>939</v>
      </c>
      <c r="E229" s="29" t="s">
        <v>295</v>
      </c>
      <c r="F229" s="19"/>
      <c r="G229" s="29"/>
      <c r="H229" s="29"/>
      <c r="I229" s="19">
        <v>4.08</v>
      </c>
      <c r="J229" s="20" t="s">
        <v>1172</v>
      </c>
      <c r="K229" s="29">
        <v>95.11</v>
      </c>
      <c r="L229" s="29"/>
      <c r="M229" s="29"/>
      <c r="N229" s="19">
        <v>1.2</v>
      </c>
      <c r="V229" s="29"/>
      <c r="W229" s="29"/>
      <c r="X229" s="29"/>
      <c r="Y229" s="29"/>
      <c r="Z229" s="29"/>
      <c r="AA229" s="19"/>
      <c r="AI229" s="29"/>
      <c r="AL229" s="29"/>
      <c r="AO229" s="20">
        <v>3</v>
      </c>
    </row>
    <row r="230" spans="1:41">
      <c r="A230" s="19">
        <f t="shared" si="141"/>
        <v>229</v>
      </c>
      <c r="B230" s="29" t="s">
        <v>219</v>
      </c>
      <c r="C230" s="29">
        <v>4</v>
      </c>
      <c r="D230" s="29" t="s">
        <v>939</v>
      </c>
      <c r="E230" s="29" t="s">
        <v>296</v>
      </c>
      <c r="F230" s="19"/>
      <c r="G230" s="29"/>
      <c r="H230" s="29"/>
      <c r="I230" s="19">
        <v>3.47</v>
      </c>
      <c r="J230" s="20" t="s">
        <v>1172</v>
      </c>
      <c r="K230" s="29">
        <v>69.599999999999994</v>
      </c>
      <c r="L230" s="29"/>
      <c r="M230" s="29"/>
      <c r="N230" s="19">
        <v>0.82</v>
      </c>
      <c r="V230" s="29"/>
      <c r="W230" s="29"/>
      <c r="X230" s="29"/>
      <c r="Y230" s="29"/>
      <c r="Z230" s="29"/>
      <c r="AA230" s="19"/>
      <c r="AI230" s="29"/>
      <c r="AL230" s="29"/>
      <c r="AO230" s="20">
        <v>3</v>
      </c>
    </row>
    <row r="231" spans="1:41">
      <c r="A231" s="19">
        <f t="shared" si="141"/>
        <v>230</v>
      </c>
      <c r="B231" s="29" t="s">
        <v>197</v>
      </c>
      <c r="C231" s="29">
        <v>4</v>
      </c>
      <c r="D231" s="29" t="s">
        <v>939</v>
      </c>
      <c r="E231" s="29" t="s">
        <v>301</v>
      </c>
      <c r="F231" s="19" t="s">
        <v>400</v>
      </c>
      <c r="G231" s="29"/>
      <c r="H231" s="29"/>
      <c r="I231" s="19">
        <v>3.81</v>
      </c>
      <c r="J231" s="20" t="s">
        <v>1172</v>
      </c>
      <c r="K231" s="29">
        <v>83.93</v>
      </c>
      <c r="L231" s="29"/>
      <c r="M231" s="29"/>
      <c r="N231" s="19">
        <v>0.26</v>
      </c>
      <c r="V231" s="29"/>
      <c r="W231" s="29"/>
      <c r="X231" s="29"/>
      <c r="Y231" s="29"/>
      <c r="Z231" s="29"/>
      <c r="AA231" s="19"/>
      <c r="AI231" s="29"/>
      <c r="AL231" s="29"/>
      <c r="AO231" s="20">
        <v>3</v>
      </c>
    </row>
    <row r="232" spans="1:41">
      <c r="A232" s="19">
        <f t="shared" si="141"/>
        <v>231</v>
      </c>
      <c r="B232" s="29" t="s">
        <v>197</v>
      </c>
      <c r="C232" s="29">
        <v>4</v>
      </c>
      <c r="D232" s="29" t="s">
        <v>939</v>
      </c>
      <c r="E232" s="29" t="s">
        <v>301</v>
      </c>
      <c r="F232" s="19" t="s">
        <v>492</v>
      </c>
      <c r="G232" s="29"/>
      <c r="H232" s="29"/>
      <c r="I232" s="19">
        <v>2.57</v>
      </c>
      <c r="J232" s="20" t="s">
        <v>1172</v>
      </c>
      <c r="K232" s="29">
        <v>31.76</v>
      </c>
      <c r="L232" s="29"/>
      <c r="M232" s="29"/>
      <c r="N232" s="19">
        <v>1.1000000000000001</v>
      </c>
      <c r="V232" s="29"/>
      <c r="W232" s="29"/>
      <c r="X232" s="29"/>
      <c r="Y232" s="29"/>
      <c r="Z232" s="29"/>
      <c r="AA232" s="19"/>
      <c r="AI232" s="29"/>
      <c r="AL232" s="29"/>
      <c r="AO232" s="20">
        <v>3</v>
      </c>
    </row>
    <row r="233" spans="1:41">
      <c r="A233" s="19">
        <f t="shared" si="141"/>
        <v>232</v>
      </c>
      <c r="B233" s="29" t="s">
        <v>197</v>
      </c>
      <c r="C233" s="29">
        <v>4</v>
      </c>
      <c r="D233" s="29" t="s">
        <v>939</v>
      </c>
      <c r="E233" s="29" t="s">
        <v>302</v>
      </c>
      <c r="F233" s="19"/>
      <c r="G233" s="29"/>
      <c r="H233" s="29"/>
      <c r="I233" s="19">
        <v>3.87</v>
      </c>
      <c r="J233" s="20" t="s">
        <v>1172</v>
      </c>
      <c r="K233" s="29">
        <v>86.35</v>
      </c>
      <c r="L233" s="29"/>
      <c r="M233" s="29"/>
      <c r="N233" s="19">
        <v>0.75</v>
      </c>
      <c r="V233" s="29"/>
      <c r="W233" s="29"/>
      <c r="X233" s="29"/>
      <c r="Y233" s="29"/>
      <c r="Z233" s="29"/>
      <c r="AA233" s="19"/>
      <c r="AI233" s="29"/>
      <c r="AL233" s="29"/>
      <c r="AO233" s="20">
        <v>3</v>
      </c>
    </row>
    <row r="234" spans="1:41">
      <c r="A234" s="19">
        <f t="shared" si="141"/>
        <v>233</v>
      </c>
      <c r="B234" s="29" t="s">
        <v>197</v>
      </c>
      <c r="C234" s="29">
        <v>4</v>
      </c>
      <c r="D234" s="29" t="s">
        <v>939</v>
      </c>
      <c r="E234" s="29" t="s">
        <v>332</v>
      </c>
      <c r="F234" s="19"/>
      <c r="G234" s="29"/>
      <c r="H234" s="29"/>
      <c r="I234" s="19">
        <v>3.67</v>
      </c>
      <c r="J234" s="20" t="s">
        <v>1172</v>
      </c>
      <c r="K234" s="29">
        <v>74.27</v>
      </c>
      <c r="L234" s="29"/>
      <c r="M234" s="29"/>
      <c r="N234" s="19">
        <v>1.04</v>
      </c>
      <c r="V234" s="29"/>
      <c r="W234" s="29"/>
      <c r="X234" s="29"/>
      <c r="Y234" s="29"/>
      <c r="Z234" s="29"/>
      <c r="AA234" s="19"/>
      <c r="AI234" s="29"/>
      <c r="AL234" s="29"/>
      <c r="AO234" s="20">
        <v>3</v>
      </c>
    </row>
    <row r="235" spans="1:41">
      <c r="A235" s="19">
        <f t="shared" si="141"/>
        <v>234</v>
      </c>
      <c r="B235" s="29" t="s">
        <v>197</v>
      </c>
      <c r="C235" s="29">
        <v>4</v>
      </c>
      <c r="D235" s="29" t="s">
        <v>939</v>
      </c>
      <c r="E235" s="29" t="s">
        <v>333</v>
      </c>
      <c r="F235" s="19"/>
      <c r="G235" s="29"/>
      <c r="H235" s="29"/>
      <c r="I235" s="19">
        <v>3.56</v>
      </c>
      <c r="J235" s="20" t="s">
        <v>1172</v>
      </c>
      <c r="K235" s="29">
        <v>74.260000000000005</v>
      </c>
      <c r="L235" s="29"/>
      <c r="M235" s="29"/>
      <c r="N235" s="19">
        <v>0.8</v>
      </c>
      <c r="V235" s="29"/>
      <c r="W235" s="29"/>
      <c r="X235" s="29"/>
      <c r="Y235" s="29"/>
      <c r="Z235" s="29"/>
      <c r="AA235" s="19"/>
      <c r="AI235" s="29"/>
      <c r="AL235" s="29"/>
      <c r="AO235" s="20">
        <v>3</v>
      </c>
    </row>
    <row r="236" spans="1:41">
      <c r="A236" s="19">
        <f t="shared" si="141"/>
        <v>235</v>
      </c>
      <c r="B236" s="29" t="s">
        <v>197</v>
      </c>
      <c r="C236" s="29">
        <v>4</v>
      </c>
      <c r="D236" s="29" t="s">
        <v>939</v>
      </c>
      <c r="E236" s="29" t="s">
        <v>303</v>
      </c>
      <c r="F236" s="19"/>
      <c r="G236" s="29"/>
      <c r="H236" s="29"/>
      <c r="I236" s="19">
        <v>3.91</v>
      </c>
      <c r="J236" s="20" t="s">
        <v>1172</v>
      </c>
      <c r="K236" s="29">
        <v>85.64</v>
      </c>
      <c r="L236" s="29"/>
      <c r="M236" s="29"/>
      <c r="N236" s="19">
        <v>0.48</v>
      </c>
      <c r="V236" s="29"/>
      <c r="W236" s="29"/>
      <c r="X236" s="29"/>
      <c r="Y236" s="29"/>
      <c r="Z236" s="29"/>
      <c r="AA236" s="19"/>
      <c r="AI236" s="29"/>
      <c r="AL236" s="29"/>
      <c r="AO236" s="20">
        <v>3</v>
      </c>
    </row>
    <row r="237" spans="1:41">
      <c r="A237" s="19">
        <f t="shared" si="141"/>
        <v>236</v>
      </c>
      <c r="B237" s="29" t="s">
        <v>197</v>
      </c>
      <c r="C237" s="29">
        <v>4</v>
      </c>
      <c r="D237" s="29" t="s">
        <v>939</v>
      </c>
      <c r="E237" s="29" t="s">
        <v>304</v>
      </c>
      <c r="F237" s="19"/>
      <c r="G237" s="29"/>
      <c r="H237" s="29"/>
      <c r="I237" s="19">
        <v>3.83</v>
      </c>
      <c r="J237" s="20" t="s">
        <v>1172</v>
      </c>
      <c r="K237" s="29">
        <v>84.61</v>
      </c>
      <c r="L237" s="29"/>
      <c r="M237" s="29"/>
      <c r="N237" s="19">
        <v>0.21</v>
      </c>
      <c r="V237" s="29"/>
      <c r="W237" s="29"/>
      <c r="X237" s="29"/>
      <c r="Y237" s="29"/>
      <c r="Z237" s="29"/>
      <c r="AA237" s="19"/>
      <c r="AI237" s="29"/>
      <c r="AL237" s="29"/>
      <c r="AO237" s="20">
        <v>3</v>
      </c>
    </row>
    <row r="238" spans="1:41">
      <c r="A238" s="19">
        <f t="shared" si="141"/>
        <v>237</v>
      </c>
      <c r="B238" s="29" t="s">
        <v>197</v>
      </c>
      <c r="C238" s="29">
        <v>4</v>
      </c>
      <c r="D238" s="29" t="s">
        <v>939</v>
      </c>
      <c r="E238" s="29" t="s">
        <v>305</v>
      </c>
      <c r="F238" s="19"/>
      <c r="G238" s="29"/>
      <c r="H238" s="29"/>
      <c r="I238" s="19">
        <v>3.93</v>
      </c>
      <c r="J238" s="20" t="s">
        <v>1172</v>
      </c>
      <c r="K238" s="29">
        <v>89.78</v>
      </c>
      <c r="L238" s="29"/>
      <c r="M238" s="29"/>
      <c r="N238" s="19">
        <v>0.71</v>
      </c>
      <c r="V238" s="29"/>
      <c r="W238" s="29"/>
      <c r="X238" s="29"/>
      <c r="Y238" s="29"/>
      <c r="Z238" s="29"/>
      <c r="AA238" s="19"/>
      <c r="AI238" s="29"/>
      <c r="AL238" s="29"/>
      <c r="AO238" s="20">
        <v>3</v>
      </c>
    </row>
    <row r="239" spans="1:41">
      <c r="A239" s="19">
        <f t="shared" si="141"/>
        <v>238</v>
      </c>
      <c r="B239" s="29" t="s">
        <v>197</v>
      </c>
      <c r="C239" s="29">
        <v>4</v>
      </c>
      <c r="D239" s="29" t="s">
        <v>939</v>
      </c>
      <c r="E239" s="29" t="s">
        <v>306</v>
      </c>
      <c r="F239" s="19" t="s">
        <v>395</v>
      </c>
      <c r="G239" s="29"/>
      <c r="H239" s="29"/>
      <c r="I239" s="19">
        <v>3.85</v>
      </c>
      <c r="J239" s="20" t="s">
        <v>1172</v>
      </c>
      <c r="K239" s="29">
        <v>86.13</v>
      </c>
      <c r="L239" s="29"/>
      <c r="M239" s="29"/>
      <c r="N239" s="19">
        <v>0.4</v>
      </c>
      <c r="V239" s="29"/>
      <c r="W239" s="29"/>
      <c r="X239" s="29"/>
      <c r="Y239" s="29"/>
      <c r="Z239" s="29"/>
      <c r="AA239" s="19"/>
      <c r="AI239" s="29"/>
      <c r="AL239" s="29"/>
      <c r="AO239" s="20">
        <v>3</v>
      </c>
    </row>
    <row r="240" spans="1:41">
      <c r="A240" s="19">
        <f t="shared" si="141"/>
        <v>239</v>
      </c>
      <c r="B240" s="29" t="s">
        <v>197</v>
      </c>
      <c r="C240" s="29">
        <v>4</v>
      </c>
      <c r="D240" s="29" t="s">
        <v>939</v>
      </c>
      <c r="E240" s="29" t="s">
        <v>306</v>
      </c>
      <c r="F240" s="19" t="s">
        <v>396</v>
      </c>
      <c r="G240" s="29"/>
      <c r="H240" s="29"/>
      <c r="I240" s="19">
        <v>3.73</v>
      </c>
      <c r="J240" s="20" t="s">
        <v>1172</v>
      </c>
      <c r="K240" s="29">
        <v>80.760000000000005</v>
      </c>
      <c r="L240" s="29"/>
      <c r="M240" s="29"/>
      <c r="N240" s="19">
        <v>0.53</v>
      </c>
      <c r="V240" s="29"/>
      <c r="W240" s="29"/>
      <c r="X240" s="29"/>
      <c r="Y240" s="29"/>
      <c r="Z240" s="29"/>
      <c r="AA240" s="19"/>
      <c r="AI240" s="29"/>
      <c r="AL240" s="29"/>
      <c r="AO240" s="20">
        <v>3</v>
      </c>
    </row>
    <row r="241" spans="1:41">
      <c r="A241" s="19">
        <f t="shared" si="141"/>
        <v>240</v>
      </c>
      <c r="B241" s="29" t="s">
        <v>197</v>
      </c>
      <c r="C241" s="29">
        <v>4</v>
      </c>
      <c r="D241" s="29" t="s">
        <v>939</v>
      </c>
      <c r="E241" s="29" t="s">
        <v>307</v>
      </c>
      <c r="F241" s="19"/>
      <c r="G241" s="29"/>
      <c r="H241" s="29"/>
      <c r="I241" s="19">
        <v>3.91</v>
      </c>
      <c r="J241" s="20" t="s">
        <v>1172</v>
      </c>
      <c r="K241" s="29">
        <v>86.54</v>
      </c>
      <c r="L241" s="29"/>
      <c r="M241" s="29"/>
      <c r="N241" s="19">
        <v>0.19</v>
      </c>
      <c r="V241" s="29"/>
      <c r="W241" s="29"/>
      <c r="X241" s="29"/>
      <c r="Y241" s="29"/>
      <c r="Z241" s="29"/>
      <c r="AA241" s="19"/>
      <c r="AI241" s="29"/>
      <c r="AL241" s="29"/>
      <c r="AO241" s="20">
        <v>3</v>
      </c>
    </row>
    <row r="242" spans="1:41">
      <c r="A242" s="19">
        <f t="shared" si="141"/>
        <v>241</v>
      </c>
      <c r="B242" s="29" t="s">
        <v>197</v>
      </c>
      <c r="C242" s="29">
        <v>4</v>
      </c>
      <c r="D242" s="29" t="s">
        <v>939</v>
      </c>
      <c r="E242" s="29" t="s">
        <v>308</v>
      </c>
      <c r="F242" s="19" t="s">
        <v>397</v>
      </c>
      <c r="G242" s="29"/>
      <c r="H242" s="29"/>
      <c r="I242" s="19">
        <v>3.71</v>
      </c>
      <c r="J242" s="20" t="s">
        <v>1172</v>
      </c>
      <c r="K242" s="29">
        <v>81.96</v>
      </c>
      <c r="L242" s="29"/>
      <c r="M242" s="29"/>
      <c r="N242" s="19">
        <v>0.86</v>
      </c>
      <c r="V242" s="29"/>
      <c r="W242" s="29"/>
      <c r="X242" s="29"/>
      <c r="Y242" s="29"/>
      <c r="Z242" s="29"/>
      <c r="AA242" s="19"/>
      <c r="AI242" s="29"/>
      <c r="AL242" s="29"/>
      <c r="AO242" s="20">
        <v>3</v>
      </c>
    </row>
    <row r="243" spans="1:41">
      <c r="A243" s="19">
        <f t="shared" si="141"/>
        <v>242</v>
      </c>
      <c r="B243" s="29" t="s">
        <v>197</v>
      </c>
      <c r="C243" s="29">
        <v>4</v>
      </c>
      <c r="D243" s="29" t="s">
        <v>939</v>
      </c>
      <c r="E243" s="29" t="s">
        <v>308</v>
      </c>
      <c r="F243" s="19" t="s">
        <v>398</v>
      </c>
      <c r="G243" s="29"/>
      <c r="H243" s="29"/>
      <c r="I243" s="19">
        <v>3.85</v>
      </c>
      <c r="J243" s="20" t="s">
        <v>1172</v>
      </c>
      <c r="K243" s="29">
        <v>83.95</v>
      </c>
      <c r="L243" s="29"/>
      <c r="M243" s="29"/>
      <c r="N243" s="19">
        <v>0.66</v>
      </c>
      <c r="V243" s="29"/>
      <c r="W243" s="29"/>
      <c r="X243" s="29"/>
      <c r="Y243" s="29"/>
      <c r="Z243" s="29"/>
      <c r="AA243" s="19"/>
      <c r="AI243" s="29"/>
      <c r="AL243" s="29"/>
      <c r="AO243" s="20">
        <v>3</v>
      </c>
    </row>
    <row r="244" spans="1:41">
      <c r="A244" s="19">
        <f t="shared" si="141"/>
        <v>243</v>
      </c>
      <c r="B244" s="29" t="s">
        <v>197</v>
      </c>
      <c r="C244" s="29">
        <v>4</v>
      </c>
      <c r="D244" s="29" t="s">
        <v>939</v>
      </c>
      <c r="E244" s="29" t="s">
        <v>309</v>
      </c>
      <c r="F244" s="19" t="s">
        <v>399</v>
      </c>
      <c r="G244" s="29"/>
      <c r="H244" s="29"/>
      <c r="I244" s="19">
        <v>2.31</v>
      </c>
      <c r="J244" s="20" t="s">
        <v>1172</v>
      </c>
      <c r="K244" s="29">
        <v>22.5</v>
      </c>
      <c r="L244" s="29"/>
      <c r="M244" s="29"/>
      <c r="N244" s="19">
        <v>1.58</v>
      </c>
      <c r="V244" s="29"/>
      <c r="W244" s="29"/>
      <c r="X244" s="29"/>
      <c r="Y244" s="29"/>
      <c r="Z244" s="29"/>
      <c r="AA244" s="19"/>
      <c r="AI244" s="29"/>
      <c r="AL244" s="29"/>
      <c r="AO244" s="20">
        <v>3</v>
      </c>
    </row>
    <row r="245" spans="1:41">
      <c r="A245" s="19">
        <f t="shared" si="141"/>
        <v>244</v>
      </c>
      <c r="B245" s="29" t="s">
        <v>197</v>
      </c>
      <c r="C245" s="29">
        <v>4</v>
      </c>
      <c r="D245" s="29" t="s">
        <v>939</v>
      </c>
      <c r="E245" s="29" t="s">
        <v>310</v>
      </c>
      <c r="F245" s="19" t="s">
        <v>400</v>
      </c>
      <c r="G245" s="29"/>
      <c r="H245" s="29"/>
      <c r="I245" s="19">
        <v>3.7</v>
      </c>
      <c r="J245" s="20" t="s">
        <v>1172</v>
      </c>
      <c r="K245" s="29">
        <v>79.11</v>
      </c>
      <c r="L245" s="29"/>
      <c r="M245" s="29"/>
      <c r="N245" s="19">
        <v>0.66</v>
      </c>
      <c r="V245" s="29"/>
      <c r="W245" s="29"/>
      <c r="X245" s="29"/>
      <c r="Y245" s="29"/>
      <c r="Z245" s="29"/>
      <c r="AA245" s="19"/>
      <c r="AI245" s="29"/>
      <c r="AL245" s="29"/>
      <c r="AO245" s="20">
        <v>3</v>
      </c>
    </row>
    <row r="246" spans="1:41">
      <c r="A246" s="19">
        <f t="shared" si="141"/>
        <v>245</v>
      </c>
      <c r="B246" s="29" t="s">
        <v>197</v>
      </c>
      <c r="C246" s="29">
        <v>4</v>
      </c>
      <c r="D246" s="29" t="s">
        <v>939</v>
      </c>
      <c r="E246" s="29" t="s">
        <v>310</v>
      </c>
      <c r="F246" s="19" t="s">
        <v>394</v>
      </c>
      <c r="G246" s="29"/>
      <c r="H246" s="29"/>
      <c r="I246" s="19">
        <v>2.5099999999999998</v>
      </c>
      <c r="J246" s="20" t="s">
        <v>1172</v>
      </c>
      <c r="K246" s="29">
        <v>28.43</v>
      </c>
      <c r="L246" s="29"/>
      <c r="M246" s="29"/>
      <c r="N246" s="19">
        <v>2.0099999999999998</v>
      </c>
      <c r="V246" s="29"/>
      <c r="W246" s="29"/>
      <c r="X246" s="29"/>
      <c r="Y246" s="29"/>
      <c r="Z246" s="29"/>
      <c r="AA246" s="19"/>
      <c r="AI246" s="29"/>
      <c r="AL246" s="29"/>
      <c r="AO246" s="20">
        <v>3</v>
      </c>
    </row>
    <row r="247" spans="1:41">
      <c r="A247" s="19">
        <f t="shared" si="141"/>
        <v>246</v>
      </c>
      <c r="B247" s="29" t="s">
        <v>197</v>
      </c>
      <c r="C247" s="29">
        <v>4</v>
      </c>
      <c r="D247" s="29" t="s">
        <v>939</v>
      </c>
      <c r="E247" s="29" t="s">
        <v>311</v>
      </c>
      <c r="F247" s="19"/>
      <c r="G247" s="29"/>
      <c r="H247" s="29"/>
      <c r="I247" s="19">
        <v>3.95</v>
      </c>
      <c r="J247" s="20" t="s">
        <v>1172</v>
      </c>
      <c r="K247" s="29">
        <v>87.87</v>
      </c>
      <c r="L247" s="29"/>
      <c r="M247" s="29"/>
      <c r="N247" s="19">
        <v>0.49</v>
      </c>
      <c r="V247" s="29"/>
      <c r="W247" s="29"/>
      <c r="X247" s="29"/>
      <c r="Y247" s="29"/>
      <c r="Z247" s="29"/>
      <c r="AA247" s="19"/>
      <c r="AI247" s="29"/>
      <c r="AL247" s="29"/>
      <c r="AO247" s="20">
        <v>3</v>
      </c>
    </row>
    <row r="248" spans="1:41">
      <c r="A248" s="19">
        <f t="shared" si="141"/>
        <v>247</v>
      </c>
      <c r="B248" s="29" t="s">
        <v>197</v>
      </c>
      <c r="C248" s="29">
        <v>4</v>
      </c>
      <c r="D248" s="29" t="s">
        <v>939</v>
      </c>
      <c r="E248" s="29" t="s">
        <v>312</v>
      </c>
      <c r="F248" s="19"/>
      <c r="G248" s="29"/>
      <c r="H248" s="29"/>
      <c r="I248" s="19">
        <v>3.96</v>
      </c>
      <c r="J248" s="20" t="s">
        <v>1172</v>
      </c>
      <c r="K248" s="29">
        <v>90.89</v>
      </c>
      <c r="L248" s="29"/>
      <c r="M248" s="29"/>
      <c r="N248" s="19">
        <v>0.31</v>
      </c>
      <c r="V248" s="29"/>
      <c r="W248" s="29"/>
      <c r="X248" s="29"/>
      <c r="Y248" s="29"/>
      <c r="Z248" s="29"/>
      <c r="AA248" s="19"/>
      <c r="AI248" s="29"/>
      <c r="AL248" s="29"/>
      <c r="AO248" s="20">
        <v>3</v>
      </c>
    </row>
    <row r="249" spans="1:41">
      <c r="A249" s="19">
        <f t="shared" si="141"/>
        <v>248</v>
      </c>
      <c r="B249" s="29" t="s">
        <v>197</v>
      </c>
      <c r="C249" s="29">
        <v>4</v>
      </c>
      <c r="D249" s="29" t="s">
        <v>939</v>
      </c>
      <c r="E249" s="29" t="s">
        <v>313</v>
      </c>
      <c r="F249" s="19" t="s">
        <v>401</v>
      </c>
      <c r="G249" s="29"/>
      <c r="H249" s="29"/>
      <c r="I249" s="19">
        <v>3.71</v>
      </c>
      <c r="J249" s="20" t="s">
        <v>1172</v>
      </c>
      <c r="K249" s="29">
        <v>81.3</v>
      </c>
      <c r="L249" s="29"/>
      <c r="M249" s="29"/>
      <c r="N249" s="19">
        <v>0.56999999999999995</v>
      </c>
      <c r="V249" s="29"/>
      <c r="W249" s="29"/>
      <c r="X249" s="29"/>
      <c r="Y249" s="29"/>
      <c r="Z249" s="29"/>
      <c r="AA249" s="19"/>
      <c r="AI249" s="29"/>
      <c r="AL249" s="29"/>
      <c r="AO249" s="20">
        <v>3</v>
      </c>
    </row>
    <row r="250" spans="1:41">
      <c r="A250" s="19">
        <f t="shared" si="141"/>
        <v>249</v>
      </c>
      <c r="B250" s="29" t="s">
        <v>197</v>
      </c>
      <c r="C250" s="29">
        <v>4</v>
      </c>
      <c r="D250" s="29" t="s">
        <v>939</v>
      </c>
      <c r="E250" s="29" t="s">
        <v>313</v>
      </c>
      <c r="F250" s="19" t="s">
        <v>402</v>
      </c>
      <c r="G250" s="29"/>
      <c r="H250" s="29"/>
      <c r="I250" s="19">
        <v>3.7</v>
      </c>
      <c r="J250" s="20" t="s">
        <v>1172</v>
      </c>
      <c r="K250" s="29">
        <v>80.56</v>
      </c>
      <c r="L250" s="29"/>
      <c r="M250" s="29"/>
      <c r="N250" s="19">
        <v>0.44</v>
      </c>
      <c r="V250" s="29"/>
      <c r="W250" s="29"/>
      <c r="X250" s="29"/>
      <c r="Y250" s="29"/>
      <c r="Z250" s="29"/>
      <c r="AA250" s="19"/>
      <c r="AI250" s="29"/>
      <c r="AL250" s="29"/>
      <c r="AO250" s="20">
        <v>3</v>
      </c>
    </row>
    <row r="251" spans="1:41">
      <c r="A251" s="19">
        <f t="shared" si="141"/>
        <v>250</v>
      </c>
      <c r="B251" s="29" t="s">
        <v>197</v>
      </c>
      <c r="C251" s="29">
        <v>4</v>
      </c>
      <c r="D251" s="29" t="s">
        <v>939</v>
      </c>
      <c r="E251" s="29" t="s">
        <v>334</v>
      </c>
      <c r="F251" s="19"/>
      <c r="G251" s="29"/>
      <c r="H251" s="29"/>
      <c r="I251" s="19">
        <v>3.94</v>
      </c>
      <c r="J251" s="20" t="s">
        <v>1172</v>
      </c>
      <c r="K251" s="29">
        <v>87.4</v>
      </c>
      <c r="L251" s="29"/>
      <c r="M251" s="29"/>
      <c r="N251" s="19">
        <v>0.4</v>
      </c>
      <c r="V251" s="29"/>
      <c r="W251" s="29"/>
      <c r="X251" s="29"/>
      <c r="Y251" s="29"/>
      <c r="Z251" s="29"/>
      <c r="AA251" s="19"/>
      <c r="AI251" s="29"/>
      <c r="AL251" s="29"/>
      <c r="AO251" s="20">
        <v>3</v>
      </c>
    </row>
    <row r="252" spans="1:41">
      <c r="A252" s="19">
        <f t="shared" si="141"/>
        <v>251</v>
      </c>
      <c r="B252" s="29" t="s">
        <v>197</v>
      </c>
      <c r="C252" s="29">
        <v>4</v>
      </c>
      <c r="D252" s="29" t="s">
        <v>939</v>
      </c>
      <c r="E252" s="29" t="s">
        <v>314</v>
      </c>
      <c r="F252" s="19"/>
      <c r="G252" s="29"/>
      <c r="H252" s="29"/>
      <c r="I252" s="19">
        <v>3.93</v>
      </c>
      <c r="J252" s="20" t="s">
        <v>1172</v>
      </c>
      <c r="K252" s="29">
        <v>88.26</v>
      </c>
      <c r="L252" s="29"/>
      <c r="M252" s="29"/>
      <c r="N252" s="19">
        <v>0.3</v>
      </c>
      <c r="V252" s="29"/>
      <c r="W252" s="29"/>
      <c r="X252" s="29"/>
      <c r="Y252" s="29"/>
      <c r="Z252" s="29"/>
      <c r="AA252" s="19"/>
      <c r="AI252" s="29"/>
      <c r="AL252" s="29"/>
      <c r="AO252" s="20">
        <v>3</v>
      </c>
    </row>
    <row r="253" spans="1:41">
      <c r="A253" s="19">
        <f t="shared" si="141"/>
        <v>252</v>
      </c>
      <c r="B253" s="29" t="s">
        <v>197</v>
      </c>
      <c r="C253" s="29">
        <v>4</v>
      </c>
      <c r="D253" s="29" t="s">
        <v>939</v>
      </c>
      <c r="E253" s="29" t="s">
        <v>315</v>
      </c>
      <c r="F253" s="19"/>
      <c r="G253" s="29"/>
      <c r="H253" s="29"/>
      <c r="I253" s="19">
        <v>3.74</v>
      </c>
      <c r="J253" s="20" t="s">
        <v>1172</v>
      </c>
      <c r="K253" s="29">
        <v>81.709999999999994</v>
      </c>
      <c r="L253" s="29"/>
      <c r="M253" s="29"/>
      <c r="N253" s="19">
        <v>0.5</v>
      </c>
      <c r="V253" s="29"/>
      <c r="W253" s="29"/>
      <c r="X253" s="29"/>
      <c r="Y253" s="29"/>
      <c r="Z253" s="29"/>
      <c r="AA253" s="19"/>
      <c r="AI253" s="29"/>
      <c r="AL253" s="29"/>
      <c r="AO253" s="20">
        <v>3</v>
      </c>
    </row>
    <row r="254" spans="1:41">
      <c r="A254" s="19">
        <f t="shared" si="141"/>
        <v>253</v>
      </c>
      <c r="B254" s="29" t="s">
        <v>197</v>
      </c>
      <c r="C254" s="29">
        <v>4</v>
      </c>
      <c r="D254" s="29" t="s">
        <v>939</v>
      </c>
      <c r="E254" s="29" t="s">
        <v>316</v>
      </c>
      <c r="F254" s="19" t="s">
        <v>411</v>
      </c>
      <c r="G254" s="29"/>
      <c r="H254" s="29"/>
      <c r="I254" s="19">
        <v>3.99</v>
      </c>
      <c r="J254" s="20" t="s">
        <v>1172</v>
      </c>
      <c r="K254" s="29">
        <v>92</v>
      </c>
      <c r="L254" s="29"/>
      <c r="M254" s="29"/>
      <c r="N254" s="19">
        <v>0.8</v>
      </c>
      <c r="V254" s="29"/>
      <c r="W254" s="29"/>
      <c r="X254" s="29"/>
      <c r="Y254" s="29"/>
      <c r="Z254" s="29"/>
      <c r="AA254" s="19"/>
      <c r="AI254" s="29"/>
      <c r="AL254" s="29"/>
      <c r="AO254" s="20">
        <v>3</v>
      </c>
    </row>
    <row r="255" spans="1:41">
      <c r="A255" s="19">
        <f t="shared" si="141"/>
        <v>254</v>
      </c>
      <c r="B255" s="29" t="s">
        <v>197</v>
      </c>
      <c r="C255" s="29">
        <v>4</v>
      </c>
      <c r="D255" s="29" t="s">
        <v>939</v>
      </c>
      <c r="E255" s="29" t="s">
        <v>316</v>
      </c>
      <c r="F255" s="19" t="s">
        <v>403</v>
      </c>
      <c r="G255" s="29"/>
      <c r="H255" s="29"/>
      <c r="I255" s="19">
        <v>3.92</v>
      </c>
      <c r="J255" s="20" t="s">
        <v>1172</v>
      </c>
      <c r="K255" s="29">
        <v>89.66</v>
      </c>
      <c r="L255" s="29"/>
      <c r="M255" s="29"/>
      <c r="N255" s="19">
        <v>0.6</v>
      </c>
      <c r="V255" s="29"/>
      <c r="W255" s="29"/>
      <c r="X255" s="29"/>
      <c r="Y255" s="29"/>
      <c r="Z255" s="29"/>
      <c r="AA255" s="19"/>
      <c r="AI255" s="29"/>
      <c r="AL255" s="29"/>
      <c r="AO255" s="20">
        <v>3</v>
      </c>
    </row>
    <row r="256" spans="1:41">
      <c r="A256" s="19">
        <f t="shared" si="141"/>
        <v>255</v>
      </c>
      <c r="B256" s="29" t="s">
        <v>197</v>
      </c>
      <c r="C256" s="29">
        <v>4</v>
      </c>
      <c r="D256" s="29" t="s">
        <v>939</v>
      </c>
      <c r="E256" s="29" t="s">
        <v>316</v>
      </c>
      <c r="F256" s="19" t="s">
        <v>404</v>
      </c>
      <c r="G256" s="29"/>
      <c r="H256" s="29"/>
      <c r="I256" s="19">
        <v>3.97</v>
      </c>
      <c r="J256" s="20" t="s">
        <v>1172</v>
      </c>
      <c r="K256" s="29">
        <v>91.51</v>
      </c>
      <c r="L256" s="29"/>
      <c r="M256" s="29"/>
      <c r="N256" s="19">
        <v>0.5</v>
      </c>
      <c r="V256" s="29"/>
      <c r="W256" s="29"/>
      <c r="X256" s="29"/>
      <c r="Y256" s="29"/>
      <c r="Z256" s="29"/>
      <c r="AA256" s="19"/>
      <c r="AI256" s="29"/>
      <c r="AL256" s="29"/>
      <c r="AO256" s="20">
        <v>3</v>
      </c>
    </row>
    <row r="257" spans="1:41">
      <c r="A257" s="19">
        <f t="shared" si="141"/>
        <v>256</v>
      </c>
      <c r="B257" s="29" t="s">
        <v>197</v>
      </c>
      <c r="C257" s="29">
        <v>4</v>
      </c>
      <c r="D257" s="29" t="s">
        <v>939</v>
      </c>
      <c r="E257" s="29" t="s">
        <v>317</v>
      </c>
      <c r="F257" s="19"/>
      <c r="G257" s="29"/>
      <c r="H257" s="29"/>
      <c r="I257" s="19">
        <v>3.86</v>
      </c>
      <c r="J257" s="20" t="s">
        <v>1172</v>
      </c>
      <c r="K257" s="29">
        <v>86.28</v>
      </c>
      <c r="L257" s="29"/>
      <c r="M257" s="29"/>
      <c r="N257" s="19">
        <v>0.54</v>
      </c>
      <c r="V257" s="29"/>
      <c r="W257" s="29"/>
      <c r="X257" s="29"/>
      <c r="Y257" s="29"/>
      <c r="Z257" s="29"/>
      <c r="AA257" s="19"/>
      <c r="AI257" s="29"/>
      <c r="AL257" s="29"/>
      <c r="AO257" s="20">
        <v>3</v>
      </c>
    </row>
    <row r="258" spans="1:41">
      <c r="A258" s="19">
        <f t="shared" si="141"/>
        <v>257</v>
      </c>
      <c r="B258" s="29" t="s">
        <v>197</v>
      </c>
      <c r="C258" s="29">
        <v>4</v>
      </c>
      <c r="D258" s="29" t="s">
        <v>939</v>
      </c>
      <c r="E258" s="29" t="s">
        <v>318</v>
      </c>
      <c r="F258" s="19"/>
      <c r="G258" s="29"/>
      <c r="H258" s="29"/>
      <c r="I258" s="19">
        <v>3.76</v>
      </c>
      <c r="J258" s="20" t="s">
        <v>1172</v>
      </c>
      <c r="K258" s="29">
        <v>79.989999999999995</v>
      </c>
      <c r="L258" s="29"/>
      <c r="M258" s="29"/>
      <c r="N258" s="19">
        <v>2.23</v>
      </c>
      <c r="V258" s="29"/>
      <c r="W258" s="29"/>
      <c r="X258" s="29"/>
      <c r="Y258" s="29"/>
      <c r="Z258" s="29"/>
      <c r="AA258" s="19"/>
      <c r="AI258" s="29"/>
      <c r="AL258" s="29"/>
      <c r="AO258" s="20">
        <v>3</v>
      </c>
    </row>
    <row r="259" spans="1:41">
      <c r="A259" s="19">
        <f t="shared" ref="A259:A322" si="142">A258+1</f>
        <v>258</v>
      </c>
      <c r="B259" s="29" t="s">
        <v>197</v>
      </c>
      <c r="C259" s="29">
        <v>4</v>
      </c>
      <c r="D259" s="29" t="s">
        <v>939</v>
      </c>
      <c r="E259" s="29" t="s">
        <v>336</v>
      </c>
      <c r="F259" s="19"/>
      <c r="G259" s="29"/>
      <c r="H259" s="29"/>
      <c r="I259" s="19">
        <v>3.81</v>
      </c>
      <c r="J259" s="20" t="s">
        <v>1172</v>
      </c>
      <c r="K259" s="29">
        <v>82.3</v>
      </c>
      <c r="L259" s="29"/>
      <c r="M259" s="29"/>
      <c r="N259" s="19">
        <v>0.6</v>
      </c>
      <c r="V259" s="29"/>
      <c r="W259" s="29"/>
      <c r="X259" s="29"/>
      <c r="Y259" s="29"/>
      <c r="Z259" s="29"/>
      <c r="AA259" s="19"/>
      <c r="AI259" s="29"/>
      <c r="AL259" s="29"/>
      <c r="AO259" s="20">
        <v>3</v>
      </c>
    </row>
    <row r="260" spans="1:41">
      <c r="A260" s="19">
        <f t="shared" si="142"/>
        <v>259</v>
      </c>
      <c r="B260" s="29" t="s">
        <v>197</v>
      </c>
      <c r="C260" s="29">
        <v>4</v>
      </c>
      <c r="D260" s="29" t="s">
        <v>939</v>
      </c>
      <c r="E260" s="29" t="s">
        <v>319</v>
      </c>
      <c r="F260" s="19" t="s">
        <v>400</v>
      </c>
      <c r="G260" s="29"/>
      <c r="H260" s="29"/>
      <c r="I260" s="19">
        <v>3.91</v>
      </c>
      <c r="J260" s="20" t="s">
        <v>1172</v>
      </c>
      <c r="K260" s="29">
        <v>87.66</v>
      </c>
      <c r="L260" s="29"/>
      <c r="M260" s="29"/>
      <c r="N260" s="19">
        <v>0.46</v>
      </c>
      <c r="V260" s="29"/>
      <c r="W260" s="29"/>
      <c r="X260" s="29"/>
      <c r="Y260" s="29"/>
      <c r="Z260" s="29"/>
      <c r="AA260" s="19"/>
      <c r="AI260" s="29"/>
      <c r="AL260" s="29"/>
      <c r="AO260" s="20">
        <v>3</v>
      </c>
    </row>
    <row r="261" spans="1:41">
      <c r="A261" s="19">
        <f t="shared" si="142"/>
        <v>260</v>
      </c>
      <c r="B261" s="29" t="s">
        <v>197</v>
      </c>
      <c r="C261" s="29">
        <v>4</v>
      </c>
      <c r="D261" s="29" t="s">
        <v>939</v>
      </c>
      <c r="E261" s="29" t="s">
        <v>319</v>
      </c>
      <c r="F261" s="19" t="s">
        <v>394</v>
      </c>
      <c r="G261" s="29"/>
      <c r="H261" s="29"/>
      <c r="I261" s="19">
        <v>2.57</v>
      </c>
      <c r="J261" s="20" t="s">
        <v>1172</v>
      </c>
      <c r="K261" s="29">
        <v>31.8</v>
      </c>
      <c r="L261" s="29"/>
      <c r="M261" s="29"/>
      <c r="N261" s="19">
        <v>2.5</v>
      </c>
      <c r="V261" s="29"/>
      <c r="W261" s="29"/>
      <c r="X261" s="29"/>
      <c r="Y261" s="29"/>
      <c r="Z261" s="29"/>
      <c r="AA261" s="19"/>
      <c r="AI261" s="29"/>
      <c r="AL261" s="29"/>
      <c r="AO261" s="20">
        <v>3</v>
      </c>
    </row>
    <row r="262" spans="1:41">
      <c r="A262" s="19">
        <f t="shared" si="142"/>
        <v>261</v>
      </c>
      <c r="B262" s="29" t="s">
        <v>197</v>
      </c>
      <c r="C262" s="29">
        <v>4</v>
      </c>
      <c r="D262" s="29" t="s">
        <v>939</v>
      </c>
      <c r="E262" s="29" t="s">
        <v>320</v>
      </c>
      <c r="F262" s="19"/>
      <c r="G262" s="29"/>
      <c r="H262" s="29"/>
      <c r="I262" s="19">
        <v>3.8</v>
      </c>
      <c r="J262" s="20" t="s">
        <v>1172</v>
      </c>
      <c r="K262" s="29">
        <v>83.81</v>
      </c>
      <c r="L262" s="29"/>
      <c r="M262" s="29"/>
      <c r="N262" s="19">
        <v>0.28000000000000003</v>
      </c>
      <c r="V262" s="29"/>
      <c r="W262" s="29"/>
      <c r="X262" s="29"/>
      <c r="Y262" s="29"/>
      <c r="Z262" s="29"/>
      <c r="AA262" s="19"/>
      <c r="AI262" s="29"/>
      <c r="AL262" s="29"/>
      <c r="AO262" s="20">
        <v>3</v>
      </c>
    </row>
    <row r="263" spans="1:41">
      <c r="A263" s="19">
        <f t="shared" si="142"/>
        <v>262</v>
      </c>
      <c r="B263" s="29" t="s">
        <v>197</v>
      </c>
      <c r="C263" s="29">
        <v>4</v>
      </c>
      <c r="D263" s="29" t="s">
        <v>939</v>
      </c>
      <c r="E263" s="29" t="s">
        <v>321</v>
      </c>
      <c r="F263" s="19"/>
      <c r="G263" s="29"/>
      <c r="H263" s="29"/>
      <c r="I263" s="19">
        <v>3.26</v>
      </c>
      <c r="J263" s="20" t="s">
        <v>1172</v>
      </c>
      <c r="K263" s="29">
        <v>64.400000000000006</v>
      </c>
      <c r="L263" s="29"/>
      <c r="M263" s="29"/>
      <c r="N263" s="19">
        <v>0.9</v>
      </c>
      <c r="V263" s="29"/>
      <c r="W263" s="29"/>
      <c r="X263" s="29"/>
      <c r="Y263" s="29"/>
      <c r="Z263" s="29"/>
      <c r="AA263" s="19"/>
      <c r="AI263" s="29"/>
      <c r="AL263" s="29"/>
      <c r="AO263" s="20">
        <v>3</v>
      </c>
    </row>
    <row r="264" spans="1:41">
      <c r="A264" s="19">
        <f t="shared" si="142"/>
        <v>263</v>
      </c>
      <c r="B264" s="29" t="s">
        <v>197</v>
      </c>
      <c r="C264" s="29">
        <v>4</v>
      </c>
      <c r="D264" s="29" t="s">
        <v>939</v>
      </c>
      <c r="E264" s="29" t="s">
        <v>322</v>
      </c>
      <c r="F264" s="19"/>
      <c r="G264" s="29"/>
      <c r="H264" s="29"/>
      <c r="I264" s="19">
        <v>3.85</v>
      </c>
      <c r="J264" s="20" t="s">
        <v>1172</v>
      </c>
      <c r="K264" s="29">
        <v>86.5</v>
      </c>
      <c r="L264" s="29"/>
      <c r="M264" s="29"/>
      <c r="N264" s="19">
        <v>0.28999999999999998</v>
      </c>
      <c r="V264" s="29"/>
      <c r="W264" s="29"/>
      <c r="X264" s="29"/>
      <c r="Y264" s="29"/>
      <c r="Z264" s="29"/>
      <c r="AA264" s="19"/>
      <c r="AI264" s="29"/>
      <c r="AL264" s="29"/>
      <c r="AO264" s="20">
        <v>3</v>
      </c>
    </row>
    <row r="265" spans="1:41">
      <c r="A265" s="19">
        <f t="shared" si="142"/>
        <v>264</v>
      </c>
      <c r="B265" s="29" t="s">
        <v>197</v>
      </c>
      <c r="C265" s="29">
        <v>4</v>
      </c>
      <c r="D265" s="29" t="s">
        <v>939</v>
      </c>
      <c r="E265" s="29" t="s">
        <v>323</v>
      </c>
      <c r="F265" s="19"/>
      <c r="G265" s="29"/>
      <c r="H265" s="29"/>
      <c r="I265" s="19">
        <v>3.83</v>
      </c>
      <c r="J265" s="20" t="s">
        <v>1172</v>
      </c>
      <c r="K265" s="29">
        <v>85.2</v>
      </c>
      <c r="L265" s="29"/>
      <c r="M265" s="29"/>
      <c r="N265" s="19">
        <v>0.39</v>
      </c>
      <c r="V265" s="29"/>
      <c r="W265" s="29"/>
      <c r="X265" s="29"/>
      <c r="Y265" s="29"/>
      <c r="Z265" s="29"/>
      <c r="AA265" s="19"/>
      <c r="AI265" s="29"/>
      <c r="AL265" s="29"/>
      <c r="AO265" s="20">
        <v>3</v>
      </c>
    </row>
    <row r="266" spans="1:41">
      <c r="A266" s="19">
        <f t="shared" si="142"/>
        <v>265</v>
      </c>
      <c r="B266" s="29" t="s">
        <v>197</v>
      </c>
      <c r="C266" s="29">
        <v>4</v>
      </c>
      <c r="D266" s="29" t="s">
        <v>939</v>
      </c>
      <c r="E266" s="29" t="s">
        <v>324</v>
      </c>
      <c r="F266" s="19"/>
      <c r="G266" s="29"/>
      <c r="H266" s="29"/>
      <c r="I266" s="19">
        <v>3.7</v>
      </c>
      <c r="J266" s="20" t="s">
        <v>1172</v>
      </c>
      <c r="K266" s="29">
        <v>80.97</v>
      </c>
      <c r="L266" s="29"/>
      <c r="M266" s="29"/>
      <c r="N266" s="19">
        <v>0.61</v>
      </c>
      <c r="V266" s="29"/>
      <c r="W266" s="29"/>
      <c r="X266" s="29"/>
      <c r="Y266" s="29"/>
      <c r="Z266" s="29"/>
      <c r="AA266" s="19"/>
      <c r="AI266" s="29"/>
      <c r="AL266" s="29"/>
      <c r="AO266" s="20">
        <v>3</v>
      </c>
    </row>
    <row r="267" spans="1:41">
      <c r="A267" s="19">
        <f t="shared" si="142"/>
        <v>266</v>
      </c>
      <c r="B267" s="29" t="s">
        <v>197</v>
      </c>
      <c r="C267" s="29">
        <v>4</v>
      </c>
      <c r="D267" s="29" t="s">
        <v>939</v>
      </c>
      <c r="E267" s="29" t="s">
        <v>325</v>
      </c>
      <c r="F267" s="19" t="s">
        <v>405</v>
      </c>
      <c r="G267" s="29"/>
      <c r="H267" s="29"/>
      <c r="I267" s="19">
        <v>2.56</v>
      </c>
      <c r="J267" s="20" t="s">
        <v>1172</v>
      </c>
      <c r="K267" s="29">
        <v>32.39</v>
      </c>
      <c r="L267" s="29"/>
      <c r="M267" s="29"/>
      <c r="N267" s="19">
        <v>1.76</v>
      </c>
      <c r="V267" s="29"/>
      <c r="W267" s="29"/>
      <c r="X267" s="29"/>
      <c r="Y267" s="29"/>
      <c r="Z267" s="29"/>
      <c r="AA267" s="19"/>
      <c r="AI267" s="29"/>
      <c r="AL267" s="29"/>
      <c r="AO267" s="20">
        <v>3</v>
      </c>
    </row>
    <row r="268" spans="1:41">
      <c r="A268" s="19">
        <f t="shared" si="142"/>
        <v>267</v>
      </c>
      <c r="B268" s="29" t="s">
        <v>197</v>
      </c>
      <c r="C268" s="29">
        <v>4</v>
      </c>
      <c r="D268" s="29" t="s">
        <v>939</v>
      </c>
      <c r="E268" s="29" t="s">
        <v>326</v>
      </c>
      <c r="F268" s="19"/>
      <c r="G268" s="29"/>
      <c r="H268" s="29"/>
      <c r="I268" s="19">
        <v>3.79</v>
      </c>
      <c r="J268" s="20" t="s">
        <v>1172</v>
      </c>
      <c r="K268" s="29">
        <v>83.8</v>
      </c>
      <c r="L268" s="29"/>
      <c r="M268" s="29"/>
      <c r="N268" s="19">
        <v>0.4</v>
      </c>
      <c r="V268" s="29"/>
      <c r="W268" s="29"/>
      <c r="X268" s="29"/>
      <c r="Y268" s="29"/>
      <c r="Z268" s="29"/>
      <c r="AA268" s="19"/>
      <c r="AI268" s="29"/>
      <c r="AL268" s="29"/>
      <c r="AO268" s="20">
        <v>3</v>
      </c>
    </row>
    <row r="269" spans="1:41">
      <c r="A269" s="19">
        <f t="shared" si="142"/>
        <v>268</v>
      </c>
      <c r="B269" s="29" t="s">
        <v>197</v>
      </c>
      <c r="C269" s="29">
        <v>4</v>
      </c>
      <c r="D269" s="29" t="s">
        <v>939</v>
      </c>
      <c r="E269" s="29" t="s">
        <v>327</v>
      </c>
      <c r="F269" s="19" t="s">
        <v>406</v>
      </c>
      <c r="G269" s="29"/>
      <c r="H269" s="29"/>
      <c r="I269" s="19">
        <v>2.0699999999999998</v>
      </c>
      <c r="J269" s="20" t="s">
        <v>1172</v>
      </c>
      <c r="K269" s="29">
        <v>15.42</v>
      </c>
      <c r="L269" s="29"/>
      <c r="M269" s="29"/>
      <c r="N269" s="19">
        <v>1.77</v>
      </c>
      <c r="V269" s="29"/>
      <c r="W269" s="29"/>
      <c r="X269" s="29"/>
      <c r="Y269" s="29"/>
      <c r="Z269" s="29"/>
      <c r="AA269" s="19"/>
      <c r="AI269" s="29"/>
      <c r="AL269" s="29"/>
      <c r="AO269" s="20">
        <v>3</v>
      </c>
    </row>
    <row r="270" spans="1:41">
      <c r="A270" s="19">
        <f t="shared" si="142"/>
        <v>269</v>
      </c>
      <c r="B270" s="29" t="s">
        <v>197</v>
      </c>
      <c r="C270" s="29">
        <v>4</v>
      </c>
      <c r="D270" s="29" t="s">
        <v>939</v>
      </c>
      <c r="E270" s="29" t="s">
        <v>328</v>
      </c>
      <c r="F270" s="19"/>
      <c r="G270" s="29"/>
      <c r="H270" s="29"/>
      <c r="I270" s="19">
        <v>3.96</v>
      </c>
      <c r="J270" s="20" t="s">
        <v>1172</v>
      </c>
      <c r="K270" s="29">
        <v>86.57</v>
      </c>
      <c r="L270" s="29"/>
      <c r="M270" s="29"/>
      <c r="N270" s="19">
        <v>0.4</v>
      </c>
      <c r="V270" s="29"/>
      <c r="W270" s="29"/>
      <c r="X270" s="29"/>
      <c r="Y270" s="29"/>
      <c r="Z270" s="29"/>
      <c r="AA270" s="19"/>
      <c r="AI270" s="29"/>
      <c r="AL270" s="29"/>
      <c r="AO270" s="20">
        <v>3</v>
      </c>
    </row>
    <row r="271" spans="1:41">
      <c r="A271" s="19">
        <f t="shared" si="142"/>
        <v>270</v>
      </c>
      <c r="B271" s="29" t="s">
        <v>197</v>
      </c>
      <c r="C271" s="29">
        <v>4</v>
      </c>
      <c r="D271" s="29" t="s">
        <v>939</v>
      </c>
      <c r="E271" s="29" t="s">
        <v>335</v>
      </c>
      <c r="F271" s="19"/>
      <c r="G271" s="29"/>
      <c r="H271" s="29"/>
      <c r="I271" s="19">
        <v>4</v>
      </c>
      <c r="J271" s="20" t="s">
        <v>1172</v>
      </c>
      <c r="K271" s="29">
        <v>91.57</v>
      </c>
      <c r="L271" s="29"/>
      <c r="M271" s="29"/>
      <c r="N271" s="19">
        <v>0.43</v>
      </c>
      <c r="V271" s="29"/>
      <c r="W271" s="29"/>
      <c r="X271" s="29"/>
      <c r="Y271" s="29"/>
      <c r="Z271" s="29"/>
      <c r="AA271" s="19"/>
      <c r="AI271" s="29"/>
      <c r="AL271" s="29"/>
      <c r="AO271" s="20">
        <v>3</v>
      </c>
    </row>
    <row r="272" spans="1:41">
      <c r="A272" s="19">
        <f t="shared" si="142"/>
        <v>271</v>
      </c>
      <c r="B272" s="29" t="s">
        <v>197</v>
      </c>
      <c r="C272" s="29">
        <v>4</v>
      </c>
      <c r="D272" s="29" t="s">
        <v>939</v>
      </c>
      <c r="E272" s="29" t="s">
        <v>331</v>
      </c>
      <c r="F272" s="19"/>
      <c r="G272" s="29"/>
      <c r="H272" s="29"/>
      <c r="I272" s="19">
        <v>3.9</v>
      </c>
      <c r="J272" s="20" t="s">
        <v>1172</v>
      </c>
      <c r="K272" s="29">
        <v>87.6</v>
      </c>
      <c r="L272" s="29"/>
      <c r="M272" s="29"/>
      <c r="N272" s="19"/>
      <c r="V272" s="29"/>
      <c r="W272" s="29"/>
      <c r="X272" s="29"/>
      <c r="Y272" s="29"/>
      <c r="Z272" s="29"/>
      <c r="AA272" s="19"/>
      <c r="AI272" s="29"/>
      <c r="AL272" s="29"/>
      <c r="AO272" s="20">
        <v>3</v>
      </c>
    </row>
    <row r="273" spans="1:41">
      <c r="A273" s="19">
        <f t="shared" si="142"/>
        <v>272</v>
      </c>
      <c r="B273" s="29" t="s">
        <v>219</v>
      </c>
      <c r="C273" s="29">
        <v>4</v>
      </c>
      <c r="D273" s="29" t="s">
        <v>939</v>
      </c>
      <c r="E273" s="29" t="s">
        <v>297</v>
      </c>
      <c r="F273" s="19"/>
      <c r="G273" s="29"/>
      <c r="H273" s="29"/>
      <c r="I273" s="19">
        <v>2.2000000000000002</v>
      </c>
      <c r="J273" s="20" t="s">
        <v>1172</v>
      </c>
      <c r="K273" s="29">
        <v>4.42</v>
      </c>
      <c r="L273" s="29"/>
      <c r="M273" s="29"/>
      <c r="N273" s="19">
        <v>3.03</v>
      </c>
      <c r="AO273" s="20">
        <v>3</v>
      </c>
    </row>
    <row r="274" spans="1:41">
      <c r="A274" s="19">
        <f t="shared" si="142"/>
        <v>273</v>
      </c>
      <c r="B274" s="29" t="s">
        <v>219</v>
      </c>
      <c r="C274" s="29">
        <v>4</v>
      </c>
      <c r="D274" s="29" t="s">
        <v>939</v>
      </c>
      <c r="E274" s="29" t="s">
        <v>298</v>
      </c>
      <c r="F274" s="19"/>
      <c r="G274" s="29"/>
      <c r="H274" s="29"/>
      <c r="I274" s="19">
        <v>2.09</v>
      </c>
      <c r="J274" s="20" t="s">
        <v>1172</v>
      </c>
      <c r="K274" s="29">
        <v>5.42</v>
      </c>
      <c r="L274" s="29"/>
      <c r="M274" s="29"/>
      <c r="N274" s="19">
        <v>3.61</v>
      </c>
      <c r="AO274" s="20">
        <v>3</v>
      </c>
    </row>
    <row r="275" spans="1:41">
      <c r="A275" s="19">
        <f t="shared" si="142"/>
        <v>274</v>
      </c>
      <c r="B275" s="29" t="s">
        <v>219</v>
      </c>
      <c r="C275" s="29">
        <v>4</v>
      </c>
      <c r="D275" s="29" t="s">
        <v>939</v>
      </c>
      <c r="E275" s="29" t="s">
        <v>299</v>
      </c>
      <c r="F275" s="19" t="s">
        <v>412</v>
      </c>
      <c r="G275" s="29"/>
      <c r="H275" s="29"/>
      <c r="I275" s="19">
        <v>2.23</v>
      </c>
      <c r="J275" s="20" t="s">
        <v>1172</v>
      </c>
      <c r="K275" s="29">
        <v>6.5</v>
      </c>
      <c r="L275" s="29"/>
      <c r="M275" s="29"/>
      <c r="N275" s="19">
        <v>2.33</v>
      </c>
      <c r="AO275" s="20">
        <v>3</v>
      </c>
    </row>
    <row r="276" spans="1:41">
      <c r="A276" s="19">
        <f t="shared" si="142"/>
        <v>275</v>
      </c>
      <c r="B276" s="29" t="s">
        <v>219</v>
      </c>
      <c r="C276" s="29">
        <v>4</v>
      </c>
      <c r="D276" s="29" t="s">
        <v>939</v>
      </c>
      <c r="E276" s="29" t="s">
        <v>299</v>
      </c>
      <c r="F276" s="19" t="s">
        <v>393</v>
      </c>
      <c r="G276" s="29"/>
      <c r="H276" s="29"/>
      <c r="I276" s="19">
        <v>2.08</v>
      </c>
      <c r="J276" s="20" t="s">
        <v>1172</v>
      </c>
      <c r="K276" s="29">
        <v>1.55</v>
      </c>
      <c r="L276" s="29"/>
      <c r="M276" s="29"/>
      <c r="N276" s="19">
        <v>3.6</v>
      </c>
      <c r="AO276" s="20">
        <v>3</v>
      </c>
    </row>
    <row r="277" spans="1:41">
      <c r="A277" s="19">
        <f t="shared" si="142"/>
        <v>276</v>
      </c>
      <c r="B277" s="29" t="s">
        <v>219</v>
      </c>
      <c r="C277" s="29">
        <v>4</v>
      </c>
      <c r="D277" s="29" t="s">
        <v>939</v>
      </c>
      <c r="E277" s="29" t="s">
        <v>300</v>
      </c>
      <c r="F277" s="19"/>
      <c r="G277" s="29"/>
      <c r="H277" s="29"/>
      <c r="I277" s="19">
        <v>2.17</v>
      </c>
      <c r="J277" s="20" t="s">
        <v>1172</v>
      </c>
      <c r="K277" s="29">
        <v>4.82</v>
      </c>
      <c r="L277" s="29"/>
      <c r="M277" s="29"/>
      <c r="N277" s="19">
        <v>1.56</v>
      </c>
      <c r="AO277" s="20">
        <v>3</v>
      </c>
    </row>
    <row r="278" spans="1:41">
      <c r="A278" s="19">
        <f t="shared" si="142"/>
        <v>277</v>
      </c>
      <c r="B278" s="29" t="s">
        <v>197</v>
      </c>
      <c r="C278" s="29">
        <v>4</v>
      </c>
      <c r="D278" s="29" t="s">
        <v>939</v>
      </c>
      <c r="E278" s="27" t="s">
        <v>534</v>
      </c>
      <c r="F278" s="20" t="s">
        <v>576</v>
      </c>
      <c r="H278" s="27">
        <v>0.41799999999999998</v>
      </c>
      <c r="J278" s="20" t="s">
        <v>1172</v>
      </c>
      <c r="AO278" s="20">
        <v>3</v>
      </c>
    </row>
    <row r="279" spans="1:41">
      <c r="A279" s="19">
        <f t="shared" si="142"/>
        <v>278</v>
      </c>
      <c r="B279" s="29" t="s">
        <v>197</v>
      </c>
      <c r="C279" s="29">
        <v>4</v>
      </c>
      <c r="D279" s="29" t="s">
        <v>939</v>
      </c>
      <c r="E279" s="27" t="s">
        <v>534</v>
      </c>
      <c r="F279" s="20" t="s">
        <v>577</v>
      </c>
      <c r="G279" s="27">
        <v>0.86</v>
      </c>
      <c r="H279" s="27">
        <v>0.219</v>
      </c>
      <c r="J279" s="20" t="s">
        <v>1172</v>
      </c>
      <c r="K279" s="27">
        <v>41.6</v>
      </c>
      <c r="AO279" s="20">
        <v>3</v>
      </c>
    </row>
    <row r="280" spans="1:41">
      <c r="A280" s="19">
        <f t="shared" si="142"/>
        <v>279</v>
      </c>
      <c r="B280" s="29" t="s">
        <v>197</v>
      </c>
      <c r="C280" s="29">
        <v>4</v>
      </c>
      <c r="D280" s="29" t="s">
        <v>939</v>
      </c>
      <c r="E280" s="27" t="s">
        <v>535</v>
      </c>
      <c r="F280" s="20" t="s">
        <v>578</v>
      </c>
      <c r="H280" s="27">
        <v>0.55900000000000005</v>
      </c>
      <c r="J280" s="20" t="s">
        <v>1172</v>
      </c>
      <c r="K280" s="27">
        <v>87</v>
      </c>
      <c r="AO280" s="20">
        <v>3</v>
      </c>
    </row>
    <row r="281" spans="1:41">
      <c r="A281" s="19">
        <f t="shared" si="142"/>
        <v>280</v>
      </c>
      <c r="B281" s="29" t="s">
        <v>197</v>
      </c>
      <c r="C281" s="29">
        <v>4</v>
      </c>
      <c r="D281" s="29" t="s">
        <v>939</v>
      </c>
      <c r="E281" s="27" t="s">
        <v>536</v>
      </c>
      <c r="F281" s="20" t="s">
        <v>579</v>
      </c>
      <c r="H281" s="27">
        <v>0.54900000000000004</v>
      </c>
      <c r="J281" s="20" t="s">
        <v>1172</v>
      </c>
      <c r="AO281" s="20">
        <v>3</v>
      </c>
    </row>
    <row r="282" spans="1:41">
      <c r="A282" s="19">
        <f t="shared" si="142"/>
        <v>281</v>
      </c>
      <c r="B282" s="29" t="s">
        <v>197</v>
      </c>
      <c r="C282" s="29">
        <v>4</v>
      </c>
      <c r="D282" s="29" t="s">
        <v>939</v>
      </c>
      <c r="E282" s="27" t="s">
        <v>537</v>
      </c>
      <c r="F282" s="20" t="s">
        <v>577</v>
      </c>
      <c r="G282" s="27">
        <v>1.32</v>
      </c>
      <c r="H282" s="27">
        <v>0.375</v>
      </c>
      <c r="J282" s="20" t="s">
        <v>1172</v>
      </c>
      <c r="K282" s="27">
        <v>43.6</v>
      </c>
      <c r="AO282" s="20">
        <v>3</v>
      </c>
    </row>
    <row r="283" spans="1:41">
      <c r="A283" s="19">
        <f t="shared" si="142"/>
        <v>282</v>
      </c>
      <c r="B283" s="29" t="s">
        <v>197</v>
      </c>
      <c r="C283" s="29">
        <v>4</v>
      </c>
      <c r="D283" s="29" t="s">
        <v>939</v>
      </c>
      <c r="E283" s="27" t="s">
        <v>538</v>
      </c>
      <c r="F283" s="20" t="s">
        <v>580</v>
      </c>
      <c r="G283" s="27">
        <v>0.75</v>
      </c>
      <c r="H283" s="27">
        <v>0.39800000000000002</v>
      </c>
      <c r="J283" s="20" t="s">
        <v>1172</v>
      </c>
      <c r="AO283" s="20">
        <v>3</v>
      </c>
    </row>
    <row r="284" spans="1:41">
      <c r="A284" s="19">
        <f t="shared" si="142"/>
        <v>283</v>
      </c>
      <c r="B284" s="29" t="s">
        <v>197</v>
      </c>
      <c r="C284" s="29">
        <v>4</v>
      </c>
      <c r="D284" s="29" t="s">
        <v>939</v>
      </c>
      <c r="E284" s="27" t="s">
        <v>265</v>
      </c>
      <c r="F284" s="20" t="s">
        <v>581</v>
      </c>
      <c r="H284" s="27">
        <v>0.60099999999999998</v>
      </c>
      <c r="J284" s="20" t="s">
        <v>1172</v>
      </c>
      <c r="K284" s="27">
        <v>87.6</v>
      </c>
      <c r="AO284" s="20">
        <v>3</v>
      </c>
    </row>
    <row r="285" spans="1:41">
      <c r="A285" s="19">
        <f t="shared" si="142"/>
        <v>284</v>
      </c>
      <c r="B285" s="29" t="s">
        <v>197</v>
      </c>
      <c r="C285" s="29">
        <v>4</v>
      </c>
      <c r="D285" s="29" t="s">
        <v>939</v>
      </c>
      <c r="E285" s="27" t="s">
        <v>539</v>
      </c>
      <c r="F285" s="20" t="s">
        <v>582</v>
      </c>
      <c r="G285" s="27">
        <v>1.32</v>
      </c>
      <c r="H285" s="27">
        <v>0.33700000000000002</v>
      </c>
      <c r="J285" s="20" t="s">
        <v>1172</v>
      </c>
      <c r="K285" s="27">
        <v>34.5</v>
      </c>
      <c r="AO285" s="20">
        <v>3</v>
      </c>
    </row>
    <row r="286" spans="1:41">
      <c r="A286" s="19">
        <f t="shared" si="142"/>
        <v>285</v>
      </c>
      <c r="B286" s="29" t="s">
        <v>197</v>
      </c>
      <c r="C286" s="29">
        <v>4</v>
      </c>
      <c r="D286" s="29" t="s">
        <v>939</v>
      </c>
      <c r="E286" s="27" t="s">
        <v>540</v>
      </c>
      <c r="F286" s="20" t="s">
        <v>582</v>
      </c>
      <c r="G286" s="27">
        <v>1.24</v>
      </c>
      <c r="H286" s="27">
        <v>0.31</v>
      </c>
      <c r="J286" s="20" t="s">
        <v>1172</v>
      </c>
      <c r="K286" s="27">
        <v>40.4</v>
      </c>
      <c r="AO286" s="20">
        <v>3</v>
      </c>
    </row>
    <row r="287" spans="1:41">
      <c r="A287" s="19">
        <f t="shared" si="142"/>
        <v>286</v>
      </c>
      <c r="B287" s="29" t="s">
        <v>197</v>
      </c>
      <c r="C287" s="29">
        <v>4</v>
      </c>
      <c r="D287" s="29" t="s">
        <v>939</v>
      </c>
      <c r="E287" s="27" t="s">
        <v>312</v>
      </c>
      <c r="F287" s="20" t="s">
        <v>583</v>
      </c>
      <c r="H287" s="27">
        <v>0.46200000000000002</v>
      </c>
      <c r="J287" s="20" t="s">
        <v>1172</v>
      </c>
      <c r="AO287" s="20">
        <v>3</v>
      </c>
    </row>
    <row r="288" spans="1:41">
      <c r="A288" s="19">
        <f t="shared" si="142"/>
        <v>287</v>
      </c>
      <c r="B288" s="29" t="s">
        <v>197</v>
      </c>
      <c r="C288" s="29">
        <v>4</v>
      </c>
      <c r="D288" s="29" t="s">
        <v>939</v>
      </c>
      <c r="E288" s="27" t="s">
        <v>312</v>
      </c>
      <c r="F288" s="20" t="s">
        <v>584</v>
      </c>
      <c r="H288" s="27">
        <v>0.23699999999999999</v>
      </c>
      <c r="J288" s="20" t="s">
        <v>1172</v>
      </c>
      <c r="AO288" s="20">
        <v>3</v>
      </c>
    </row>
    <row r="289" spans="1:41">
      <c r="A289" s="19">
        <f t="shared" si="142"/>
        <v>288</v>
      </c>
      <c r="B289" s="29" t="s">
        <v>197</v>
      </c>
      <c r="C289" s="29">
        <v>4</v>
      </c>
      <c r="D289" s="29" t="s">
        <v>939</v>
      </c>
      <c r="E289" s="27" t="s">
        <v>541</v>
      </c>
      <c r="F289" s="20" t="s">
        <v>585</v>
      </c>
      <c r="H289" s="27">
        <v>0.56699999999999995</v>
      </c>
      <c r="J289" s="20" t="s">
        <v>1172</v>
      </c>
      <c r="K289" s="27">
        <v>89</v>
      </c>
      <c r="AO289" s="20">
        <v>3</v>
      </c>
    </row>
    <row r="290" spans="1:41">
      <c r="A290" s="19">
        <f t="shared" si="142"/>
        <v>289</v>
      </c>
      <c r="B290" s="29" t="s">
        <v>197</v>
      </c>
      <c r="C290" s="29">
        <v>4</v>
      </c>
      <c r="D290" s="29" t="s">
        <v>939</v>
      </c>
      <c r="E290" s="27" t="s">
        <v>541</v>
      </c>
      <c r="F290" s="20" t="s">
        <v>586</v>
      </c>
      <c r="G290" s="27">
        <v>1.32</v>
      </c>
      <c r="H290" s="27">
        <v>0.39100000000000001</v>
      </c>
      <c r="J290" s="20" t="s">
        <v>1172</v>
      </c>
      <c r="K290" s="27">
        <v>42</v>
      </c>
      <c r="AO290" s="20">
        <v>3</v>
      </c>
    </row>
    <row r="291" spans="1:41">
      <c r="A291" s="19">
        <f t="shared" si="142"/>
        <v>290</v>
      </c>
      <c r="B291" s="29" t="s">
        <v>197</v>
      </c>
      <c r="C291" s="29">
        <v>4</v>
      </c>
      <c r="D291" s="29" t="s">
        <v>939</v>
      </c>
      <c r="E291" s="27" t="s">
        <v>317</v>
      </c>
      <c r="F291" s="20" t="s">
        <v>587</v>
      </c>
      <c r="H291" s="27">
        <v>0.58499999999999996</v>
      </c>
      <c r="J291" s="20" t="s">
        <v>1172</v>
      </c>
      <c r="K291" s="27">
        <v>82.9</v>
      </c>
      <c r="AO291" s="20">
        <v>3</v>
      </c>
    </row>
    <row r="292" spans="1:41">
      <c r="A292" s="19">
        <f t="shared" si="142"/>
        <v>291</v>
      </c>
      <c r="B292" s="29" t="s">
        <v>197</v>
      </c>
      <c r="C292" s="29">
        <v>4</v>
      </c>
      <c r="D292" s="29" t="s">
        <v>939</v>
      </c>
      <c r="E292" s="27" t="s">
        <v>283</v>
      </c>
      <c r="F292" s="20" t="s">
        <v>587</v>
      </c>
      <c r="H292" s="27">
        <v>0.57499999999999996</v>
      </c>
      <c r="J292" s="20" t="s">
        <v>1172</v>
      </c>
      <c r="AO292" s="20">
        <v>3</v>
      </c>
    </row>
    <row r="293" spans="1:41">
      <c r="A293" s="19">
        <f t="shared" si="142"/>
        <v>292</v>
      </c>
      <c r="B293" s="29" t="s">
        <v>197</v>
      </c>
      <c r="C293" s="29">
        <v>4</v>
      </c>
      <c r="D293" s="29" t="s">
        <v>939</v>
      </c>
      <c r="E293" s="27" t="s">
        <v>542</v>
      </c>
      <c r="F293" s="20" t="s">
        <v>583</v>
      </c>
      <c r="H293" s="27">
        <v>0.435</v>
      </c>
      <c r="J293" s="20" t="s">
        <v>1172</v>
      </c>
      <c r="AO293" s="20">
        <v>3</v>
      </c>
    </row>
    <row r="294" spans="1:41">
      <c r="A294" s="19">
        <f t="shared" si="142"/>
        <v>293</v>
      </c>
      <c r="B294" s="29" t="s">
        <v>197</v>
      </c>
      <c r="C294" s="29">
        <v>4</v>
      </c>
      <c r="D294" s="29" t="s">
        <v>939</v>
      </c>
      <c r="E294" s="27" t="s">
        <v>542</v>
      </c>
      <c r="F294" s="20" t="s">
        <v>588</v>
      </c>
      <c r="H294" s="27">
        <v>0.17899999999999999</v>
      </c>
      <c r="J294" s="20" t="s">
        <v>1172</v>
      </c>
      <c r="AO294" s="20">
        <v>3</v>
      </c>
    </row>
    <row r="295" spans="1:41">
      <c r="A295" s="19">
        <f t="shared" si="142"/>
        <v>294</v>
      </c>
      <c r="B295" s="29" t="s">
        <v>197</v>
      </c>
      <c r="C295" s="29">
        <v>4</v>
      </c>
      <c r="D295" s="29" t="s">
        <v>939</v>
      </c>
      <c r="E295" s="27" t="s">
        <v>543</v>
      </c>
      <c r="F295" s="20" t="s">
        <v>589</v>
      </c>
      <c r="G295" s="27">
        <v>0.7</v>
      </c>
      <c r="H295" s="27">
        <v>0.315</v>
      </c>
      <c r="J295" s="20" t="s">
        <v>1172</v>
      </c>
      <c r="AO295" s="20">
        <v>3</v>
      </c>
    </row>
    <row r="296" spans="1:41">
      <c r="A296" s="19">
        <f t="shared" si="142"/>
        <v>295</v>
      </c>
      <c r="B296" s="29" t="s">
        <v>197</v>
      </c>
      <c r="C296" s="29">
        <v>4</v>
      </c>
      <c r="D296" s="29" t="s">
        <v>939</v>
      </c>
      <c r="E296" s="27" t="s">
        <v>575</v>
      </c>
      <c r="F296" s="20" t="s">
        <v>577</v>
      </c>
      <c r="G296" s="27">
        <v>1.26</v>
      </c>
      <c r="H296" s="27">
        <v>0.36099999999999999</v>
      </c>
      <c r="J296" s="20" t="s">
        <v>1172</v>
      </c>
      <c r="K296" s="27">
        <v>43.4</v>
      </c>
      <c r="AO296" s="20">
        <v>3</v>
      </c>
    </row>
    <row r="297" spans="1:41">
      <c r="A297" s="19">
        <f t="shared" si="142"/>
        <v>296</v>
      </c>
      <c r="B297" s="29" t="s">
        <v>197</v>
      </c>
      <c r="C297" s="29">
        <v>4</v>
      </c>
      <c r="D297" s="29" t="s">
        <v>939</v>
      </c>
      <c r="E297" s="27" t="s">
        <v>320</v>
      </c>
      <c r="F297" s="20" t="s">
        <v>590</v>
      </c>
      <c r="H297" s="27">
        <v>0.59499999999999997</v>
      </c>
      <c r="J297" s="20" t="s">
        <v>1172</v>
      </c>
      <c r="AO297" s="20">
        <v>3</v>
      </c>
    </row>
    <row r="298" spans="1:41">
      <c r="A298" s="19">
        <f t="shared" si="142"/>
        <v>297</v>
      </c>
      <c r="B298" s="29" t="s">
        <v>197</v>
      </c>
      <c r="C298" s="29">
        <v>4</v>
      </c>
      <c r="D298" s="29" t="s">
        <v>939</v>
      </c>
      <c r="E298" s="27" t="s">
        <v>544</v>
      </c>
      <c r="F298" s="20" t="s">
        <v>578</v>
      </c>
      <c r="H298" s="27">
        <v>0.55000000000000004</v>
      </c>
      <c r="J298" s="20" t="s">
        <v>1172</v>
      </c>
      <c r="K298" s="27">
        <v>85</v>
      </c>
      <c r="AO298" s="20">
        <v>3</v>
      </c>
    </row>
    <row r="299" spans="1:41">
      <c r="A299" s="19">
        <f t="shared" si="142"/>
        <v>298</v>
      </c>
      <c r="B299" s="29" t="s">
        <v>197</v>
      </c>
      <c r="C299" s="29">
        <v>4</v>
      </c>
      <c r="D299" s="29" t="s">
        <v>939</v>
      </c>
      <c r="E299" s="27" t="s">
        <v>545</v>
      </c>
      <c r="F299" s="20" t="s">
        <v>591</v>
      </c>
      <c r="G299" s="27">
        <v>1.01</v>
      </c>
      <c r="H299" s="27">
        <v>0.47899999999999998</v>
      </c>
      <c r="J299" s="20" t="s">
        <v>1172</v>
      </c>
      <c r="AO299" s="20">
        <v>3</v>
      </c>
    </row>
    <row r="300" spans="1:41">
      <c r="A300" s="19">
        <f t="shared" si="142"/>
        <v>299</v>
      </c>
      <c r="B300" s="29" t="s">
        <v>197</v>
      </c>
      <c r="C300" s="29">
        <v>4</v>
      </c>
      <c r="D300" s="29" t="s">
        <v>939</v>
      </c>
      <c r="E300" s="27" t="s">
        <v>546</v>
      </c>
      <c r="F300" s="20" t="s">
        <v>582</v>
      </c>
      <c r="G300" s="27">
        <v>1.22</v>
      </c>
      <c r="H300" s="27">
        <v>0.375</v>
      </c>
      <c r="J300" s="20" t="s">
        <v>1172</v>
      </c>
      <c r="K300" s="27">
        <v>42.9</v>
      </c>
      <c r="AO300" s="20">
        <v>3</v>
      </c>
    </row>
    <row r="301" spans="1:41">
      <c r="A301" s="19">
        <f t="shared" si="142"/>
        <v>300</v>
      </c>
      <c r="B301" s="29" t="s">
        <v>197</v>
      </c>
      <c r="C301" s="29">
        <v>4</v>
      </c>
      <c r="D301" s="29" t="s">
        <v>939</v>
      </c>
      <c r="E301" s="27" t="s">
        <v>547</v>
      </c>
      <c r="F301" s="20" t="s">
        <v>582</v>
      </c>
      <c r="G301" s="27">
        <v>1.38</v>
      </c>
      <c r="H301" s="27">
        <v>0.33600000000000002</v>
      </c>
      <c r="J301" s="20" t="s">
        <v>1172</v>
      </c>
      <c r="K301" s="27">
        <v>32.200000000000003</v>
      </c>
      <c r="AO301" s="20">
        <v>3</v>
      </c>
    </row>
    <row r="302" spans="1:41">
      <c r="A302" s="19">
        <f t="shared" si="142"/>
        <v>301</v>
      </c>
      <c r="B302" s="29" t="s">
        <v>197</v>
      </c>
      <c r="C302" s="29">
        <v>4</v>
      </c>
      <c r="D302" s="29" t="s">
        <v>939</v>
      </c>
      <c r="E302" s="27" t="s">
        <v>548</v>
      </c>
      <c r="F302" s="20" t="s">
        <v>592</v>
      </c>
      <c r="G302" s="27">
        <v>1.31</v>
      </c>
      <c r="H302" s="27">
        <v>0.33800000000000002</v>
      </c>
      <c r="J302" s="20" t="s">
        <v>1172</v>
      </c>
      <c r="K302" s="27">
        <v>41</v>
      </c>
      <c r="AO302" s="20">
        <v>3</v>
      </c>
    </row>
    <row r="303" spans="1:41">
      <c r="A303" s="19">
        <f t="shared" si="142"/>
        <v>302</v>
      </c>
      <c r="B303" s="29" t="s">
        <v>197</v>
      </c>
      <c r="C303" s="29">
        <v>4</v>
      </c>
      <c r="D303" s="29" t="s">
        <v>939</v>
      </c>
      <c r="E303" s="27" t="s">
        <v>549</v>
      </c>
      <c r="F303" s="20" t="s">
        <v>576</v>
      </c>
      <c r="H303" s="27">
        <v>0.502</v>
      </c>
      <c r="J303" s="20" t="s">
        <v>1172</v>
      </c>
      <c r="AO303" s="20">
        <v>3</v>
      </c>
    </row>
    <row r="304" spans="1:41">
      <c r="A304" s="19">
        <f t="shared" si="142"/>
        <v>303</v>
      </c>
      <c r="B304" s="29" t="s">
        <v>197</v>
      </c>
      <c r="C304" s="29">
        <v>4</v>
      </c>
      <c r="D304" s="29" t="s">
        <v>939</v>
      </c>
      <c r="E304" s="27" t="s">
        <v>461</v>
      </c>
      <c r="F304" s="20" t="s">
        <v>656</v>
      </c>
      <c r="G304" s="27">
        <v>0.75</v>
      </c>
      <c r="H304" s="27">
        <v>0.14000000000000001</v>
      </c>
      <c r="J304" s="20" t="s">
        <v>1172</v>
      </c>
      <c r="K304" s="27">
        <v>0.9</v>
      </c>
      <c r="AO304" s="20">
        <v>3</v>
      </c>
    </row>
    <row r="305" spans="1:41">
      <c r="A305" s="19">
        <f t="shared" si="142"/>
        <v>304</v>
      </c>
      <c r="B305" s="29" t="s">
        <v>197</v>
      </c>
      <c r="C305" s="29">
        <v>4</v>
      </c>
      <c r="D305" s="29" t="s">
        <v>939</v>
      </c>
      <c r="E305" s="27" t="s">
        <v>461</v>
      </c>
      <c r="F305" s="20" t="s">
        <v>656</v>
      </c>
      <c r="G305" s="27">
        <v>0.75</v>
      </c>
      <c r="H305" s="27">
        <v>0.159</v>
      </c>
      <c r="J305" s="20" t="s">
        <v>1172</v>
      </c>
      <c r="K305" s="27">
        <v>14.7</v>
      </c>
      <c r="AO305" s="20">
        <v>3</v>
      </c>
    </row>
    <row r="306" spans="1:41">
      <c r="A306" s="19">
        <f t="shared" si="142"/>
        <v>305</v>
      </c>
      <c r="B306" s="29" t="s">
        <v>197</v>
      </c>
      <c r="C306" s="29">
        <v>4</v>
      </c>
      <c r="D306" s="29" t="s">
        <v>939</v>
      </c>
      <c r="E306" s="27" t="s">
        <v>461</v>
      </c>
      <c r="F306" s="20" t="s">
        <v>656</v>
      </c>
      <c r="G306" s="27">
        <v>0.68</v>
      </c>
      <c r="H306" s="27">
        <v>0.17199999999999999</v>
      </c>
      <c r="J306" s="20" t="s">
        <v>1172</v>
      </c>
      <c r="K306" s="27">
        <v>30.2</v>
      </c>
      <c r="AO306" s="20">
        <v>3</v>
      </c>
    </row>
    <row r="307" spans="1:41">
      <c r="A307" s="19">
        <f t="shared" si="142"/>
        <v>306</v>
      </c>
      <c r="B307" s="29" t="s">
        <v>197</v>
      </c>
      <c r="C307" s="29">
        <v>4</v>
      </c>
      <c r="D307" s="29" t="s">
        <v>939</v>
      </c>
      <c r="E307" s="27" t="s">
        <v>564</v>
      </c>
      <c r="F307" s="20" t="s">
        <v>657</v>
      </c>
      <c r="G307" s="27">
        <v>0.66</v>
      </c>
      <c r="H307" s="27">
        <v>0.115</v>
      </c>
      <c r="J307" s="20" t="s">
        <v>1172</v>
      </c>
      <c r="AO307" s="20">
        <v>3</v>
      </c>
    </row>
    <row r="308" spans="1:41">
      <c r="A308" s="19">
        <f t="shared" si="142"/>
        <v>307</v>
      </c>
      <c r="B308" s="29" t="s">
        <v>197</v>
      </c>
      <c r="C308" s="29">
        <v>4</v>
      </c>
      <c r="D308" s="29" t="s">
        <v>939</v>
      </c>
      <c r="E308" s="27" t="s">
        <v>570</v>
      </c>
      <c r="F308" s="20" t="s">
        <v>658</v>
      </c>
      <c r="H308" s="27">
        <v>0.13</v>
      </c>
      <c r="J308" s="20" t="s">
        <v>1172</v>
      </c>
      <c r="K308" s="27">
        <v>12.7</v>
      </c>
      <c r="AO308" s="20">
        <v>3</v>
      </c>
    </row>
    <row r="309" spans="1:41">
      <c r="A309" s="19">
        <f t="shared" si="142"/>
        <v>308</v>
      </c>
      <c r="B309" s="29" t="s">
        <v>197</v>
      </c>
      <c r="C309" s="29">
        <v>4</v>
      </c>
      <c r="D309" s="29" t="s">
        <v>939</v>
      </c>
      <c r="E309" s="27" t="s">
        <v>565</v>
      </c>
      <c r="F309" s="20" t="s">
        <v>618</v>
      </c>
      <c r="H309" s="27">
        <v>0.13100000000000001</v>
      </c>
      <c r="J309" s="20" t="s">
        <v>1172</v>
      </c>
      <c r="K309" s="27">
        <v>13</v>
      </c>
      <c r="AO309" s="20">
        <v>3</v>
      </c>
    </row>
    <row r="310" spans="1:41">
      <c r="A310" s="19">
        <f t="shared" si="142"/>
        <v>309</v>
      </c>
      <c r="B310" s="29" t="s">
        <v>197</v>
      </c>
      <c r="C310" s="29">
        <v>4</v>
      </c>
      <c r="D310" s="29" t="s">
        <v>939</v>
      </c>
      <c r="E310" s="27" t="s">
        <v>565</v>
      </c>
      <c r="H310" s="27">
        <v>0.15</v>
      </c>
      <c r="J310" s="20" t="s">
        <v>1172</v>
      </c>
      <c r="K310" s="27">
        <v>22</v>
      </c>
      <c r="AO310" s="20">
        <v>3</v>
      </c>
    </row>
    <row r="311" spans="1:41">
      <c r="A311" s="19">
        <f t="shared" si="142"/>
        <v>310</v>
      </c>
      <c r="B311" s="29" t="s">
        <v>197</v>
      </c>
      <c r="C311" s="29">
        <v>4</v>
      </c>
      <c r="D311" s="29" t="s">
        <v>939</v>
      </c>
      <c r="E311" s="27" t="s">
        <v>569</v>
      </c>
      <c r="F311" s="20" t="s">
        <v>659</v>
      </c>
      <c r="H311" s="27">
        <v>0.13500000000000001</v>
      </c>
      <c r="J311" s="20" t="s">
        <v>1172</v>
      </c>
      <c r="K311" s="27">
        <v>2</v>
      </c>
      <c r="AO311" s="20">
        <v>3</v>
      </c>
    </row>
    <row r="312" spans="1:41">
      <c r="A312" s="19">
        <f t="shared" si="142"/>
        <v>311</v>
      </c>
      <c r="B312" s="29" t="s">
        <v>197</v>
      </c>
      <c r="C312" s="29">
        <v>4</v>
      </c>
      <c r="D312" s="29" t="s">
        <v>939</v>
      </c>
      <c r="E312" s="27" t="s">
        <v>569</v>
      </c>
      <c r="F312" s="20" t="s">
        <v>660</v>
      </c>
      <c r="H312" s="27">
        <v>0.14899999999999999</v>
      </c>
      <c r="J312" s="20" t="s">
        <v>1172</v>
      </c>
      <c r="K312" s="27">
        <v>7</v>
      </c>
      <c r="AO312" s="20">
        <v>3</v>
      </c>
    </row>
    <row r="313" spans="1:41">
      <c r="A313" s="19">
        <f t="shared" si="142"/>
        <v>312</v>
      </c>
      <c r="B313" s="29" t="s">
        <v>197</v>
      </c>
      <c r="C313" s="29">
        <v>4</v>
      </c>
      <c r="D313" s="29" t="s">
        <v>939</v>
      </c>
      <c r="E313" s="27" t="s">
        <v>569</v>
      </c>
      <c r="F313" s="20" t="s">
        <v>660</v>
      </c>
      <c r="H313" s="27">
        <v>0.155</v>
      </c>
      <c r="J313" s="20" t="s">
        <v>1172</v>
      </c>
      <c r="K313" s="27">
        <v>10</v>
      </c>
      <c r="AO313" s="20">
        <v>3</v>
      </c>
    </row>
    <row r="314" spans="1:41">
      <c r="A314" s="19">
        <f t="shared" si="142"/>
        <v>313</v>
      </c>
      <c r="B314" s="29" t="s">
        <v>197</v>
      </c>
      <c r="C314" s="29">
        <v>4</v>
      </c>
      <c r="D314" s="29" t="s">
        <v>939</v>
      </c>
      <c r="E314" s="27" t="s">
        <v>569</v>
      </c>
      <c r="F314" s="20" t="s">
        <v>660</v>
      </c>
      <c r="H314" s="27">
        <v>0.16800000000000001</v>
      </c>
      <c r="J314" s="20" t="s">
        <v>1172</v>
      </c>
      <c r="K314" s="27">
        <v>14</v>
      </c>
      <c r="AO314" s="20">
        <v>3</v>
      </c>
    </row>
    <row r="315" spans="1:41">
      <c r="A315" s="19">
        <f t="shared" si="142"/>
        <v>314</v>
      </c>
      <c r="B315" s="29" t="s">
        <v>197</v>
      </c>
      <c r="C315" s="29">
        <v>4</v>
      </c>
      <c r="D315" s="29" t="s">
        <v>939</v>
      </c>
      <c r="E315" s="27" t="s">
        <v>569</v>
      </c>
      <c r="F315" s="20" t="s">
        <v>661</v>
      </c>
      <c r="G315" s="27">
        <v>0.78</v>
      </c>
      <c r="H315" s="27">
        <v>0.121</v>
      </c>
      <c r="J315" s="20" t="s">
        <v>1172</v>
      </c>
      <c r="K315" s="27">
        <v>5</v>
      </c>
      <c r="AO315" s="20">
        <v>3</v>
      </c>
    </row>
    <row r="316" spans="1:41">
      <c r="A316" s="19">
        <f t="shared" si="142"/>
        <v>315</v>
      </c>
      <c r="B316" s="29" t="s">
        <v>197</v>
      </c>
      <c r="C316" s="29">
        <v>4</v>
      </c>
      <c r="D316" s="29" t="s">
        <v>939</v>
      </c>
      <c r="E316" s="27" t="s">
        <v>569</v>
      </c>
      <c r="F316" s="20" t="s">
        <v>661</v>
      </c>
      <c r="H316" s="27">
        <v>0.129</v>
      </c>
      <c r="J316" s="20" t="s">
        <v>1172</v>
      </c>
      <c r="K316" s="27">
        <v>10</v>
      </c>
      <c r="AO316" s="20">
        <v>3</v>
      </c>
    </row>
    <row r="317" spans="1:41">
      <c r="A317" s="19">
        <f t="shared" si="142"/>
        <v>316</v>
      </c>
      <c r="B317" s="29" t="s">
        <v>197</v>
      </c>
      <c r="C317" s="29">
        <v>4</v>
      </c>
      <c r="D317" s="29" t="s">
        <v>939</v>
      </c>
      <c r="E317" s="27" t="s">
        <v>569</v>
      </c>
      <c r="F317" s="20" t="s">
        <v>661</v>
      </c>
      <c r="H317" s="27">
        <v>0.13700000000000001</v>
      </c>
      <c r="J317" s="20" t="s">
        <v>1172</v>
      </c>
      <c r="K317" s="27">
        <v>15</v>
      </c>
      <c r="AO317" s="20">
        <v>3</v>
      </c>
    </row>
    <row r="318" spans="1:41">
      <c r="A318" s="19">
        <f t="shared" si="142"/>
        <v>317</v>
      </c>
      <c r="B318" s="29" t="s">
        <v>219</v>
      </c>
      <c r="C318" s="29">
        <v>4</v>
      </c>
      <c r="D318" s="29" t="s">
        <v>939</v>
      </c>
      <c r="E318" s="27" t="s">
        <v>687</v>
      </c>
      <c r="F318" s="20" t="s">
        <v>688</v>
      </c>
      <c r="G318" s="27">
        <f>AVERAGE(G314:G317)</f>
        <v>0.78</v>
      </c>
      <c r="AO318" s="20">
        <v>1</v>
      </c>
    </row>
    <row r="319" spans="1:41">
      <c r="A319" s="19">
        <f t="shared" si="142"/>
        <v>318</v>
      </c>
      <c r="B319" s="29" t="s">
        <v>219</v>
      </c>
      <c r="C319" s="29">
        <v>4</v>
      </c>
      <c r="D319" s="29" t="s">
        <v>939</v>
      </c>
      <c r="E319" s="27" t="s">
        <v>685</v>
      </c>
      <c r="F319" s="20" t="s">
        <v>688</v>
      </c>
      <c r="G319" s="27">
        <v>0.9123088562175824</v>
      </c>
      <c r="Q319" s="29"/>
      <c r="R319" s="29"/>
      <c r="S319" s="19"/>
      <c r="V319" s="33"/>
      <c r="W319" s="33"/>
      <c r="X319" s="33"/>
      <c r="Y319" s="33"/>
      <c r="Z319" s="33"/>
      <c r="AA319" s="19"/>
      <c r="AO319" s="20">
        <v>1</v>
      </c>
    </row>
    <row r="320" spans="1:41">
      <c r="A320" s="19">
        <f t="shared" si="142"/>
        <v>319</v>
      </c>
      <c r="B320" s="29" t="s">
        <v>219</v>
      </c>
      <c r="C320" s="29">
        <v>4</v>
      </c>
      <c r="D320" s="29" t="s">
        <v>939</v>
      </c>
      <c r="E320" s="27" t="s">
        <v>686</v>
      </c>
      <c r="F320" s="20" t="s">
        <v>688</v>
      </c>
      <c r="G320" s="27">
        <v>0.90165443672133827</v>
      </c>
      <c r="V320" s="33"/>
      <c r="W320" s="33"/>
      <c r="X320" s="33"/>
      <c r="Y320" s="33"/>
      <c r="Z320" s="33"/>
      <c r="AA320" s="19"/>
      <c r="AO320" s="20">
        <v>1</v>
      </c>
    </row>
    <row r="321" spans="1:41">
      <c r="A321" s="19">
        <f t="shared" si="142"/>
        <v>320</v>
      </c>
      <c r="B321" s="29" t="s">
        <v>219</v>
      </c>
      <c r="C321" s="29">
        <v>4</v>
      </c>
      <c r="D321" s="29" t="s">
        <v>939</v>
      </c>
      <c r="E321" s="27" t="s">
        <v>542</v>
      </c>
      <c r="F321" s="20" t="s">
        <v>688</v>
      </c>
      <c r="G321" s="27">
        <v>0.8153966109355737</v>
      </c>
      <c r="AO321" s="20">
        <v>1</v>
      </c>
    </row>
    <row r="322" spans="1:41">
      <c r="A322" s="19">
        <f t="shared" si="142"/>
        <v>321</v>
      </c>
      <c r="B322" s="29" t="s">
        <v>219</v>
      </c>
      <c r="C322" s="29">
        <v>4</v>
      </c>
      <c r="D322" s="29" t="s">
        <v>939</v>
      </c>
      <c r="E322" s="27" t="s">
        <v>689</v>
      </c>
      <c r="F322" s="20" t="s">
        <v>688</v>
      </c>
      <c r="G322" s="27">
        <v>1.0029999999999999</v>
      </c>
      <c r="J322" s="20" t="s">
        <v>1172</v>
      </c>
      <c r="K322" s="27">
        <v>71.47</v>
      </c>
      <c r="AO322" s="20">
        <v>2</v>
      </c>
    </row>
    <row r="323" spans="1:41">
      <c r="A323" s="19">
        <f t="shared" ref="A323:A386" si="143">A322+1</f>
        <v>322</v>
      </c>
      <c r="B323" s="29" t="s">
        <v>219</v>
      </c>
      <c r="C323" s="29">
        <v>4</v>
      </c>
      <c r="D323" s="29" t="s">
        <v>939</v>
      </c>
      <c r="E323" s="27" t="s">
        <v>690</v>
      </c>
      <c r="F323" s="20" t="s">
        <v>688</v>
      </c>
      <c r="G323" s="27">
        <v>1.046</v>
      </c>
      <c r="J323" s="20" t="s">
        <v>1172</v>
      </c>
      <c r="K323" s="27">
        <v>81.38</v>
      </c>
      <c r="AO323" s="20">
        <v>2</v>
      </c>
    </row>
    <row r="324" spans="1:41">
      <c r="A324" s="19">
        <f t="shared" si="143"/>
        <v>323</v>
      </c>
      <c r="B324" s="29" t="s">
        <v>219</v>
      </c>
      <c r="C324" s="29">
        <v>4</v>
      </c>
      <c r="D324" s="29" t="s">
        <v>939</v>
      </c>
      <c r="E324" s="27" t="s">
        <v>691</v>
      </c>
      <c r="G324" s="27">
        <v>0.61499999999999999</v>
      </c>
      <c r="V324" s="29"/>
      <c r="W324" s="29"/>
      <c r="X324" s="29"/>
      <c r="Y324" s="29"/>
      <c r="Z324" s="29"/>
      <c r="AA324" s="19"/>
      <c r="AO324" s="20">
        <v>4</v>
      </c>
    </row>
    <row r="325" spans="1:41">
      <c r="A325" s="19">
        <f t="shared" si="143"/>
        <v>324</v>
      </c>
      <c r="B325" s="29" t="s">
        <v>219</v>
      </c>
      <c r="C325" s="29">
        <v>4</v>
      </c>
      <c r="D325" s="29" t="s">
        <v>939</v>
      </c>
      <c r="E325" s="27" t="s">
        <v>692</v>
      </c>
      <c r="G325" s="27">
        <v>0.25</v>
      </c>
      <c r="V325" s="29"/>
      <c r="W325" s="29"/>
      <c r="X325" s="29"/>
      <c r="Y325" s="29"/>
      <c r="Z325" s="29"/>
      <c r="AA325" s="19"/>
      <c r="AO325" s="20">
        <v>4</v>
      </c>
    </row>
    <row r="326" spans="1:41">
      <c r="A326" s="19">
        <f t="shared" si="143"/>
        <v>325</v>
      </c>
      <c r="B326" s="29" t="s">
        <v>219</v>
      </c>
      <c r="C326" s="29">
        <v>4</v>
      </c>
      <c r="D326" s="29" t="s">
        <v>939</v>
      </c>
      <c r="E326" s="27" t="s">
        <v>693</v>
      </c>
      <c r="G326" s="27">
        <v>0.36499999999999999</v>
      </c>
      <c r="I326" s="19"/>
      <c r="K326" s="29"/>
      <c r="L326" s="29"/>
      <c r="M326" s="29"/>
      <c r="N326" s="19"/>
      <c r="P326" s="29"/>
      <c r="AO326" s="20">
        <v>4</v>
      </c>
    </row>
    <row r="327" spans="1:41">
      <c r="A327" s="19">
        <f t="shared" si="143"/>
        <v>326</v>
      </c>
      <c r="B327" s="29" t="s">
        <v>219</v>
      </c>
      <c r="C327" s="29">
        <v>4</v>
      </c>
      <c r="D327" s="29" t="s">
        <v>939</v>
      </c>
      <c r="E327" s="27" t="s">
        <v>694</v>
      </c>
      <c r="G327" s="27">
        <v>0.52500000000000002</v>
      </c>
      <c r="AO327" s="20">
        <v>4</v>
      </c>
    </row>
    <row r="328" spans="1:41">
      <c r="A328" s="19">
        <f t="shared" si="143"/>
        <v>327</v>
      </c>
      <c r="B328" s="29" t="s">
        <v>219</v>
      </c>
      <c r="C328" s="29">
        <v>4</v>
      </c>
      <c r="D328" s="29" t="s">
        <v>939</v>
      </c>
      <c r="E328" s="27" t="s">
        <v>695</v>
      </c>
      <c r="G328" s="27">
        <v>0.22500000000000001</v>
      </c>
      <c r="AO328" s="20">
        <v>4</v>
      </c>
    </row>
    <row r="329" spans="1:41">
      <c r="A329" s="19">
        <f t="shared" si="143"/>
        <v>328</v>
      </c>
      <c r="B329" s="29" t="s">
        <v>219</v>
      </c>
      <c r="C329" s="29">
        <v>4</v>
      </c>
      <c r="D329" s="29" t="s">
        <v>939</v>
      </c>
      <c r="E329" s="27" t="s">
        <v>696</v>
      </c>
      <c r="G329" s="27">
        <v>0.48</v>
      </c>
      <c r="I329" s="19"/>
      <c r="K329" s="29"/>
      <c r="L329" s="29"/>
      <c r="M329" s="29"/>
      <c r="N329" s="19"/>
      <c r="AO329" s="20">
        <v>4</v>
      </c>
    </row>
    <row r="330" spans="1:41">
      <c r="A330" s="19">
        <f t="shared" si="143"/>
        <v>329</v>
      </c>
      <c r="B330" s="29" t="s">
        <v>219</v>
      </c>
      <c r="C330" s="29">
        <v>4</v>
      </c>
      <c r="D330" s="29" t="s">
        <v>939</v>
      </c>
      <c r="E330" s="27" t="s">
        <v>697</v>
      </c>
      <c r="G330" s="27">
        <v>0.23</v>
      </c>
      <c r="I330" s="19"/>
      <c r="K330" s="29"/>
      <c r="L330" s="29"/>
      <c r="M330" s="29"/>
      <c r="N330" s="19"/>
      <c r="AO330" s="20">
        <v>4</v>
      </c>
    </row>
    <row r="331" spans="1:41">
      <c r="A331" s="19">
        <f t="shared" si="143"/>
        <v>330</v>
      </c>
      <c r="B331" s="29" t="s">
        <v>219</v>
      </c>
      <c r="C331" s="29">
        <v>4</v>
      </c>
      <c r="D331" s="29" t="s">
        <v>939</v>
      </c>
      <c r="E331" s="27" t="s">
        <v>698</v>
      </c>
      <c r="G331" s="27">
        <v>0.38</v>
      </c>
      <c r="I331" s="19"/>
      <c r="K331" s="29"/>
      <c r="L331" s="29"/>
      <c r="M331" s="29"/>
      <c r="N331" s="19"/>
      <c r="AO331" s="20">
        <v>4</v>
      </c>
    </row>
    <row r="332" spans="1:41">
      <c r="A332" s="19">
        <f t="shared" si="143"/>
        <v>331</v>
      </c>
      <c r="B332" s="29" t="s">
        <v>219</v>
      </c>
      <c r="C332" s="29">
        <v>4</v>
      </c>
      <c r="D332" s="29" t="s">
        <v>939</v>
      </c>
      <c r="E332" s="27" t="s">
        <v>699</v>
      </c>
      <c r="G332" s="27">
        <v>0.43</v>
      </c>
      <c r="I332" s="19"/>
      <c r="K332" s="29"/>
      <c r="L332" s="29"/>
      <c r="M332" s="29"/>
      <c r="N332" s="19"/>
      <c r="AO332" s="20">
        <v>4</v>
      </c>
    </row>
    <row r="333" spans="1:41">
      <c r="A333" s="19">
        <f t="shared" si="143"/>
        <v>332</v>
      </c>
      <c r="B333" s="29" t="s">
        <v>219</v>
      </c>
      <c r="C333" s="29">
        <v>4</v>
      </c>
      <c r="D333" s="29" t="s">
        <v>939</v>
      </c>
      <c r="E333" s="27" t="s">
        <v>718</v>
      </c>
      <c r="G333" s="27">
        <v>0.62</v>
      </c>
      <c r="AO333" s="20">
        <v>4</v>
      </c>
    </row>
    <row r="334" spans="1:41">
      <c r="A334" s="19">
        <f t="shared" si="143"/>
        <v>333</v>
      </c>
      <c r="B334" s="29" t="s">
        <v>219</v>
      </c>
      <c r="C334" s="29">
        <v>4</v>
      </c>
      <c r="D334" s="29" t="s">
        <v>939</v>
      </c>
      <c r="E334" s="27" t="s">
        <v>719</v>
      </c>
      <c r="G334" s="27">
        <v>0.72</v>
      </c>
      <c r="AO334" s="20">
        <v>4</v>
      </c>
    </row>
    <row r="335" spans="1:41">
      <c r="A335" s="19">
        <f t="shared" si="143"/>
        <v>334</v>
      </c>
      <c r="B335" s="29" t="s">
        <v>219</v>
      </c>
      <c r="C335" s="29">
        <v>4</v>
      </c>
      <c r="D335" s="29" t="s">
        <v>939</v>
      </c>
      <c r="E335" s="27" t="s">
        <v>720</v>
      </c>
      <c r="G335" s="27">
        <v>0.74</v>
      </c>
      <c r="AO335" s="20">
        <v>4</v>
      </c>
    </row>
    <row r="336" spans="1:41">
      <c r="A336" s="19">
        <f t="shared" si="143"/>
        <v>335</v>
      </c>
      <c r="B336" s="29" t="s">
        <v>219</v>
      </c>
      <c r="C336" s="29">
        <v>4</v>
      </c>
      <c r="D336" s="29" t="s">
        <v>939</v>
      </c>
      <c r="E336" s="27" t="s">
        <v>721</v>
      </c>
      <c r="G336" s="27">
        <v>0.45</v>
      </c>
      <c r="AO336" s="20">
        <v>4</v>
      </c>
    </row>
    <row r="337" spans="1:41">
      <c r="A337" s="19">
        <f t="shared" si="143"/>
        <v>336</v>
      </c>
      <c r="B337" s="29" t="s">
        <v>219</v>
      </c>
      <c r="C337" s="29">
        <v>4</v>
      </c>
      <c r="D337" s="29" t="s">
        <v>939</v>
      </c>
      <c r="E337" s="27" t="s">
        <v>722</v>
      </c>
      <c r="G337" s="27">
        <v>0.61</v>
      </c>
      <c r="AO337" s="20">
        <v>4</v>
      </c>
    </row>
    <row r="338" spans="1:41">
      <c r="A338" s="19">
        <f t="shared" si="143"/>
        <v>337</v>
      </c>
      <c r="B338" s="29" t="s">
        <v>219</v>
      </c>
      <c r="C338" s="29">
        <v>4</v>
      </c>
      <c r="D338" s="29" t="s">
        <v>939</v>
      </c>
      <c r="E338" s="27" t="s">
        <v>723</v>
      </c>
      <c r="G338" s="27">
        <v>0.64</v>
      </c>
      <c r="AO338" s="20">
        <v>4</v>
      </c>
    </row>
    <row r="339" spans="1:41">
      <c r="A339" s="19">
        <f t="shared" si="143"/>
        <v>338</v>
      </c>
      <c r="B339" s="29" t="s">
        <v>219</v>
      </c>
      <c r="C339" s="29">
        <v>4</v>
      </c>
      <c r="D339" s="29" t="s">
        <v>939</v>
      </c>
      <c r="E339" s="27" t="s">
        <v>724</v>
      </c>
      <c r="G339" s="27">
        <v>0.4</v>
      </c>
      <c r="AO339" s="20">
        <v>4</v>
      </c>
    </row>
    <row r="340" spans="1:41">
      <c r="A340" s="19">
        <f t="shared" si="143"/>
        <v>339</v>
      </c>
      <c r="B340" s="29" t="s">
        <v>219</v>
      </c>
      <c r="C340" s="29">
        <v>4</v>
      </c>
      <c r="D340" s="29" t="s">
        <v>939</v>
      </c>
      <c r="E340" s="27" t="s">
        <v>725</v>
      </c>
      <c r="G340" s="27">
        <v>0.49</v>
      </c>
      <c r="AO340" s="20">
        <v>4</v>
      </c>
    </row>
    <row r="341" spans="1:41">
      <c r="A341" s="19">
        <f t="shared" si="143"/>
        <v>340</v>
      </c>
      <c r="B341" s="29" t="s">
        <v>219</v>
      </c>
      <c r="C341" s="29">
        <v>4</v>
      </c>
      <c r="D341" s="29" t="s">
        <v>939</v>
      </c>
      <c r="E341" s="27" t="s">
        <v>726</v>
      </c>
      <c r="G341" s="27">
        <v>0.36</v>
      </c>
      <c r="AO341" s="20">
        <v>4</v>
      </c>
    </row>
    <row r="342" spans="1:41">
      <c r="A342" s="19">
        <f t="shared" si="143"/>
        <v>341</v>
      </c>
      <c r="B342" s="29" t="s">
        <v>219</v>
      </c>
      <c r="C342" s="29">
        <v>4</v>
      </c>
      <c r="D342" s="29" t="s">
        <v>939</v>
      </c>
      <c r="E342" s="27" t="s">
        <v>727</v>
      </c>
      <c r="G342" s="27">
        <v>0.66</v>
      </c>
      <c r="AO342" s="20">
        <v>4</v>
      </c>
    </row>
    <row r="343" spans="1:41">
      <c r="A343" s="19">
        <f t="shared" si="143"/>
        <v>342</v>
      </c>
      <c r="B343" s="29" t="s">
        <v>219</v>
      </c>
      <c r="C343" s="29">
        <v>4</v>
      </c>
      <c r="D343" s="29" t="s">
        <v>939</v>
      </c>
      <c r="E343" s="27" t="s">
        <v>728</v>
      </c>
      <c r="G343" s="27">
        <v>0.65</v>
      </c>
      <c r="AO343" s="20">
        <v>4</v>
      </c>
    </row>
    <row r="344" spans="1:41">
      <c r="A344" s="19">
        <f t="shared" si="143"/>
        <v>343</v>
      </c>
      <c r="B344" s="29" t="s">
        <v>219</v>
      </c>
      <c r="C344" s="29">
        <v>4</v>
      </c>
      <c r="D344" s="29" t="s">
        <v>939</v>
      </c>
      <c r="E344" s="27" t="s">
        <v>729</v>
      </c>
      <c r="G344" s="27">
        <v>0.47</v>
      </c>
      <c r="AO344" s="20">
        <v>4</v>
      </c>
    </row>
    <row r="345" spans="1:41">
      <c r="A345" s="19">
        <f t="shared" si="143"/>
        <v>344</v>
      </c>
      <c r="B345" s="29" t="s">
        <v>219</v>
      </c>
      <c r="C345" s="29">
        <v>4</v>
      </c>
      <c r="D345" s="29" t="s">
        <v>939</v>
      </c>
      <c r="E345" s="27" t="s">
        <v>730</v>
      </c>
      <c r="G345" s="27">
        <v>0.56000000000000005</v>
      </c>
      <c r="AO345" s="20">
        <v>4</v>
      </c>
    </row>
    <row r="346" spans="1:41">
      <c r="A346" s="19">
        <f t="shared" si="143"/>
        <v>345</v>
      </c>
      <c r="B346" s="29" t="s">
        <v>219</v>
      </c>
      <c r="C346" s="29">
        <v>4</v>
      </c>
      <c r="D346" s="29" t="s">
        <v>939</v>
      </c>
      <c r="E346" s="27" t="s">
        <v>731</v>
      </c>
      <c r="G346" s="27">
        <v>0.28999999999999998</v>
      </c>
      <c r="AO346" s="20">
        <v>4</v>
      </c>
    </row>
    <row r="347" spans="1:41">
      <c r="A347" s="19">
        <f t="shared" si="143"/>
        <v>346</v>
      </c>
      <c r="B347" s="29" t="s">
        <v>219</v>
      </c>
      <c r="C347" s="29">
        <v>4</v>
      </c>
      <c r="D347" s="29" t="s">
        <v>939</v>
      </c>
      <c r="E347" s="27" t="s">
        <v>732</v>
      </c>
      <c r="G347" s="27">
        <v>0.433</v>
      </c>
      <c r="AO347" s="20">
        <v>4</v>
      </c>
    </row>
    <row r="348" spans="1:41">
      <c r="A348" s="19">
        <f t="shared" si="143"/>
        <v>347</v>
      </c>
      <c r="B348" s="29" t="s">
        <v>219</v>
      </c>
      <c r="C348" s="29">
        <v>4</v>
      </c>
      <c r="D348" s="29" t="s">
        <v>939</v>
      </c>
      <c r="E348" s="27" t="s">
        <v>733</v>
      </c>
      <c r="G348" s="27">
        <v>0.18</v>
      </c>
      <c r="AO348" s="20">
        <v>4</v>
      </c>
    </row>
    <row r="349" spans="1:41">
      <c r="A349" s="19">
        <f t="shared" si="143"/>
        <v>348</v>
      </c>
      <c r="B349" s="29" t="s">
        <v>219</v>
      </c>
      <c r="C349" s="29">
        <v>4</v>
      </c>
      <c r="D349" s="29" t="s">
        <v>939</v>
      </c>
      <c r="E349" s="27" t="s">
        <v>734</v>
      </c>
      <c r="G349" s="27">
        <v>0.42</v>
      </c>
      <c r="AO349" s="20">
        <v>4</v>
      </c>
    </row>
    <row r="350" spans="1:41">
      <c r="A350" s="19">
        <f t="shared" si="143"/>
        <v>349</v>
      </c>
      <c r="B350" s="29" t="s">
        <v>219</v>
      </c>
      <c r="C350" s="29">
        <v>4</v>
      </c>
      <c r="D350" s="29" t="s">
        <v>939</v>
      </c>
      <c r="E350" s="27" t="s">
        <v>735</v>
      </c>
      <c r="G350" s="27">
        <v>0.28999999999999998</v>
      </c>
      <c r="AO350" s="20">
        <v>4</v>
      </c>
    </row>
    <row r="351" spans="1:41">
      <c r="A351" s="19">
        <f t="shared" si="143"/>
        <v>350</v>
      </c>
      <c r="B351" s="29" t="s">
        <v>219</v>
      </c>
      <c r="C351" s="29">
        <v>4</v>
      </c>
      <c r="D351" s="29" t="s">
        <v>939</v>
      </c>
      <c r="E351" s="27" t="s">
        <v>736</v>
      </c>
      <c r="G351" s="27">
        <v>0.45</v>
      </c>
      <c r="AO351" s="20">
        <v>4</v>
      </c>
    </row>
    <row r="352" spans="1:41">
      <c r="A352" s="19">
        <f t="shared" si="143"/>
        <v>351</v>
      </c>
      <c r="B352" s="29" t="s">
        <v>219</v>
      </c>
      <c r="C352" s="29">
        <v>4</v>
      </c>
      <c r="D352" s="29" t="s">
        <v>939</v>
      </c>
      <c r="E352" s="27" t="s">
        <v>737</v>
      </c>
      <c r="G352" s="27">
        <v>0.11700000000000001</v>
      </c>
      <c r="AO352" s="20">
        <v>4</v>
      </c>
    </row>
    <row r="353" spans="1:41">
      <c r="A353" s="19">
        <f t="shared" si="143"/>
        <v>352</v>
      </c>
      <c r="B353" s="29" t="s">
        <v>219</v>
      </c>
      <c r="C353" s="29">
        <v>4</v>
      </c>
      <c r="D353" s="29" t="s">
        <v>939</v>
      </c>
      <c r="E353" s="27" t="s">
        <v>738</v>
      </c>
      <c r="G353" s="27">
        <v>0.37</v>
      </c>
      <c r="AO353" s="20">
        <v>4</v>
      </c>
    </row>
    <row r="354" spans="1:41">
      <c r="A354" s="19">
        <f t="shared" si="143"/>
        <v>353</v>
      </c>
      <c r="B354" s="29" t="s">
        <v>219</v>
      </c>
      <c r="C354" s="29">
        <v>4</v>
      </c>
      <c r="D354" s="29" t="s">
        <v>939</v>
      </c>
      <c r="E354" s="27" t="s">
        <v>739</v>
      </c>
      <c r="G354" s="27">
        <v>0.26</v>
      </c>
      <c r="AO354" s="20">
        <v>4</v>
      </c>
    </row>
    <row r="355" spans="1:41">
      <c r="A355" s="19">
        <f t="shared" si="143"/>
        <v>354</v>
      </c>
      <c r="B355" s="29" t="s">
        <v>219</v>
      </c>
      <c r="C355" s="29">
        <v>4</v>
      </c>
      <c r="D355" s="29" t="s">
        <v>939</v>
      </c>
      <c r="E355" s="27" t="s">
        <v>740</v>
      </c>
      <c r="G355" s="27">
        <v>0.13</v>
      </c>
      <c r="AO355" s="20">
        <v>4</v>
      </c>
    </row>
    <row r="356" spans="1:41">
      <c r="A356" s="19">
        <f t="shared" si="143"/>
        <v>355</v>
      </c>
      <c r="B356" s="29" t="s">
        <v>219</v>
      </c>
      <c r="C356" s="29">
        <v>4</v>
      </c>
      <c r="D356" s="29" t="s">
        <v>939</v>
      </c>
      <c r="E356" s="27" t="s">
        <v>741</v>
      </c>
      <c r="G356" s="27">
        <v>0.1</v>
      </c>
      <c r="AO356" s="20">
        <v>4</v>
      </c>
    </row>
    <row r="357" spans="1:41">
      <c r="A357" s="19">
        <f t="shared" si="143"/>
        <v>356</v>
      </c>
      <c r="B357" s="29" t="s">
        <v>219</v>
      </c>
      <c r="C357" s="29">
        <v>4</v>
      </c>
      <c r="D357" s="29" t="s">
        <v>939</v>
      </c>
      <c r="E357" s="27" t="s">
        <v>742</v>
      </c>
      <c r="G357" s="27">
        <v>0.13</v>
      </c>
      <c r="AO357" s="20">
        <v>4</v>
      </c>
    </row>
    <row r="358" spans="1:41">
      <c r="A358" s="19">
        <f t="shared" si="143"/>
        <v>357</v>
      </c>
      <c r="B358" s="29" t="s">
        <v>219</v>
      </c>
      <c r="C358" s="29">
        <v>4</v>
      </c>
      <c r="D358" s="29" t="s">
        <v>939</v>
      </c>
      <c r="E358" s="27" t="s">
        <v>743</v>
      </c>
      <c r="G358" s="27">
        <v>0.18</v>
      </c>
      <c r="AO358" s="20">
        <v>4</v>
      </c>
    </row>
    <row r="359" spans="1:41">
      <c r="A359" s="19">
        <f t="shared" si="143"/>
        <v>358</v>
      </c>
      <c r="B359" s="29" t="s">
        <v>219</v>
      </c>
      <c r="C359" s="29">
        <v>4</v>
      </c>
      <c r="D359" s="29" t="s">
        <v>939</v>
      </c>
      <c r="E359" s="27" t="s">
        <v>744</v>
      </c>
      <c r="G359" s="27">
        <v>0.24</v>
      </c>
      <c r="AO359" s="20">
        <v>4</v>
      </c>
    </row>
    <row r="360" spans="1:41">
      <c r="A360" s="19">
        <f t="shared" si="143"/>
        <v>359</v>
      </c>
      <c r="B360" s="29" t="s">
        <v>219</v>
      </c>
      <c r="C360" s="29">
        <v>4</v>
      </c>
      <c r="D360" s="29" t="s">
        <v>939</v>
      </c>
      <c r="E360" s="27" t="s">
        <v>745</v>
      </c>
      <c r="G360" s="27">
        <v>0.12</v>
      </c>
      <c r="AO360" s="20">
        <v>4</v>
      </c>
    </row>
    <row r="361" spans="1:41">
      <c r="A361" s="19">
        <f t="shared" si="143"/>
        <v>360</v>
      </c>
      <c r="B361" s="29" t="s">
        <v>219</v>
      </c>
      <c r="C361" s="29">
        <v>4</v>
      </c>
      <c r="D361" s="29" t="s">
        <v>939</v>
      </c>
      <c r="E361" s="27" t="s">
        <v>746</v>
      </c>
      <c r="G361" s="27">
        <v>0.25</v>
      </c>
      <c r="AO361" s="20">
        <v>4</v>
      </c>
    </row>
    <row r="362" spans="1:41">
      <c r="A362" s="19">
        <f t="shared" si="143"/>
        <v>361</v>
      </c>
      <c r="B362" s="29" t="s">
        <v>219</v>
      </c>
      <c r="C362" s="29">
        <v>4</v>
      </c>
      <c r="D362" s="29" t="s">
        <v>939</v>
      </c>
      <c r="E362" s="27" t="s">
        <v>747</v>
      </c>
      <c r="G362" s="27">
        <v>0.66</v>
      </c>
      <c r="AO362" s="20">
        <v>4</v>
      </c>
    </row>
    <row r="363" spans="1:41">
      <c r="A363" s="19">
        <f t="shared" si="143"/>
        <v>362</v>
      </c>
      <c r="B363" s="29" t="s">
        <v>219</v>
      </c>
      <c r="C363" s="29">
        <v>4</v>
      </c>
      <c r="D363" s="29" t="s">
        <v>939</v>
      </c>
      <c r="E363" s="27" t="s">
        <v>748</v>
      </c>
      <c r="G363" s="27">
        <v>0.625</v>
      </c>
      <c r="AO363" s="20">
        <v>4</v>
      </c>
    </row>
    <row r="364" spans="1:41">
      <c r="A364" s="19">
        <f t="shared" si="143"/>
        <v>363</v>
      </c>
      <c r="B364" s="29" t="s">
        <v>219</v>
      </c>
      <c r="C364" s="29">
        <v>4</v>
      </c>
      <c r="D364" s="29" t="s">
        <v>939</v>
      </c>
      <c r="E364" s="27" t="s">
        <v>749</v>
      </c>
      <c r="G364" s="27">
        <v>0.56000000000000005</v>
      </c>
      <c r="AO364" s="20">
        <v>4</v>
      </c>
    </row>
    <row r="365" spans="1:41">
      <c r="A365" s="19">
        <f t="shared" si="143"/>
        <v>364</v>
      </c>
      <c r="B365" s="29" t="s">
        <v>219</v>
      </c>
      <c r="C365" s="29">
        <v>4</v>
      </c>
      <c r="D365" s="29" t="s">
        <v>939</v>
      </c>
      <c r="E365" s="27" t="s">
        <v>750</v>
      </c>
      <c r="G365" s="27">
        <v>0.41499999999999998</v>
      </c>
      <c r="AO365" s="20">
        <v>4</v>
      </c>
    </row>
    <row r="366" spans="1:41">
      <c r="A366" s="19">
        <f t="shared" si="143"/>
        <v>365</v>
      </c>
      <c r="B366" s="29" t="s">
        <v>219</v>
      </c>
      <c r="C366" s="29">
        <v>4</v>
      </c>
      <c r="D366" s="29" t="s">
        <v>939</v>
      </c>
      <c r="E366" s="27" t="s">
        <v>751</v>
      </c>
      <c r="G366" s="27">
        <v>0.7</v>
      </c>
      <c r="AO366" s="20">
        <v>4</v>
      </c>
    </row>
    <row r="367" spans="1:41">
      <c r="A367" s="19">
        <f t="shared" si="143"/>
        <v>366</v>
      </c>
      <c r="B367" s="29" t="s">
        <v>219</v>
      </c>
      <c r="C367" s="29">
        <v>4</v>
      </c>
      <c r="D367" s="29" t="s">
        <v>939</v>
      </c>
      <c r="E367" s="27" t="s">
        <v>752</v>
      </c>
      <c r="G367" s="27">
        <v>0.55000000000000004</v>
      </c>
      <c r="AO367" s="20">
        <v>4</v>
      </c>
    </row>
    <row r="368" spans="1:41">
      <c r="A368" s="19">
        <f t="shared" si="143"/>
        <v>367</v>
      </c>
      <c r="B368" s="29" t="s">
        <v>219</v>
      </c>
      <c r="C368" s="29">
        <v>4</v>
      </c>
      <c r="D368" s="29" t="s">
        <v>939</v>
      </c>
      <c r="E368" s="27" t="s">
        <v>753</v>
      </c>
      <c r="G368" s="27">
        <v>0.54</v>
      </c>
      <c r="AO368" s="20">
        <v>4</v>
      </c>
    </row>
    <row r="369" spans="1:41">
      <c r="A369" s="19">
        <f t="shared" si="143"/>
        <v>368</v>
      </c>
      <c r="B369" s="29" t="s">
        <v>219</v>
      </c>
      <c r="C369" s="29">
        <v>4</v>
      </c>
      <c r="D369" s="29" t="s">
        <v>939</v>
      </c>
      <c r="E369" s="27" t="s">
        <v>754</v>
      </c>
      <c r="G369" s="27">
        <v>0.33</v>
      </c>
      <c r="AO369" s="20">
        <v>4</v>
      </c>
    </row>
    <row r="370" spans="1:41">
      <c r="A370" s="19">
        <f t="shared" si="143"/>
        <v>369</v>
      </c>
      <c r="B370" s="29" t="s">
        <v>219</v>
      </c>
      <c r="C370" s="29">
        <v>4</v>
      </c>
      <c r="D370" s="29" t="s">
        <v>939</v>
      </c>
      <c r="E370" s="27" t="s">
        <v>755</v>
      </c>
      <c r="G370" s="27">
        <v>0.9</v>
      </c>
      <c r="AO370" s="20">
        <v>4</v>
      </c>
    </row>
    <row r="371" spans="1:41">
      <c r="A371" s="19">
        <f t="shared" si="143"/>
        <v>370</v>
      </c>
      <c r="B371" s="29" t="s">
        <v>219</v>
      </c>
      <c r="C371" s="29">
        <v>4</v>
      </c>
      <c r="D371" s="29" t="s">
        <v>939</v>
      </c>
      <c r="E371" s="27" t="s">
        <v>756</v>
      </c>
      <c r="G371" s="27">
        <v>0.9</v>
      </c>
      <c r="AO371" s="20">
        <v>4</v>
      </c>
    </row>
    <row r="372" spans="1:41">
      <c r="A372" s="19">
        <f t="shared" si="143"/>
        <v>371</v>
      </c>
      <c r="B372" s="29" t="s">
        <v>219</v>
      </c>
      <c r="C372" s="29">
        <v>4</v>
      </c>
      <c r="D372" s="29" t="s">
        <v>939</v>
      </c>
      <c r="E372" s="27" t="s">
        <v>757</v>
      </c>
      <c r="G372" s="27">
        <v>0.21</v>
      </c>
      <c r="AO372" s="20">
        <v>4</v>
      </c>
    </row>
    <row r="373" spans="1:41">
      <c r="A373" s="19">
        <f t="shared" si="143"/>
        <v>372</v>
      </c>
      <c r="B373" s="29" t="s">
        <v>219</v>
      </c>
      <c r="C373" s="29">
        <v>4</v>
      </c>
      <c r="D373" s="29" t="s">
        <v>939</v>
      </c>
      <c r="E373" s="27" t="s">
        <v>758</v>
      </c>
      <c r="G373" s="27">
        <v>0.66</v>
      </c>
      <c r="AO373" s="20">
        <v>4</v>
      </c>
    </row>
    <row r="374" spans="1:41">
      <c r="A374" s="19">
        <f t="shared" si="143"/>
        <v>373</v>
      </c>
      <c r="B374" s="29" t="s">
        <v>219</v>
      </c>
      <c r="C374" s="29">
        <v>4</v>
      </c>
      <c r="D374" s="29" t="s">
        <v>939</v>
      </c>
      <c r="E374" s="27" t="s">
        <v>759</v>
      </c>
      <c r="G374" s="27">
        <v>0.6</v>
      </c>
      <c r="AO374" s="20">
        <v>4</v>
      </c>
    </row>
    <row r="375" spans="1:41">
      <c r="A375" s="19">
        <f t="shared" si="143"/>
        <v>374</v>
      </c>
      <c r="B375" s="29" t="s">
        <v>219</v>
      </c>
      <c r="C375" s="29">
        <v>4</v>
      </c>
      <c r="D375" s="29" t="s">
        <v>939</v>
      </c>
      <c r="E375" s="27" t="s">
        <v>760</v>
      </c>
      <c r="G375" s="27">
        <v>0.64</v>
      </c>
      <c r="AO375" s="20">
        <v>4</v>
      </c>
    </row>
    <row r="376" spans="1:41">
      <c r="A376" s="19">
        <f t="shared" si="143"/>
        <v>375</v>
      </c>
      <c r="B376" s="29" t="s">
        <v>219</v>
      </c>
      <c r="C376" s="29">
        <v>4</v>
      </c>
      <c r="D376" s="29" t="s">
        <v>939</v>
      </c>
      <c r="E376" s="27" t="s">
        <v>761</v>
      </c>
      <c r="G376" s="27">
        <v>0.27</v>
      </c>
      <c r="AO376" s="20">
        <v>4</v>
      </c>
    </row>
    <row r="377" spans="1:41">
      <c r="A377" s="19">
        <f t="shared" si="143"/>
        <v>376</v>
      </c>
      <c r="B377" s="29" t="s">
        <v>219</v>
      </c>
      <c r="C377" s="29">
        <v>4</v>
      </c>
      <c r="D377" s="29" t="s">
        <v>939</v>
      </c>
      <c r="E377" s="27" t="s">
        <v>762</v>
      </c>
      <c r="G377" s="27">
        <v>0.64</v>
      </c>
      <c r="AO377" s="20">
        <v>4</v>
      </c>
    </row>
    <row r="378" spans="1:41">
      <c r="A378" s="19">
        <f t="shared" si="143"/>
        <v>377</v>
      </c>
      <c r="B378" s="29" t="s">
        <v>219</v>
      </c>
      <c r="C378" s="29">
        <v>4</v>
      </c>
      <c r="D378" s="29" t="s">
        <v>939</v>
      </c>
      <c r="E378" s="27" t="s">
        <v>763</v>
      </c>
      <c r="G378" s="27">
        <v>0.9</v>
      </c>
      <c r="AO378" s="20">
        <v>4</v>
      </c>
    </row>
    <row r="379" spans="1:41">
      <c r="A379" s="19">
        <f t="shared" si="143"/>
        <v>378</v>
      </c>
      <c r="B379" s="29" t="s">
        <v>219</v>
      </c>
      <c r="C379" s="29">
        <v>4</v>
      </c>
      <c r="D379" s="29" t="s">
        <v>939</v>
      </c>
      <c r="E379" s="27" t="s">
        <v>763</v>
      </c>
      <c r="G379" s="27">
        <v>0.9</v>
      </c>
      <c r="AO379" s="20">
        <v>4</v>
      </c>
    </row>
    <row r="380" spans="1:41">
      <c r="A380" s="19">
        <f t="shared" si="143"/>
        <v>379</v>
      </c>
      <c r="B380" s="29" t="s">
        <v>219</v>
      </c>
      <c r="C380" s="29">
        <v>4</v>
      </c>
      <c r="D380" s="29" t="s">
        <v>939</v>
      </c>
      <c r="E380" s="27" t="s">
        <v>764</v>
      </c>
      <c r="G380" s="27">
        <v>0.55000000000000004</v>
      </c>
      <c r="AO380" s="20">
        <v>4</v>
      </c>
    </row>
    <row r="381" spans="1:41">
      <c r="A381" s="19">
        <f t="shared" si="143"/>
        <v>380</v>
      </c>
      <c r="B381" s="29" t="s">
        <v>219</v>
      </c>
      <c r="C381" s="29">
        <v>4</v>
      </c>
      <c r="D381" s="29" t="s">
        <v>939</v>
      </c>
      <c r="E381" s="27" t="s">
        <v>765</v>
      </c>
      <c r="G381" s="27">
        <v>0.82</v>
      </c>
      <c r="AO381" s="20">
        <v>4</v>
      </c>
    </row>
    <row r="382" spans="1:41">
      <c r="A382" s="19">
        <f t="shared" si="143"/>
        <v>381</v>
      </c>
      <c r="B382" s="29" t="s">
        <v>219</v>
      </c>
      <c r="C382" s="29">
        <v>4</v>
      </c>
      <c r="D382" s="29" t="s">
        <v>939</v>
      </c>
      <c r="E382" s="27" t="s">
        <v>766</v>
      </c>
      <c r="G382" s="27">
        <v>0.64</v>
      </c>
      <c r="AO382" s="20">
        <v>4</v>
      </c>
    </row>
    <row r="383" spans="1:41">
      <c r="A383" s="19">
        <f t="shared" si="143"/>
        <v>382</v>
      </c>
      <c r="B383" s="29" t="s">
        <v>219</v>
      </c>
      <c r="C383" s="29">
        <v>4</v>
      </c>
      <c r="D383" s="29" t="s">
        <v>939</v>
      </c>
      <c r="E383" s="27" t="s">
        <v>765</v>
      </c>
      <c r="G383" s="27">
        <v>0.62</v>
      </c>
      <c r="AO383" s="20">
        <v>4</v>
      </c>
    </row>
    <row r="384" spans="1:41">
      <c r="A384" s="19">
        <f t="shared" si="143"/>
        <v>383</v>
      </c>
      <c r="B384" s="29" t="s">
        <v>219</v>
      </c>
      <c r="C384" s="29">
        <v>4</v>
      </c>
      <c r="D384" s="29" t="s">
        <v>939</v>
      </c>
      <c r="E384" s="27" t="s">
        <v>767</v>
      </c>
      <c r="G384" s="27">
        <v>0.56000000000000005</v>
      </c>
      <c r="AO384" s="20">
        <v>4</v>
      </c>
    </row>
    <row r="385" spans="1:41">
      <c r="A385" s="19">
        <f t="shared" si="143"/>
        <v>384</v>
      </c>
      <c r="B385" s="29" t="s">
        <v>219</v>
      </c>
      <c r="C385" s="29">
        <v>4</v>
      </c>
      <c r="D385" s="29" t="s">
        <v>939</v>
      </c>
      <c r="E385" s="27" t="s">
        <v>768</v>
      </c>
      <c r="G385" s="27">
        <v>0.6</v>
      </c>
      <c r="AO385" s="20">
        <v>4</v>
      </c>
    </row>
    <row r="386" spans="1:41">
      <c r="A386" s="19">
        <f t="shared" si="143"/>
        <v>385</v>
      </c>
      <c r="B386" s="29" t="s">
        <v>219</v>
      </c>
      <c r="C386" s="29">
        <v>4</v>
      </c>
      <c r="D386" s="29" t="s">
        <v>939</v>
      </c>
      <c r="E386" s="27" t="s">
        <v>769</v>
      </c>
      <c r="G386" s="27">
        <v>0.66500000000000004</v>
      </c>
      <c r="AO386" s="20">
        <v>4</v>
      </c>
    </row>
    <row r="387" spans="1:41">
      <c r="A387" s="19">
        <f t="shared" ref="A387:A450" si="144">A386+1</f>
        <v>386</v>
      </c>
      <c r="B387" s="29" t="s">
        <v>219</v>
      </c>
      <c r="C387" s="29">
        <v>4</v>
      </c>
      <c r="D387" s="29" t="s">
        <v>939</v>
      </c>
      <c r="E387" s="27" t="s">
        <v>770</v>
      </c>
      <c r="G387" s="27">
        <v>0.56000000000000005</v>
      </c>
      <c r="AO387" s="20">
        <v>4</v>
      </c>
    </row>
    <row r="388" spans="1:41">
      <c r="A388" s="19">
        <f t="shared" si="144"/>
        <v>387</v>
      </c>
      <c r="B388" s="29" t="s">
        <v>219</v>
      </c>
      <c r="C388" s="29">
        <v>4</v>
      </c>
      <c r="D388" s="29" t="s">
        <v>939</v>
      </c>
      <c r="E388" s="27" t="s">
        <v>771</v>
      </c>
      <c r="G388" s="27">
        <v>0.33500000000000002</v>
      </c>
      <c r="AO388" s="20">
        <v>4</v>
      </c>
    </row>
    <row r="389" spans="1:41">
      <c r="A389" s="19">
        <f t="shared" si="144"/>
        <v>388</v>
      </c>
      <c r="B389" s="29" t="s">
        <v>219</v>
      </c>
      <c r="C389" s="29">
        <v>4</v>
      </c>
      <c r="D389" s="29" t="s">
        <v>939</v>
      </c>
      <c r="E389" s="27" t="s">
        <v>772</v>
      </c>
      <c r="G389" s="27">
        <v>0.72</v>
      </c>
      <c r="AO389" s="20">
        <v>4</v>
      </c>
    </row>
    <row r="390" spans="1:41">
      <c r="A390" s="19">
        <f t="shared" si="144"/>
        <v>389</v>
      </c>
      <c r="B390" s="29" t="s">
        <v>219</v>
      </c>
      <c r="C390" s="29">
        <v>4</v>
      </c>
      <c r="D390" s="29" t="s">
        <v>939</v>
      </c>
      <c r="E390" s="27" t="s">
        <v>773</v>
      </c>
      <c r="G390" s="27">
        <v>0.72</v>
      </c>
      <c r="AO390" s="20">
        <v>4</v>
      </c>
    </row>
    <row r="391" spans="1:41">
      <c r="A391" s="19">
        <f t="shared" si="144"/>
        <v>390</v>
      </c>
      <c r="B391" s="29" t="s">
        <v>219</v>
      </c>
      <c r="C391" s="29">
        <v>4</v>
      </c>
      <c r="D391" s="29" t="s">
        <v>939</v>
      </c>
      <c r="E391" s="27" t="s">
        <v>774</v>
      </c>
      <c r="G391" s="27">
        <v>0.67</v>
      </c>
      <c r="AO391" s="20">
        <v>4</v>
      </c>
    </row>
    <row r="392" spans="1:41">
      <c r="A392" s="19">
        <f t="shared" si="144"/>
        <v>391</v>
      </c>
      <c r="B392" s="29" t="s">
        <v>219</v>
      </c>
      <c r="C392" s="29">
        <v>4</v>
      </c>
      <c r="D392" s="29" t="s">
        <v>939</v>
      </c>
      <c r="E392" s="27" t="s">
        <v>775</v>
      </c>
      <c r="G392" s="27">
        <v>0.63</v>
      </c>
      <c r="AO392" s="20">
        <v>4</v>
      </c>
    </row>
    <row r="393" spans="1:41">
      <c r="A393" s="19">
        <f t="shared" si="144"/>
        <v>392</v>
      </c>
      <c r="B393" s="29" t="s">
        <v>219</v>
      </c>
      <c r="C393" s="29">
        <v>4</v>
      </c>
      <c r="D393" s="29" t="s">
        <v>939</v>
      </c>
      <c r="E393" s="27" t="s">
        <v>776</v>
      </c>
      <c r="G393" s="27">
        <v>0.85</v>
      </c>
      <c r="AO393" s="20">
        <v>4</v>
      </c>
    </row>
    <row r="394" spans="1:41">
      <c r="A394" s="19">
        <f t="shared" si="144"/>
        <v>393</v>
      </c>
      <c r="B394" s="29" t="s">
        <v>219</v>
      </c>
      <c r="C394" s="29">
        <v>4</v>
      </c>
      <c r="D394" s="29" t="s">
        <v>939</v>
      </c>
      <c r="E394" s="27" t="s">
        <v>777</v>
      </c>
      <c r="G394" s="27">
        <v>0.81</v>
      </c>
      <c r="AO394" s="20">
        <v>4</v>
      </c>
    </row>
    <row r="395" spans="1:41">
      <c r="A395" s="19">
        <f t="shared" si="144"/>
        <v>394</v>
      </c>
      <c r="B395" s="29" t="s">
        <v>219</v>
      </c>
      <c r="C395" s="29">
        <v>4</v>
      </c>
      <c r="D395" s="29" t="s">
        <v>939</v>
      </c>
      <c r="E395" s="27" t="s">
        <v>778</v>
      </c>
      <c r="G395" s="27">
        <v>0.81</v>
      </c>
      <c r="AO395" s="20">
        <v>4</v>
      </c>
    </row>
    <row r="396" spans="1:41">
      <c r="A396" s="19">
        <f t="shared" si="144"/>
        <v>395</v>
      </c>
      <c r="B396" s="29" t="s">
        <v>219</v>
      </c>
      <c r="C396" s="29">
        <v>4</v>
      </c>
      <c r="D396" s="29" t="s">
        <v>939</v>
      </c>
      <c r="E396" s="27" t="s">
        <v>779</v>
      </c>
      <c r="G396" s="27">
        <v>1.07</v>
      </c>
      <c r="AO396" s="20">
        <v>4</v>
      </c>
    </row>
    <row r="397" spans="1:41">
      <c r="A397" s="19">
        <f t="shared" si="144"/>
        <v>396</v>
      </c>
      <c r="B397" s="29" t="s">
        <v>219</v>
      </c>
      <c r="C397" s="29">
        <v>4</v>
      </c>
      <c r="D397" s="29" t="s">
        <v>939</v>
      </c>
      <c r="E397" s="27" t="s">
        <v>780</v>
      </c>
      <c r="G397" s="27">
        <v>0.72</v>
      </c>
      <c r="AO397" s="20">
        <v>4</v>
      </c>
    </row>
    <row r="398" spans="1:41">
      <c r="A398" s="19">
        <f t="shared" si="144"/>
        <v>397</v>
      </c>
      <c r="B398" s="29" t="s">
        <v>219</v>
      </c>
      <c r="C398" s="29">
        <v>4</v>
      </c>
      <c r="D398" s="29" t="s">
        <v>939</v>
      </c>
      <c r="E398" s="27" t="s">
        <v>781</v>
      </c>
      <c r="G398" s="27">
        <v>0.64</v>
      </c>
      <c r="AO398" s="20">
        <v>4</v>
      </c>
    </row>
    <row r="399" spans="1:41">
      <c r="A399" s="19">
        <f t="shared" si="144"/>
        <v>398</v>
      </c>
      <c r="B399" s="29" t="s">
        <v>219</v>
      </c>
      <c r="C399" s="29">
        <v>4</v>
      </c>
      <c r="D399" s="29" t="s">
        <v>939</v>
      </c>
      <c r="E399" s="27" t="s">
        <v>782</v>
      </c>
      <c r="G399" s="27">
        <v>0.59</v>
      </c>
      <c r="AO399" s="20">
        <v>4</v>
      </c>
    </row>
    <row r="400" spans="1:41">
      <c r="A400" s="19">
        <f t="shared" si="144"/>
        <v>399</v>
      </c>
      <c r="B400" s="29" t="s">
        <v>219</v>
      </c>
      <c r="C400" s="29">
        <v>4</v>
      </c>
      <c r="D400" s="29" t="s">
        <v>939</v>
      </c>
      <c r="E400" s="27" t="s">
        <v>783</v>
      </c>
      <c r="G400" s="27">
        <v>0.61</v>
      </c>
      <c r="AO400" s="20">
        <v>4</v>
      </c>
    </row>
    <row r="401" spans="1:41">
      <c r="A401" s="19">
        <f t="shared" si="144"/>
        <v>400</v>
      </c>
      <c r="B401" s="29" t="s">
        <v>219</v>
      </c>
      <c r="C401" s="29">
        <v>4</v>
      </c>
      <c r="D401" s="29" t="s">
        <v>939</v>
      </c>
      <c r="E401" s="27" t="s">
        <v>784</v>
      </c>
      <c r="G401" s="27">
        <v>0.64</v>
      </c>
      <c r="AO401" s="20">
        <v>4</v>
      </c>
    </row>
    <row r="402" spans="1:41">
      <c r="A402" s="19">
        <f t="shared" si="144"/>
        <v>401</v>
      </c>
      <c r="B402" s="29" t="s">
        <v>219</v>
      </c>
      <c r="C402" s="29">
        <v>4</v>
      </c>
      <c r="D402" s="29" t="s">
        <v>939</v>
      </c>
      <c r="E402" s="27" t="s">
        <v>784</v>
      </c>
      <c r="G402" s="27">
        <v>0.64</v>
      </c>
      <c r="AO402" s="20">
        <v>4</v>
      </c>
    </row>
    <row r="403" spans="1:41">
      <c r="A403" s="19">
        <f t="shared" si="144"/>
        <v>402</v>
      </c>
      <c r="B403" s="29" t="s">
        <v>219</v>
      </c>
      <c r="C403" s="29">
        <v>4</v>
      </c>
      <c r="D403" s="29" t="s">
        <v>939</v>
      </c>
      <c r="E403" s="27" t="s">
        <v>785</v>
      </c>
      <c r="G403" s="27">
        <v>0.56000000000000005</v>
      </c>
      <c r="AO403" s="20">
        <v>4</v>
      </c>
    </row>
    <row r="404" spans="1:41">
      <c r="A404" s="19">
        <f t="shared" si="144"/>
        <v>403</v>
      </c>
      <c r="B404" s="29" t="s">
        <v>219</v>
      </c>
      <c r="C404" s="29">
        <v>4</v>
      </c>
      <c r="D404" s="29" t="s">
        <v>939</v>
      </c>
      <c r="E404" s="27" t="s">
        <v>786</v>
      </c>
      <c r="G404" s="27">
        <v>0.61</v>
      </c>
      <c r="AO404" s="20">
        <v>4</v>
      </c>
    </row>
    <row r="405" spans="1:41">
      <c r="A405" s="19">
        <f t="shared" si="144"/>
        <v>404</v>
      </c>
      <c r="B405" s="29" t="s">
        <v>219</v>
      </c>
      <c r="C405" s="29">
        <v>4</v>
      </c>
      <c r="D405" s="29" t="s">
        <v>939</v>
      </c>
      <c r="E405" s="27" t="s">
        <v>787</v>
      </c>
      <c r="G405" s="27">
        <v>0.9</v>
      </c>
      <c r="AO405" s="20">
        <v>4</v>
      </c>
    </row>
    <row r="406" spans="1:41">
      <c r="A406" s="19">
        <f t="shared" si="144"/>
        <v>405</v>
      </c>
      <c r="B406" s="29" t="s">
        <v>219</v>
      </c>
      <c r="C406" s="29">
        <v>4</v>
      </c>
      <c r="D406" s="29" t="s">
        <v>939</v>
      </c>
      <c r="E406" s="27" t="s">
        <v>788</v>
      </c>
      <c r="G406" s="27">
        <v>0.81</v>
      </c>
      <c r="AO406" s="20">
        <v>4</v>
      </c>
    </row>
    <row r="407" spans="1:41">
      <c r="A407" s="19">
        <f t="shared" si="144"/>
        <v>406</v>
      </c>
      <c r="B407" s="29" t="s">
        <v>219</v>
      </c>
      <c r="C407" s="29">
        <v>4</v>
      </c>
      <c r="D407" s="29" t="s">
        <v>939</v>
      </c>
      <c r="E407" s="27" t="s">
        <v>789</v>
      </c>
      <c r="G407" s="27">
        <v>0.53</v>
      </c>
      <c r="AO407" s="20">
        <v>4</v>
      </c>
    </row>
    <row r="408" spans="1:41">
      <c r="A408" s="19">
        <f t="shared" si="144"/>
        <v>407</v>
      </c>
      <c r="B408" s="29" t="s">
        <v>219</v>
      </c>
      <c r="C408" s="29">
        <v>4</v>
      </c>
      <c r="D408" s="29" t="s">
        <v>939</v>
      </c>
      <c r="E408" s="27" t="s">
        <v>790</v>
      </c>
      <c r="G408" s="27">
        <v>0.61</v>
      </c>
      <c r="AO408" s="20">
        <v>4</v>
      </c>
    </row>
    <row r="409" spans="1:41">
      <c r="A409" s="19">
        <f t="shared" si="144"/>
        <v>408</v>
      </c>
      <c r="B409" s="29" t="s">
        <v>219</v>
      </c>
      <c r="C409" s="29">
        <v>4</v>
      </c>
      <c r="D409" s="29" t="s">
        <v>939</v>
      </c>
      <c r="E409" s="27" t="s">
        <v>791</v>
      </c>
      <c r="G409" s="27">
        <v>0.41</v>
      </c>
      <c r="AO409" s="20">
        <v>4</v>
      </c>
    </row>
    <row r="410" spans="1:41">
      <c r="A410" s="19">
        <f t="shared" si="144"/>
        <v>409</v>
      </c>
      <c r="B410" s="29" t="s">
        <v>219</v>
      </c>
      <c r="C410" s="29">
        <v>4</v>
      </c>
      <c r="D410" s="29" t="s">
        <v>939</v>
      </c>
      <c r="E410" s="27" t="s">
        <v>791</v>
      </c>
      <c r="G410" s="27">
        <v>0.43</v>
      </c>
      <c r="AO410" s="20">
        <v>4</v>
      </c>
    </row>
    <row r="411" spans="1:41">
      <c r="A411" s="19">
        <f t="shared" si="144"/>
        <v>410</v>
      </c>
      <c r="B411" s="29" t="s">
        <v>219</v>
      </c>
      <c r="C411" s="29">
        <v>4</v>
      </c>
      <c r="D411" s="29" t="s">
        <v>939</v>
      </c>
      <c r="E411" s="27" t="s">
        <v>792</v>
      </c>
      <c r="G411" s="27">
        <v>0.74</v>
      </c>
      <c r="AO411" s="20">
        <v>4</v>
      </c>
    </row>
    <row r="412" spans="1:41">
      <c r="A412" s="19">
        <f t="shared" si="144"/>
        <v>411</v>
      </c>
      <c r="B412" s="29" t="s">
        <v>219</v>
      </c>
      <c r="C412" s="29">
        <v>4</v>
      </c>
      <c r="D412" s="29" t="s">
        <v>939</v>
      </c>
      <c r="E412" s="27" t="s">
        <v>793</v>
      </c>
      <c r="G412" s="27">
        <v>0.46</v>
      </c>
      <c r="AO412" s="20">
        <v>4</v>
      </c>
    </row>
    <row r="413" spans="1:41">
      <c r="A413" s="19">
        <f t="shared" si="144"/>
        <v>412</v>
      </c>
      <c r="B413" s="29" t="s">
        <v>219</v>
      </c>
      <c r="C413" s="29">
        <v>4</v>
      </c>
      <c r="D413" s="29" t="s">
        <v>939</v>
      </c>
      <c r="E413" s="27" t="s">
        <v>794</v>
      </c>
      <c r="G413" s="27">
        <v>0.13</v>
      </c>
      <c r="AO413" s="20">
        <v>4</v>
      </c>
    </row>
    <row r="414" spans="1:41">
      <c r="A414" s="19">
        <f t="shared" si="144"/>
        <v>413</v>
      </c>
      <c r="B414" s="29" t="s">
        <v>219</v>
      </c>
      <c r="C414" s="29">
        <v>4</v>
      </c>
      <c r="D414" s="29" t="s">
        <v>939</v>
      </c>
      <c r="E414" s="27" t="s">
        <v>795</v>
      </c>
      <c r="G414" s="27">
        <v>0.34</v>
      </c>
      <c r="AO414" s="20">
        <v>4</v>
      </c>
    </row>
    <row r="415" spans="1:41">
      <c r="A415" s="19">
        <f t="shared" si="144"/>
        <v>414</v>
      </c>
      <c r="B415" s="29" t="s">
        <v>219</v>
      </c>
      <c r="C415" s="29">
        <v>4</v>
      </c>
      <c r="D415" s="29" t="s">
        <v>939</v>
      </c>
      <c r="E415" s="27" t="s">
        <v>796</v>
      </c>
      <c r="G415" s="27">
        <v>0.55000000000000004</v>
      </c>
      <c r="AO415" s="20">
        <v>4</v>
      </c>
    </row>
    <row r="416" spans="1:41">
      <c r="A416" s="19">
        <f t="shared" si="144"/>
        <v>415</v>
      </c>
      <c r="B416" s="29" t="s">
        <v>219</v>
      </c>
      <c r="C416" s="29">
        <v>4</v>
      </c>
      <c r="D416" s="29" t="s">
        <v>939</v>
      </c>
      <c r="E416" s="27" t="s">
        <v>797</v>
      </c>
      <c r="G416" s="27">
        <v>0.39</v>
      </c>
      <c r="AO416" s="20">
        <v>4</v>
      </c>
    </row>
    <row r="417" spans="1:41">
      <c r="A417" s="19">
        <f t="shared" si="144"/>
        <v>416</v>
      </c>
      <c r="B417" s="29" t="s">
        <v>219</v>
      </c>
      <c r="C417" s="29">
        <v>4</v>
      </c>
      <c r="D417" s="29" t="s">
        <v>939</v>
      </c>
      <c r="E417" s="27" t="s">
        <v>798</v>
      </c>
      <c r="G417" s="27">
        <v>0.59</v>
      </c>
      <c r="AO417" s="20">
        <v>4</v>
      </c>
    </row>
    <row r="418" spans="1:41">
      <c r="A418" s="19">
        <f t="shared" si="144"/>
        <v>417</v>
      </c>
      <c r="B418" s="29" t="s">
        <v>219</v>
      </c>
      <c r="C418" s="29">
        <v>4</v>
      </c>
      <c r="D418" s="29" t="s">
        <v>939</v>
      </c>
      <c r="E418" s="27" t="s">
        <v>799</v>
      </c>
      <c r="G418" s="27">
        <v>0.73</v>
      </c>
      <c r="AO418" s="20">
        <v>4</v>
      </c>
    </row>
    <row r="419" spans="1:41">
      <c r="A419" s="19">
        <f t="shared" si="144"/>
        <v>418</v>
      </c>
      <c r="B419" s="29" t="s">
        <v>219</v>
      </c>
      <c r="C419" s="29">
        <v>4</v>
      </c>
      <c r="D419" s="29" t="s">
        <v>939</v>
      </c>
      <c r="E419" s="27" t="s">
        <v>800</v>
      </c>
      <c r="G419" s="27">
        <v>0.84</v>
      </c>
      <c r="AO419" s="20">
        <v>4</v>
      </c>
    </row>
    <row r="420" spans="1:41">
      <c r="A420" s="19">
        <f t="shared" si="144"/>
        <v>419</v>
      </c>
      <c r="B420" s="29" t="s">
        <v>219</v>
      </c>
      <c r="C420" s="29">
        <v>4</v>
      </c>
      <c r="D420" s="29" t="s">
        <v>939</v>
      </c>
      <c r="E420" s="27" t="s">
        <v>801</v>
      </c>
      <c r="G420" s="27">
        <v>0.54</v>
      </c>
      <c r="AO420" s="20">
        <v>4</v>
      </c>
    </row>
    <row r="421" spans="1:41">
      <c r="A421" s="19">
        <f t="shared" si="144"/>
        <v>420</v>
      </c>
      <c r="B421" s="29" t="s">
        <v>219</v>
      </c>
      <c r="C421" s="29">
        <v>4</v>
      </c>
      <c r="D421" s="29" t="s">
        <v>939</v>
      </c>
      <c r="E421" s="27" t="s">
        <v>802</v>
      </c>
      <c r="G421" s="27">
        <v>0.6</v>
      </c>
      <c r="AO421" s="20">
        <v>4</v>
      </c>
    </row>
    <row r="422" spans="1:41">
      <c r="A422" s="19">
        <f t="shared" si="144"/>
        <v>421</v>
      </c>
      <c r="B422" s="29" t="s">
        <v>219</v>
      </c>
      <c r="C422" s="29">
        <v>4</v>
      </c>
      <c r="D422" s="29" t="s">
        <v>939</v>
      </c>
      <c r="E422" s="27" t="s">
        <v>803</v>
      </c>
      <c r="G422" s="27">
        <v>1.05</v>
      </c>
      <c r="AO422" s="20">
        <v>4</v>
      </c>
    </row>
    <row r="423" spans="1:41">
      <c r="A423" s="19">
        <f t="shared" si="144"/>
        <v>422</v>
      </c>
      <c r="B423" s="29" t="s">
        <v>219</v>
      </c>
      <c r="C423" s="29">
        <v>4</v>
      </c>
      <c r="D423" s="29" t="s">
        <v>939</v>
      </c>
      <c r="E423" s="27" t="s">
        <v>804</v>
      </c>
      <c r="G423" s="27">
        <v>0.72</v>
      </c>
      <c r="AO423" s="20">
        <v>4</v>
      </c>
    </row>
    <row r="424" spans="1:41">
      <c r="A424" s="19">
        <f t="shared" si="144"/>
        <v>423</v>
      </c>
      <c r="B424" s="29" t="s">
        <v>219</v>
      </c>
      <c r="C424" s="29">
        <v>4</v>
      </c>
      <c r="D424" s="29" t="s">
        <v>939</v>
      </c>
      <c r="E424" s="27" t="s">
        <v>805</v>
      </c>
      <c r="G424" s="27">
        <v>0.73</v>
      </c>
      <c r="AO424" s="20">
        <v>4</v>
      </c>
    </row>
    <row r="425" spans="1:41">
      <c r="A425" s="19">
        <f t="shared" si="144"/>
        <v>424</v>
      </c>
      <c r="B425" s="29" t="s">
        <v>219</v>
      </c>
      <c r="C425" s="29">
        <v>4</v>
      </c>
      <c r="D425" s="29" t="s">
        <v>939</v>
      </c>
      <c r="E425" s="27" t="s">
        <v>806</v>
      </c>
      <c r="G425" s="27">
        <v>0.7</v>
      </c>
      <c r="AO425" s="20">
        <v>4</v>
      </c>
    </row>
    <row r="426" spans="1:41">
      <c r="A426" s="19">
        <f t="shared" si="144"/>
        <v>425</v>
      </c>
      <c r="B426" s="29" t="s">
        <v>219</v>
      </c>
      <c r="C426" s="29">
        <v>4</v>
      </c>
      <c r="D426" s="29" t="s">
        <v>939</v>
      </c>
      <c r="E426" s="27" t="s">
        <v>807</v>
      </c>
      <c r="G426" s="27">
        <v>0.42</v>
      </c>
      <c r="AO426" s="20">
        <v>4</v>
      </c>
    </row>
    <row r="427" spans="1:41">
      <c r="A427" s="19">
        <f t="shared" si="144"/>
        <v>426</v>
      </c>
      <c r="B427" s="29" t="s">
        <v>219</v>
      </c>
      <c r="C427" s="29">
        <v>4</v>
      </c>
      <c r="D427" s="29" t="s">
        <v>939</v>
      </c>
      <c r="E427" s="27" t="s">
        <v>808</v>
      </c>
      <c r="G427" s="27">
        <v>0.75</v>
      </c>
      <c r="AO427" s="20">
        <v>4</v>
      </c>
    </row>
    <row r="428" spans="1:41">
      <c r="A428" s="19">
        <f t="shared" si="144"/>
        <v>427</v>
      </c>
      <c r="B428" s="29" t="s">
        <v>219</v>
      </c>
      <c r="C428" s="29">
        <v>4</v>
      </c>
      <c r="D428" s="29" t="s">
        <v>939</v>
      </c>
      <c r="E428" s="27" t="s">
        <v>809</v>
      </c>
      <c r="G428" s="27">
        <v>0.1</v>
      </c>
      <c r="AO428" s="20">
        <v>4</v>
      </c>
    </row>
    <row r="429" spans="1:41">
      <c r="A429" s="19">
        <f t="shared" si="144"/>
        <v>428</v>
      </c>
      <c r="B429" s="29" t="s">
        <v>219</v>
      </c>
      <c r="C429" s="29">
        <v>4</v>
      </c>
      <c r="D429" s="29" t="s">
        <v>939</v>
      </c>
      <c r="E429" s="27" t="s">
        <v>810</v>
      </c>
      <c r="G429" s="27">
        <v>0.85</v>
      </c>
      <c r="AO429" s="20">
        <v>4</v>
      </c>
    </row>
    <row r="430" spans="1:41">
      <c r="A430" s="19">
        <f t="shared" si="144"/>
        <v>429</v>
      </c>
      <c r="B430" s="29" t="s">
        <v>219</v>
      </c>
      <c r="C430" s="29">
        <v>4</v>
      </c>
      <c r="D430" s="29" t="s">
        <v>939</v>
      </c>
      <c r="E430" s="27" t="s">
        <v>811</v>
      </c>
      <c r="G430" s="27">
        <v>0.57999999999999996</v>
      </c>
      <c r="AO430" s="20">
        <v>4</v>
      </c>
    </row>
    <row r="431" spans="1:41">
      <c r="A431" s="19">
        <f t="shared" si="144"/>
        <v>430</v>
      </c>
      <c r="B431" s="29" t="s">
        <v>219</v>
      </c>
      <c r="C431" s="29">
        <v>4</v>
      </c>
      <c r="D431" s="29" t="s">
        <v>939</v>
      </c>
      <c r="E431" s="27" t="s">
        <v>812</v>
      </c>
      <c r="G431" s="27">
        <v>0.73</v>
      </c>
      <c r="AO431" s="20">
        <v>4</v>
      </c>
    </row>
    <row r="432" spans="1:41">
      <c r="A432" s="19">
        <f t="shared" si="144"/>
        <v>431</v>
      </c>
      <c r="B432" s="29" t="s">
        <v>219</v>
      </c>
      <c r="C432" s="29">
        <v>4</v>
      </c>
      <c r="D432" s="29" t="s">
        <v>939</v>
      </c>
      <c r="E432" s="27" t="s">
        <v>813</v>
      </c>
      <c r="G432" s="27">
        <v>0.82</v>
      </c>
      <c r="AO432" s="20">
        <v>4</v>
      </c>
    </row>
    <row r="433" spans="1:41">
      <c r="A433" s="19">
        <f t="shared" si="144"/>
        <v>432</v>
      </c>
      <c r="B433" s="29" t="s">
        <v>219</v>
      </c>
      <c r="C433" s="29">
        <v>4</v>
      </c>
      <c r="D433" s="29" t="s">
        <v>939</v>
      </c>
      <c r="E433" s="27" t="s">
        <v>814</v>
      </c>
      <c r="G433" s="27">
        <v>0.72</v>
      </c>
      <c r="AO433" s="20">
        <v>4</v>
      </c>
    </row>
    <row r="434" spans="1:41">
      <c r="A434" s="19">
        <f t="shared" si="144"/>
        <v>433</v>
      </c>
      <c r="B434" s="29" t="s">
        <v>219</v>
      </c>
      <c r="C434" s="29">
        <v>4</v>
      </c>
      <c r="D434" s="29" t="s">
        <v>939</v>
      </c>
      <c r="E434" s="27" t="s">
        <v>815</v>
      </c>
      <c r="G434" s="27">
        <v>0.28000000000000003</v>
      </c>
      <c r="AO434" s="20">
        <v>4</v>
      </c>
    </row>
    <row r="435" spans="1:41">
      <c r="A435" s="19">
        <f t="shared" si="144"/>
        <v>434</v>
      </c>
      <c r="B435" s="29" t="s">
        <v>219</v>
      </c>
      <c r="C435" s="29">
        <v>4</v>
      </c>
      <c r="D435" s="29" t="s">
        <v>939</v>
      </c>
      <c r="E435" s="27" t="s">
        <v>816</v>
      </c>
      <c r="G435" s="27">
        <v>0.67</v>
      </c>
      <c r="AO435" s="20">
        <v>4</v>
      </c>
    </row>
    <row r="436" spans="1:41">
      <c r="A436" s="19">
        <f t="shared" si="144"/>
        <v>435</v>
      </c>
      <c r="B436" s="29" t="s">
        <v>219</v>
      </c>
      <c r="C436" s="29">
        <v>4</v>
      </c>
      <c r="D436" s="29" t="s">
        <v>939</v>
      </c>
      <c r="E436" s="27" t="s">
        <v>817</v>
      </c>
      <c r="G436" s="27">
        <v>0.51</v>
      </c>
      <c r="AO436" s="20">
        <v>4</v>
      </c>
    </row>
    <row r="437" spans="1:41">
      <c r="A437" s="19">
        <f t="shared" si="144"/>
        <v>436</v>
      </c>
      <c r="B437" s="29" t="s">
        <v>219</v>
      </c>
      <c r="C437" s="29">
        <v>4</v>
      </c>
      <c r="D437" s="29" t="s">
        <v>939</v>
      </c>
      <c r="E437" s="27" t="s">
        <v>818</v>
      </c>
      <c r="G437" s="27">
        <v>0.67</v>
      </c>
      <c r="AO437" s="20">
        <v>4</v>
      </c>
    </row>
    <row r="438" spans="1:41">
      <c r="A438" s="19">
        <f t="shared" si="144"/>
        <v>437</v>
      </c>
      <c r="B438" s="29" t="s">
        <v>219</v>
      </c>
      <c r="C438" s="29">
        <v>4</v>
      </c>
      <c r="D438" s="29" t="s">
        <v>939</v>
      </c>
      <c r="E438" s="27" t="s">
        <v>819</v>
      </c>
      <c r="G438" s="27">
        <v>0.54</v>
      </c>
      <c r="AO438" s="20">
        <v>4</v>
      </c>
    </row>
    <row r="439" spans="1:41">
      <c r="A439" s="19">
        <f t="shared" si="144"/>
        <v>438</v>
      </c>
      <c r="B439" s="29" t="s">
        <v>219</v>
      </c>
      <c r="C439" s="29">
        <v>4</v>
      </c>
      <c r="D439" s="29" t="s">
        <v>939</v>
      </c>
      <c r="E439" s="27" t="s">
        <v>820</v>
      </c>
      <c r="G439" s="27">
        <v>0.70499999999999996</v>
      </c>
      <c r="AO439" s="20">
        <v>4</v>
      </c>
    </row>
    <row r="440" spans="1:41">
      <c r="A440" s="19">
        <f t="shared" si="144"/>
        <v>439</v>
      </c>
      <c r="B440" s="29" t="s">
        <v>219</v>
      </c>
      <c r="C440" s="29">
        <v>4</v>
      </c>
      <c r="D440" s="29" t="s">
        <v>939</v>
      </c>
      <c r="E440" s="27" t="s">
        <v>821</v>
      </c>
      <c r="G440" s="27">
        <v>0.78</v>
      </c>
      <c r="AO440" s="20">
        <v>4</v>
      </c>
    </row>
    <row r="441" spans="1:41">
      <c r="A441" s="19">
        <f t="shared" si="144"/>
        <v>440</v>
      </c>
      <c r="B441" s="29" t="s">
        <v>219</v>
      </c>
      <c r="C441" s="29">
        <v>4</v>
      </c>
      <c r="D441" s="29" t="s">
        <v>939</v>
      </c>
      <c r="E441" s="27" t="s">
        <v>822</v>
      </c>
      <c r="G441" s="27">
        <v>0.54</v>
      </c>
      <c r="AO441" s="20">
        <v>4</v>
      </c>
    </row>
    <row r="442" spans="1:41">
      <c r="A442" s="19">
        <f t="shared" si="144"/>
        <v>441</v>
      </c>
      <c r="B442" s="29" t="s">
        <v>219</v>
      </c>
      <c r="C442" s="29">
        <v>4</v>
      </c>
      <c r="D442" s="29" t="s">
        <v>939</v>
      </c>
      <c r="E442" s="27" t="s">
        <v>823</v>
      </c>
      <c r="G442" s="27">
        <v>0.54</v>
      </c>
      <c r="AO442" s="20">
        <v>4</v>
      </c>
    </row>
    <row r="443" spans="1:41">
      <c r="A443" s="19">
        <f t="shared" si="144"/>
        <v>442</v>
      </c>
      <c r="B443" s="29" t="s">
        <v>219</v>
      </c>
      <c r="C443" s="29">
        <v>4</v>
      </c>
      <c r="D443" s="29" t="s">
        <v>939</v>
      </c>
      <c r="E443" s="27" t="s">
        <v>824</v>
      </c>
      <c r="G443" s="27">
        <v>0.53500000000000003</v>
      </c>
      <c r="AO443" s="20">
        <v>4</v>
      </c>
    </row>
    <row r="444" spans="1:41">
      <c r="A444" s="19">
        <f t="shared" si="144"/>
        <v>443</v>
      </c>
      <c r="B444" s="29" t="s">
        <v>219</v>
      </c>
      <c r="C444" s="29">
        <v>4</v>
      </c>
      <c r="D444" s="29" t="s">
        <v>939</v>
      </c>
      <c r="E444" s="27" t="s">
        <v>825</v>
      </c>
      <c r="G444" s="27">
        <v>0.7</v>
      </c>
      <c r="AO444" s="20">
        <v>4</v>
      </c>
    </row>
    <row r="445" spans="1:41">
      <c r="A445" s="19">
        <f t="shared" si="144"/>
        <v>444</v>
      </c>
      <c r="B445" s="29" t="s">
        <v>219</v>
      </c>
      <c r="C445" s="29">
        <v>4</v>
      </c>
      <c r="D445" s="29" t="s">
        <v>939</v>
      </c>
      <c r="E445" s="27" t="s">
        <v>826</v>
      </c>
      <c r="G445" s="27">
        <v>0.64</v>
      </c>
      <c r="AO445" s="20">
        <v>4</v>
      </c>
    </row>
    <row r="446" spans="1:41">
      <c r="A446" s="19">
        <f t="shared" si="144"/>
        <v>445</v>
      </c>
      <c r="B446" s="29" t="s">
        <v>219</v>
      </c>
      <c r="C446" s="29">
        <v>4</v>
      </c>
      <c r="D446" s="29" t="s">
        <v>939</v>
      </c>
      <c r="E446" s="27" t="s">
        <v>827</v>
      </c>
      <c r="G446" s="27">
        <v>0.77</v>
      </c>
      <c r="AO446" s="20">
        <v>4</v>
      </c>
    </row>
    <row r="447" spans="1:41">
      <c r="A447" s="19">
        <f t="shared" si="144"/>
        <v>446</v>
      </c>
      <c r="B447" s="29" t="s">
        <v>219</v>
      </c>
      <c r="C447" s="29">
        <v>4</v>
      </c>
      <c r="D447" s="29" t="s">
        <v>939</v>
      </c>
      <c r="E447" s="27" t="s">
        <v>828</v>
      </c>
      <c r="G447" s="27">
        <v>0.2</v>
      </c>
      <c r="AO447" s="20">
        <v>4</v>
      </c>
    </row>
    <row r="448" spans="1:41">
      <c r="A448" s="19">
        <f t="shared" si="144"/>
        <v>447</v>
      </c>
      <c r="B448" s="29" t="s">
        <v>219</v>
      </c>
      <c r="C448" s="29">
        <v>4</v>
      </c>
      <c r="D448" s="29" t="s">
        <v>939</v>
      </c>
      <c r="E448" s="27" t="s">
        <v>829</v>
      </c>
      <c r="G448" s="27">
        <v>0.56000000000000005</v>
      </c>
      <c r="AO448" s="20">
        <v>4</v>
      </c>
    </row>
    <row r="449" spans="1:41">
      <c r="A449" s="19">
        <f t="shared" si="144"/>
        <v>448</v>
      </c>
      <c r="B449" s="29" t="s">
        <v>219</v>
      </c>
      <c r="C449" s="29">
        <v>4</v>
      </c>
      <c r="D449" s="29" t="s">
        <v>939</v>
      </c>
      <c r="E449" s="27" t="s">
        <v>830</v>
      </c>
      <c r="G449" s="27">
        <v>0.74</v>
      </c>
      <c r="AO449" s="20">
        <v>4</v>
      </c>
    </row>
    <row r="450" spans="1:41">
      <c r="A450" s="19">
        <f t="shared" si="144"/>
        <v>449</v>
      </c>
      <c r="B450" s="29" t="s">
        <v>219</v>
      </c>
      <c r="C450" s="29">
        <v>4</v>
      </c>
      <c r="D450" s="29" t="s">
        <v>939</v>
      </c>
      <c r="E450" s="27" t="s">
        <v>831</v>
      </c>
      <c r="G450" s="27">
        <v>0.48</v>
      </c>
      <c r="AO450" s="20">
        <v>4</v>
      </c>
    </row>
    <row r="451" spans="1:41">
      <c r="A451" s="19">
        <f t="shared" ref="A451:A514" si="145">A450+1</f>
        <v>450</v>
      </c>
      <c r="B451" s="29" t="s">
        <v>219</v>
      </c>
      <c r="C451" s="29">
        <v>4</v>
      </c>
      <c r="D451" s="29" t="s">
        <v>939</v>
      </c>
      <c r="E451" s="27" t="s">
        <v>831</v>
      </c>
      <c r="G451" s="27">
        <v>0.57999999999999996</v>
      </c>
      <c r="AO451" s="20">
        <v>4</v>
      </c>
    </row>
    <row r="452" spans="1:41">
      <c r="A452" s="19">
        <f t="shared" si="145"/>
        <v>451</v>
      </c>
      <c r="B452" s="29" t="s">
        <v>219</v>
      </c>
      <c r="C452" s="29">
        <v>4</v>
      </c>
      <c r="D452" s="29" t="s">
        <v>939</v>
      </c>
      <c r="E452" s="27" t="s">
        <v>831</v>
      </c>
      <c r="G452" s="27">
        <v>0.67</v>
      </c>
      <c r="AO452" s="20">
        <v>4</v>
      </c>
    </row>
    <row r="453" spans="1:41">
      <c r="A453" s="19">
        <f t="shared" si="145"/>
        <v>452</v>
      </c>
      <c r="B453" s="29" t="s">
        <v>219</v>
      </c>
      <c r="C453" s="29">
        <v>4</v>
      </c>
      <c r="D453" s="29" t="s">
        <v>939</v>
      </c>
      <c r="E453" s="27" t="s">
        <v>831</v>
      </c>
      <c r="G453" s="27">
        <v>0.52100000000000002</v>
      </c>
      <c r="AO453" s="20">
        <v>4</v>
      </c>
    </row>
    <row r="454" spans="1:41">
      <c r="A454" s="19">
        <f t="shared" si="145"/>
        <v>453</v>
      </c>
      <c r="B454" s="29" t="s">
        <v>219</v>
      </c>
      <c r="C454" s="29">
        <v>4</v>
      </c>
      <c r="D454" s="29" t="s">
        <v>939</v>
      </c>
      <c r="E454" s="27" t="s">
        <v>832</v>
      </c>
      <c r="G454" s="27">
        <v>0.66</v>
      </c>
      <c r="AO454" s="20">
        <v>4</v>
      </c>
    </row>
    <row r="455" spans="1:41">
      <c r="A455" s="19">
        <f t="shared" si="145"/>
        <v>454</v>
      </c>
      <c r="B455" s="29" t="s">
        <v>219</v>
      </c>
      <c r="C455" s="29">
        <v>4</v>
      </c>
      <c r="D455" s="29" t="s">
        <v>939</v>
      </c>
      <c r="E455" s="27" t="s">
        <v>833</v>
      </c>
      <c r="G455" s="27">
        <v>0.67</v>
      </c>
      <c r="AO455" s="20">
        <v>4</v>
      </c>
    </row>
    <row r="456" spans="1:41">
      <c r="A456" s="19">
        <f t="shared" si="145"/>
        <v>455</v>
      </c>
      <c r="B456" s="29" t="s">
        <v>219</v>
      </c>
      <c r="C456" s="29">
        <v>4</v>
      </c>
      <c r="D456" s="29" t="s">
        <v>939</v>
      </c>
      <c r="E456" s="27" t="s">
        <v>834</v>
      </c>
      <c r="G456" s="27">
        <v>0.55000000000000004</v>
      </c>
      <c r="AO456" s="20">
        <v>4</v>
      </c>
    </row>
    <row r="457" spans="1:41">
      <c r="A457" s="19">
        <f t="shared" si="145"/>
        <v>456</v>
      </c>
      <c r="B457" s="29" t="s">
        <v>219</v>
      </c>
      <c r="C457" s="29">
        <v>4</v>
      </c>
      <c r="D457" s="29" t="s">
        <v>939</v>
      </c>
      <c r="E457" s="27" t="s">
        <v>835</v>
      </c>
      <c r="G457" s="27">
        <v>0.69</v>
      </c>
      <c r="AO457" s="20">
        <v>4</v>
      </c>
    </row>
    <row r="458" spans="1:41">
      <c r="A458" s="19">
        <f t="shared" si="145"/>
        <v>457</v>
      </c>
      <c r="B458" s="29" t="s">
        <v>219</v>
      </c>
      <c r="C458" s="29">
        <v>4</v>
      </c>
      <c r="D458" s="29" t="s">
        <v>939</v>
      </c>
      <c r="E458" s="27" t="s">
        <v>836</v>
      </c>
      <c r="G458" s="27">
        <v>0.7</v>
      </c>
      <c r="AO458" s="20">
        <v>4</v>
      </c>
    </row>
    <row r="459" spans="1:41">
      <c r="A459" s="19">
        <f t="shared" si="145"/>
        <v>458</v>
      </c>
      <c r="B459" s="29" t="s">
        <v>219</v>
      </c>
      <c r="C459" s="29">
        <v>4</v>
      </c>
      <c r="D459" s="29" t="s">
        <v>939</v>
      </c>
      <c r="E459" s="27" t="s">
        <v>837</v>
      </c>
      <c r="G459" s="27">
        <v>0.24</v>
      </c>
      <c r="AO459" s="20">
        <v>4</v>
      </c>
    </row>
    <row r="460" spans="1:41">
      <c r="A460" s="19">
        <f t="shared" si="145"/>
        <v>459</v>
      </c>
      <c r="B460" s="29" t="s">
        <v>219</v>
      </c>
      <c r="C460" s="29">
        <v>4</v>
      </c>
      <c r="D460" s="29" t="s">
        <v>939</v>
      </c>
      <c r="E460" s="27" t="s">
        <v>838</v>
      </c>
      <c r="G460" s="27">
        <v>0.54</v>
      </c>
      <c r="AO460" s="20">
        <v>4</v>
      </c>
    </row>
    <row r="461" spans="1:41">
      <c r="A461" s="19">
        <f t="shared" si="145"/>
        <v>460</v>
      </c>
      <c r="B461" s="29" t="s">
        <v>219</v>
      </c>
      <c r="C461" s="29">
        <v>4</v>
      </c>
      <c r="D461" s="29" t="s">
        <v>939</v>
      </c>
      <c r="E461" s="27" t="s">
        <v>839</v>
      </c>
      <c r="G461" s="27">
        <v>0.77500000000000002</v>
      </c>
      <c r="AO461" s="20">
        <v>4</v>
      </c>
    </row>
    <row r="462" spans="1:41">
      <c r="A462" s="19">
        <f t="shared" si="145"/>
        <v>461</v>
      </c>
      <c r="B462" s="29" t="s">
        <v>219</v>
      </c>
      <c r="C462" s="29">
        <v>4</v>
      </c>
      <c r="D462" s="29" t="s">
        <v>939</v>
      </c>
      <c r="E462" s="27" t="s">
        <v>840</v>
      </c>
      <c r="G462" s="27">
        <v>0.56000000000000005</v>
      </c>
      <c r="AO462" s="20">
        <v>4</v>
      </c>
    </row>
    <row r="463" spans="1:41">
      <c r="A463" s="19">
        <f t="shared" si="145"/>
        <v>462</v>
      </c>
      <c r="B463" s="29" t="s">
        <v>219</v>
      </c>
      <c r="C463" s="29">
        <v>4</v>
      </c>
      <c r="D463" s="29" t="s">
        <v>939</v>
      </c>
      <c r="E463" s="27" t="s">
        <v>841</v>
      </c>
      <c r="G463" s="27">
        <v>0.54</v>
      </c>
      <c r="AO463" s="20">
        <v>4</v>
      </c>
    </row>
    <row r="464" spans="1:41">
      <c r="A464" s="19">
        <f t="shared" si="145"/>
        <v>463</v>
      </c>
      <c r="B464" s="29" t="s">
        <v>219</v>
      </c>
      <c r="C464" s="29">
        <v>4</v>
      </c>
      <c r="D464" s="29" t="s">
        <v>939</v>
      </c>
      <c r="E464" s="27" t="s">
        <v>842</v>
      </c>
      <c r="G464" s="27">
        <v>0.52</v>
      </c>
      <c r="AO464" s="20">
        <v>4</v>
      </c>
    </row>
    <row r="465" spans="1:41">
      <c r="A465" s="19">
        <f t="shared" si="145"/>
        <v>464</v>
      </c>
      <c r="B465" s="29" t="s">
        <v>219</v>
      </c>
      <c r="C465" s="29">
        <v>4</v>
      </c>
      <c r="D465" s="29" t="s">
        <v>939</v>
      </c>
      <c r="E465" s="27" t="s">
        <v>843</v>
      </c>
      <c r="G465" s="27">
        <v>0.55000000000000004</v>
      </c>
      <c r="AO465" s="20">
        <v>4</v>
      </c>
    </row>
    <row r="466" spans="1:41">
      <c r="A466" s="19">
        <f t="shared" si="145"/>
        <v>465</v>
      </c>
      <c r="B466" s="29" t="s">
        <v>219</v>
      </c>
      <c r="C466" s="29">
        <v>4</v>
      </c>
      <c r="D466" s="29" t="s">
        <v>939</v>
      </c>
      <c r="E466" s="27" t="s">
        <v>844</v>
      </c>
      <c r="G466" s="27">
        <v>0.63</v>
      </c>
      <c r="AO466" s="20">
        <v>4</v>
      </c>
    </row>
    <row r="467" spans="1:41">
      <c r="A467" s="19">
        <f t="shared" si="145"/>
        <v>466</v>
      </c>
      <c r="B467" s="29" t="s">
        <v>219</v>
      </c>
      <c r="C467" s="29">
        <v>4</v>
      </c>
      <c r="D467" s="29" t="s">
        <v>939</v>
      </c>
      <c r="E467" s="27" t="s">
        <v>845</v>
      </c>
      <c r="G467" s="27">
        <v>0.63</v>
      </c>
      <c r="AO467" s="20">
        <v>4</v>
      </c>
    </row>
    <row r="468" spans="1:41">
      <c r="A468" s="19">
        <f t="shared" si="145"/>
        <v>467</v>
      </c>
      <c r="B468" s="29" t="s">
        <v>219</v>
      </c>
      <c r="C468" s="29">
        <v>4</v>
      </c>
      <c r="D468" s="29" t="s">
        <v>939</v>
      </c>
      <c r="E468" s="27" t="s">
        <v>846</v>
      </c>
      <c r="G468" s="27">
        <v>0.59</v>
      </c>
      <c r="AO468" s="20">
        <v>4</v>
      </c>
    </row>
    <row r="469" spans="1:41">
      <c r="A469" s="19">
        <f t="shared" si="145"/>
        <v>468</v>
      </c>
      <c r="B469" s="29" t="s">
        <v>219</v>
      </c>
      <c r="C469" s="29">
        <v>4</v>
      </c>
      <c r="D469" s="29" t="s">
        <v>939</v>
      </c>
      <c r="E469" s="27" t="s">
        <v>847</v>
      </c>
      <c r="G469" s="27">
        <v>0.59</v>
      </c>
      <c r="AO469" s="20">
        <v>4</v>
      </c>
    </row>
    <row r="470" spans="1:41">
      <c r="A470" s="19">
        <f t="shared" si="145"/>
        <v>469</v>
      </c>
      <c r="B470" s="29" t="s">
        <v>219</v>
      </c>
      <c r="C470" s="29">
        <v>4</v>
      </c>
      <c r="D470" s="29" t="s">
        <v>939</v>
      </c>
      <c r="E470" s="27" t="s">
        <v>848</v>
      </c>
      <c r="G470" s="27">
        <v>0.21</v>
      </c>
      <c r="AO470" s="20">
        <v>4</v>
      </c>
    </row>
    <row r="471" spans="1:41">
      <c r="A471" s="19">
        <f t="shared" si="145"/>
        <v>470</v>
      </c>
      <c r="B471" s="29" t="s">
        <v>219</v>
      </c>
      <c r="C471" s="29">
        <v>4</v>
      </c>
      <c r="D471" s="29" t="s">
        <v>939</v>
      </c>
      <c r="E471" s="27" t="s">
        <v>849</v>
      </c>
      <c r="G471" s="27">
        <v>0.77</v>
      </c>
      <c r="AO471" s="20">
        <v>4</v>
      </c>
    </row>
    <row r="472" spans="1:41">
      <c r="A472" s="19">
        <f t="shared" si="145"/>
        <v>471</v>
      </c>
      <c r="B472" s="29" t="s">
        <v>219</v>
      </c>
      <c r="C472" s="29">
        <v>4</v>
      </c>
      <c r="D472" s="29" t="s">
        <v>939</v>
      </c>
      <c r="E472" s="27" t="s">
        <v>850</v>
      </c>
      <c r="G472" s="27">
        <v>0.65</v>
      </c>
      <c r="AO472" s="20">
        <v>4</v>
      </c>
    </row>
    <row r="473" spans="1:41">
      <c r="A473" s="19">
        <f t="shared" si="145"/>
        <v>472</v>
      </c>
      <c r="B473" s="29" t="s">
        <v>219</v>
      </c>
      <c r="C473" s="29">
        <v>4</v>
      </c>
      <c r="D473" s="29" t="s">
        <v>939</v>
      </c>
      <c r="E473" s="27" t="s">
        <v>851</v>
      </c>
      <c r="G473" s="27">
        <v>0.44</v>
      </c>
      <c r="AO473" s="20">
        <v>4</v>
      </c>
    </row>
    <row r="474" spans="1:41">
      <c r="A474" s="19">
        <f t="shared" si="145"/>
        <v>473</v>
      </c>
      <c r="B474" s="29" t="s">
        <v>219</v>
      </c>
      <c r="C474" s="29">
        <v>4</v>
      </c>
      <c r="D474" s="29" t="s">
        <v>939</v>
      </c>
      <c r="E474" s="27" t="s">
        <v>852</v>
      </c>
      <c r="G474" s="27">
        <v>0.79</v>
      </c>
      <c r="AO474" s="20">
        <v>4</v>
      </c>
    </row>
    <row r="475" spans="1:41">
      <c r="A475" s="19">
        <f t="shared" si="145"/>
        <v>474</v>
      </c>
      <c r="B475" s="29" t="s">
        <v>219</v>
      </c>
      <c r="C475" s="29">
        <v>4</v>
      </c>
      <c r="D475" s="29" t="s">
        <v>939</v>
      </c>
      <c r="E475" s="27" t="s">
        <v>853</v>
      </c>
      <c r="G475" s="27">
        <v>0.66</v>
      </c>
      <c r="AO475" s="20">
        <v>4</v>
      </c>
    </row>
    <row r="476" spans="1:41">
      <c r="A476" s="19">
        <f t="shared" si="145"/>
        <v>475</v>
      </c>
      <c r="B476" s="29" t="s">
        <v>219</v>
      </c>
      <c r="C476" s="29">
        <v>4</v>
      </c>
      <c r="D476" s="29" t="s">
        <v>939</v>
      </c>
      <c r="E476" s="27" t="s">
        <v>854</v>
      </c>
      <c r="G476" s="27">
        <v>0.46</v>
      </c>
      <c r="AO476" s="20">
        <v>4</v>
      </c>
    </row>
    <row r="477" spans="1:41">
      <c r="A477" s="19">
        <f t="shared" si="145"/>
        <v>476</v>
      </c>
      <c r="B477" s="29" t="s">
        <v>219</v>
      </c>
      <c r="C477" s="29">
        <v>4</v>
      </c>
      <c r="D477" s="29" t="s">
        <v>939</v>
      </c>
      <c r="E477" s="27" t="s">
        <v>855</v>
      </c>
      <c r="G477" s="27">
        <v>0.5</v>
      </c>
      <c r="AO477" s="20">
        <v>4</v>
      </c>
    </row>
    <row r="478" spans="1:41">
      <c r="A478" s="19">
        <f t="shared" si="145"/>
        <v>477</v>
      </c>
      <c r="B478" s="29" t="s">
        <v>219</v>
      </c>
      <c r="C478" s="29">
        <v>4</v>
      </c>
      <c r="D478" s="29" t="s">
        <v>939</v>
      </c>
      <c r="E478" s="27" t="s">
        <v>856</v>
      </c>
      <c r="G478" s="27">
        <v>0.61</v>
      </c>
      <c r="AO478" s="20">
        <v>4</v>
      </c>
    </row>
    <row r="479" spans="1:41">
      <c r="A479" s="19">
        <f t="shared" si="145"/>
        <v>478</v>
      </c>
      <c r="B479" s="29" t="s">
        <v>219</v>
      </c>
      <c r="C479" s="29">
        <v>4</v>
      </c>
      <c r="D479" s="29" t="s">
        <v>939</v>
      </c>
      <c r="E479" s="27" t="s">
        <v>857</v>
      </c>
      <c r="G479" s="27">
        <v>0.7</v>
      </c>
      <c r="AO479" s="20">
        <v>4</v>
      </c>
    </row>
    <row r="480" spans="1:41">
      <c r="A480" s="19">
        <f t="shared" si="145"/>
        <v>479</v>
      </c>
      <c r="B480" s="29" t="s">
        <v>219</v>
      </c>
      <c r="C480" s="29">
        <v>4</v>
      </c>
      <c r="D480" s="29" t="s">
        <v>939</v>
      </c>
      <c r="E480" s="27" t="s">
        <v>858</v>
      </c>
      <c r="G480" s="27">
        <v>0.63</v>
      </c>
      <c r="AO480" s="20">
        <v>4</v>
      </c>
    </row>
    <row r="481" spans="1:41">
      <c r="A481" s="19">
        <f t="shared" si="145"/>
        <v>480</v>
      </c>
      <c r="B481" s="29" t="s">
        <v>219</v>
      </c>
      <c r="C481" s="29">
        <v>4</v>
      </c>
      <c r="D481" s="29" t="s">
        <v>939</v>
      </c>
      <c r="E481" s="27" t="s">
        <v>859</v>
      </c>
      <c r="G481" s="27">
        <v>0.53</v>
      </c>
      <c r="AO481" s="20">
        <v>4</v>
      </c>
    </row>
    <row r="482" spans="1:41">
      <c r="A482" s="19">
        <f t="shared" si="145"/>
        <v>481</v>
      </c>
      <c r="B482" s="29" t="s">
        <v>219</v>
      </c>
      <c r="C482" s="29">
        <v>4</v>
      </c>
      <c r="D482" s="29" t="s">
        <v>939</v>
      </c>
      <c r="E482" s="27" t="s">
        <v>860</v>
      </c>
      <c r="G482" s="27">
        <v>0.69</v>
      </c>
      <c r="AO482" s="20">
        <v>4</v>
      </c>
    </row>
    <row r="483" spans="1:41">
      <c r="A483" s="19">
        <f t="shared" si="145"/>
        <v>482</v>
      </c>
      <c r="B483" s="29" t="s">
        <v>219</v>
      </c>
      <c r="C483" s="29">
        <v>4</v>
      </c>
      <c r="D483" s="29" t="s">
        <v>939</v>
      </c>
      <c r="E483" s="27" t="s">
        <v>861</v>
      </c>
      <c r="G483" s="27">
        <v>0.32500000000000001</v>
      </c>
      <c r="AO483" s="20">
        <v>4</v>
      </c>
    </row>
    <row r="484" spans="1:41">
      <c r="A484" s="19">
        <f t="shared" si="145"/>
        <v>483</v>
      </c>
      <c r="B484" s="29" t="s">
        <v>219</v>
      </c>
      <c r="C484" s="29">
        <v>4</v>
      </c>
      <c r="D484" s="29" t="s">
        <v>939</v>
      </c>
      <c r="E484" s="27" t="s">
        <v>862</v>
      </c>
      <c r="G484" s="27">
        <v>0.6</v>
      </c>
      <c r="AO484" s="20">
        <v>4</v>
      </c>
    </row>
    <row r="485" spans="1:41">
      <c r="A485" s="19">
        <f t="shared" si="145"/>
        <v>484</v>
      </c>
      <c r="B485" s="29" t="s">
        <v>219</v>
      </c>
      <c r="C485" s="29">
        <v>4</v>
      </c>
      <c r="D485" s="29" t="s">
        <v>939</v>
      </c>
      <c r="E485" s="27" t="s">
        <v>863</v>
      </c>
      <c r="G485" s="27">
        <v>0.64600000000000002</v>
      </c>
      <c r="AO485" s="20">
        <v>4</v>
      </c>
    </row>
    <row r="486" spans="1:41">
      <c r="A486" s="19">
        <f t="shared" si="145"/>
        <v>485</v>
      </c>
      <c r="B486" s="29" t="s">
        <v>219</v>
      </c>
      <c r="C486" s="29">
        <v>4</v>
      </c>
      <c r="D486" s="29" t="s">
        <v>939</v>
      </c>
      <c r="E486" s="27" t="s">
        <v>864</v>
      </c>
      <c r="G486" s="27">
        <v>0.77</v>
      </c>
      <c r="AO486" s="20">
        <v>4</v>
      </c>
    </row>
    <row r="487" spans="1:41">
      <c r="A487" s="19">
        <f t="shared" si="145"/>
        <v>486</v>
      </c>
      <c r="B487" s="29" t="s">
        <v>219</v>
      </c>
      <c r="C487" s="29">
        <v>4</v>
      </c>
      <c r="D487" s="29" t="s">
        <v>939</v>
      </c>
      <c r="E487" s="27" t="s">
        <v>865</v>
      </c>
      <c r="G487" s="27">
        <v>0.62</v>
      </c>
      <c r="AO487" s="20">
        <v>4</v>
      </c>
    </row>
    <row r="488" spans="1:41">
      <c r="A488" s="19">
        <f t="shared" si="145"/>
        <v>487</v>
      </c>
      <c r="B488" s="29" t="s">
        <v>219</v>
      </c>
      <c r="C488" s="29">
        <v>4</v>
      </c>
      <c r="D488" s="29" t="s">
        <v>939</v>
      </c>
      <c r="E488" s="27" t="s">
        <v>866</v>
      </c>
      <c r="G488" s="27">
        <v>0.24</v>
      </c>
      <c r="AO488" s="20">
        <v>4</v>
      </c>
    </row>
    <row r="489" spans="1:41">
      <c r="A489" s="19">
        <f t="shared" si="145"/>
        <v>488</v>
      </c>
      <c r="B489" s="29" t="s">
        <v>219</v>
      </c>
      <c r="C489" s="29">
        <v>4</v>
      </c>
      <c r="D489" s="29" t="s">
        <v>939</v>
      </c>
      <c r="E489" s="27" t="s">
        <v>867</v>
      </c>
      <c r="G489" s="27">
        <v>0.6</v>
      </c>
      <c r="AO489" s="20">
        <v>4</v>
      </c>
    </row>
    <row r="490" spans="1:41">
      <c r="A490" s="19">
        <f t="shared" si="145"/>
        <v>489</v>
      </c>
      <c r="B490" s="29" t="s">
        <v>219</v>
      </c>
      <c r="C490" s="29">
        <v>4</v>
      </c>
      <c r="D490" s="29" t="s">
        <v>939</v>
      </c>
      <c r="E490" s="27" t="s">
        <v>868</v>
      </c>
      <c r="G490" s="27">
        <v>0.56000000000000005</v>
      </c>
      <c r="AO490" s="20">
        <v>4</v>
      </c>
    </row>
    <row r="491" spans="1:41">
      <c r="A491" s="19">
        <f t="shared" si="145"/>
        <v>490</v>
      </c>
      <c r="B491" s="29" t="s">
        <v>219</v>
      </c>
      <c r="C491" s="29">
        <v>4</v>
      </c>
      <c r="D491" s="29" t="s">
        <v>939</v>
      </c>
      <c r="E491" s="27" t="s">
        <v>869</v>
      </c>
      <c r="G491" s="27">
        <v>0.23</v>
      </c>
      <c r="AO491" s="20">
        <v>4</v>
      </c>
    </row>
    <row r="492" spans="1:41">
      <c r="A492" s="19">
        <f t="shared" si="145"/>
        <v>491</v>
      </c>
      <c r="B492" s="29" t="s">
        <v>219</v>
      </c>
      <c r="C492" s="29">
        <v>4</v>
      </c>
      <c r="D492" s="29" t="s">
        <v>939</v>
      </c>
      <c r="E492" s="27" t="s">
        <v>870</v>
      </c>
      <c r="G492" s="27">
        <v>0.27500000000000002</v>
      </c>
      <c r="AO492" s="20">
        <v>4</v>
      </c>
    </row>
    <row r="493" spans="1:41">
      <c r="A493" s="19">
        <f t="shared" si="145"/>
        <v>492</v>
      </c>
      <c r="B493" s="29" t="s">
        <v>219</v>
      </c>
      <c r="C493" s="29">
        <v>4</v>
      </c>
      <c r="D493" s="29" t="s">
        <v>939</v>
      </c>
      <c r="E493" s="27" t="s">
        <v>871</v>
      </c>
      <c r="G493" s="27">
        <v>0.32</v>
      </c>
      <c r="AO493" s="20">
        <v>4</v>
      </c>
    </row>
    <row r="494" spans="1:41">
      <c r="A494" s="19">
        <f t="shared" si="145"/>
        <v>493</v>
      </c>
      <c r="B494" s="29" t="s">
        <v>219</v>
      </c>
      <c r="C494" s="29">
        <v>4</v>
      </c>
      <c r="D494" s="29" t="s">
        <v>939</v>
      </c>
      <c r="E494" s="27" t="s">
        <v>872</v>
      </c>
      <c r="G494" s="27">
        <v>0.29499999999999998</v>
      </c>
      <c r="AO494" s="20">
        <v>4</v>
      </c>
    </row>
    <row r="495" spans="1:41">
      <c r="A495" s="19">
        <f t="shared" si="145"/>
        <v>494</v>
      </c>
      <c r="B495" s="29" t="s">
        <v>219</v>
      </c>
      <c r="C495" s="29">
        <v>4</v>
      </c>
      <c r="D495" s="29" t="s">
        <v>939</v>
      </c>
      <c r="E495" s="27" t="s">
        <v>873</v>
      </c>
      <c r="G495" s="27">
        <v>0.22</v>
      </c>
      <c r="AO495" s="20">
        <v>4</v>
      </c>
    </row>
    <row r="496" spans="1:41">
      <c r="A496" s="19">
        <f t="shared" si="145"/>
        <v>495</v>
      </c>
      <c r="B496" s="29" t="s">
        <v>219</v>
      </c>
      <c r="C496" s="29">
        <v>4</v>
      </c>
      <c r="D496" s="29" t="s">
        <v>939</v>
      </c>
      <c r="E496" s="27" t="s">
        <v>874</v>
      </c>
      <c r="G496" s="27">
        <v>0.745</v>
      </c>
      <c r="AO496" s="20">
        <v>4</v>
      </c>
    </row>
    <row r="497" spans="1:41">
      <c r="A497" s="19">
        <f t="shared" si="145"/>
        <v>496</v>
      </c>
      <c r="B497" s="29" t="s">
        <v>219</v>
      </c>
      <c r="C497" s="29">
        <v>4</v>
      </c>
      <c r="D497" s="29" t="s">
        <v>939</v>
      </c>
      <c r="E497" s="27" t="s">
        <v>875</v>
      </c>
      <c r="G497" s="27">
        <v>0.19</v>
      </c>
      <c r="AO497" s="20">
        <v>4</v>
      </c>
    </row>
    <row r="498" spans="1:41">
      <c r="A498" s="19">
        <f t="shared" si="145"/>
        <v>497</v>
      </c>
      <c r="B498" s="29" t="s">
        <v>219</v>
      </c>
      <c r="C498" s="29">
        <v>4</v>
      </c>
      <c r="D498" s="29" t="s">
        <v>939</v>
      </c>
      <c r="E498" s="27" t="s">
        <v>876</v>
      </c>
      <c r="G498" s="27">
        <v>0.54</v>
      </c>
      <c r="AO498" s="20">
        <v>4</v>
      </c>
    </row>
    <row r="499" spans="1:41">
      <c r="A499" s="19">
        <f t="shared" si="145"/>
        <v>498</v>
      </c>
      <c r="B499" s="29" t="s">
        <v>219</v>
      </c>
      <c r="C499" s="29">
        <v>4</v>
      </c>
      <c r="D499" s="29" t="s">
        <v>939</v>
      </c>
      <c r="E499" s="27" t="s">
        <v>877</v>
      </c>
      <c r="G499" s="27">
        <v>0.71</v>
      </c>
      <c r="AO499" s="20">
        <v>4</v>
      </c>
    </row>
    <row r="500" spans="1:41">
      <c r="A500" s="19">
        <f t="shared" si="145"/>
        <v>499</v>
      </c>
      <c r="B500" s="29" t="s">
        <v>219</v>
      </c>
      <c r="C500" s="29">
        <v>4</v>
      </c>
      <c r="D500" s="29" t="s">
        <v>939</v>
      </c>
      <c r="E500" s="27" t="s">
        <v>878</v>
      </c>
      <c r="G500" s="27">
        <v>0.45</v>
      </c>
      <c r="AO500" s="20">
        <v>4</v>
      </c>
    </row>
    <row r="501" spans="1:41">
      <c r="A501" s="19">
        <f t="shared" si="145"/>
        <v>500</v>
      </c>
      <c r="B501" s="29" t="s">
        <v>219</v>
      </c>
      <c r="C501" s="29">
        <v>4</v>
      </c>
      <c r="D501" s="29" t="s">
        <v>939</v>
      </c>
      <c r="E501" s="27" t="s">
        <v>879</v>
      </c>
      <c r="G501" s="27">
        <v>0.5</v>
      </c>
      <c r="AO501" s="20">
        <v>4</v>
      </c>
    </row>
    <row r="502" spans="1:41">
      <c r="A502" s="19">
        <f t="shared" si="145"/>
        <v>501</v>
      </c>
      <c r="B502" s="29" t="s">
        <v>219</v>
      </c>
      <c r="C502" s="29">
        <v>4</v>
      </c>
      <c r="D502" s="29" t="s">
        <v>939</v>
      </c>
      <c r="E502" s="27" t="s">
        <v>880</v>
      </c>
      <c r="G502" s="27">
        <v>0.5</v>
      </c>
      <c r="AO502" s="20">
        <v>4</v>
      </c>
    </row>
    <row r="503" spans="1:41">
      <c r="A503" s="19">
        <f t="shared" si="145"/>
        <v>502</v>
      </c>
      <c r="B503" s="29" t="s">
        <v>219</v>
      </c>
      <c r="C503" s="29">
        <v>4</v>
      </c>
      <c r="D503" s="29" t="s">
        <v>939</v>
      </c>
      <c r="E503" s="27" t="s">
        <v>881</v>
      </c>
      <c r="G503" s="27">
        <v>0.53</v>
      </c>
      <c r="AO503" s="20">
        <v>4</v>
      </c>
    </row>
    <row r="504" spans="1:41">
      <c r="A504" s="19">
        <f t="shared" si="145"/>
        <v>503</v>
      </c>
      <c r="B504" s="29" t="s">
        <v>219</v>
      </c>
      <c r="C504" s="29">
        <v>4</v>
      </c>
      <c r="D504" s="29" t="s">
        <v>939</v>
      </c>
      <c r="E504" s="27" t="s">
        <v>882</v>
      </c>
      <c r="G504" s="27">
        <v>0.73</v>
      </c>
      <c r="AO504" s="20">
        <v>4</v>
      </c>
    </row>
    <row r="505" spans="1:41">
      <c r="A505" s="19">
        <f t="shared" si="145"/>
        <v>504</v>
      </c>
      <c r="B505" s="29" t="s">
        <v>219</v>
      </c>
      <c r="C505" s="29">
        <v>4</v>
      </c>
      <c r="D505" s="29" t="s">
        <v>939</v>
      </c>
      <c r="E505" s="27" t="s">
        <v>883</v>
      </c>
      <c r="G505" s="27">
        <v>0.2</v>
      </c>
      <c r="AO505" s="20">
        <v>4</v>
      </c>
    </row>
    <row r="506" spans="1:41">
      <c r="A506" s="19">
        <f t="shared" si="145"/>
        <v>505</v>
      </c>
      <c r="B506" s="29" t="s">
        <v>219</v>
      </c>
      <c r="C506" s="29">
        <v>4</v>
      </c>
      <c r="D506" s="29" t="s">
        <v>939</v>
      </c>
      <c r="E506" s="27" t="s">
        <v>884</v>
      </c>
      <c r="G506" s="27">
        <v>0.44</v>
      </c>
      <c r="AO506" s="20">
        <v>4</v>
      </c>
    </row>
    <row r="507" spans="1:41">
      <c r="A507" s="19">
        <f t="shared" si="145"/>
        <v>506</v>
      </c>
      <c r="B507" s="29" t="s">
        <v>219</v>
      </c>
      <c r="C507" s="29">
        <v>4</v>
      </c>
      <c r="D507" s="29" t="s">
        <v>939</v>
      </c>
      <c r="E507" s="27" t="s">
        <v>885</v>
      </c>
      <c r="G507" s="27">
        <v>0.73</v>
      </c>
      <c r="AO507" s="20">
        <v>4</v>
      </c>
    </row>
    <row r="508" spans="1:41">
      <c r="A508" s="19">
        <f t="shared" si="145"/>
        <v>507</v>
      </c>
      <c r="B508" s="29" t="s">
        <v>219</v>
      </c>
      <c r="C508" s="29">
        <v>4</v>
      </c>
      <c r="D508" s="29" t="s">
        <v>939</v>
      </c>
      <c r="E508" s="27" t="s">
        <v>886</v>
      </c>
      <c r="G508" s="27">
        <v>0.61</v>
      </c>
      <c r="AO508" s="20">
        <v>4</v>
      </c>
    </row>
    <row r="509" spans="1:41">
      <c r="A509" s="19">
        <f t="shared" si="145"/>
        <v>508</v>
      </c>
      <c r="B509" s="29" t="s">
        <v>219</v>
      </c>
      <c r="C509" s="29">
        <v>4</v>
      </c>
      <c r="D509" s="29" t="s">
        <v>939</v>
      </c>
      <c r="E509" s="27" t="s">
        <v>887</v>
      </c>
      <c r="G509" s="27">
        <v>0.65</v>
      </c>
      <c r="AO509" s="20">
        <v>4</v>
      </c>
    </row>
    <row r="510" spans="1:41">
      <c r="A510" s="19">
        <f t="shared" si="145"/>
        <v>509</v>
      </c>
      <c r="B510" s="29" t="s">
        <v>219</v>
      </c>
      <c r="C510" s="29">
        <v>4</v>
      </c>
      <c r="D510" s="29" t="s">
        <v>939</v>
      </c>
      <c r="E510" s="27" t="s">
        <v>888</v>
      </c>
      <c r="G510" s="27">
        <v>0.22</v>
      </c>
      <c r="AO510" s="20">
        <v>4</v>
      </c>
    </row>
    <row r="511" spans="1:41">
      <c r="A511" s="19">
        <f t="shared" si="145"/>
        <v>510</v>
      </c>
      <c r="B511" s="29" t="s">
        <v>219</v>
      </c>
      <c r="C511" s="29">
        <v>4</v>
      </c>
      <c r="D511" s="29" t="s">
        <v>939</v>
      </c>
      <c r="E511" s="27" t="s">
        <v>889</v>
      </c>
      <c r="G511" s="27">
        <v>0.13</v>
      </c>
      <c r="AO511" s="20">
        <v>4</v>
      </c>
    </row>
    <row r="512" spans="1:41">
      <c r="A512" s="19">
        <f t="shared" si="145"/>
        <v>511</v>
      </c>
      <c r="B512" s="29" t="s">
        <v>219</v>
      </c>
      <c r="C512" s="29">
        <v>4</v>
      </c>
      <c r="D512" s="29" t="s">
        <v>939</v>
      </c>
      <c r="E512" s="27" t="s">
        <v>890</v>
      </c>
      <c r="G512" s="27">
        <v>0.4</v>
      </c>
      <c r="AO512" s="20">
        <v>4</v>
      </c>
    </row>
    <row r="513" spans="1:41">
      <c r="A513" s="19">
        <f t="shared" si="145"/>
        <v>512</v>
      </c>
      <c r="B513" s="29" t="s">
        <v>219</v>
      </c>
      <c r="C513" s="29">
        <v>4</v>
      </c>
      <c r="D513" s="29" t="s">
        <v>939</v>
      </c>
      <c r="E513" s="27" t="s">
        <v>891</v>
      </c>
      <c r="G513" s="27">
        <v>0.75</v>
      </c>
      <c r="AO513" s="20">
        <v>4</v>
      </c>
    </row>
    <row r="514" spans="1:41">
      <c r="A514" s="19">
        <f t="shared" si="145"/>
        <v>513</v>
      </c>
      <c r="B514" s="29" t="s">
        <v>219</v>
      </c>
      <c r="C514" s="29">
        <v>4</v>
      </c>
      <c r="D514" s="29" t="s">
        <v>939</v>
      </c>
      <c r="E514" s="27" t="s">
        <v>892</v>
      </c>
      <c r="G514" s="27">
        <v>0.55000000000000004</v>
      </c>
      <c r="AO514" s="20">
        <v>4</v>
      </c>
    </row>
    <row r="515" spans="1:41">
      <c r="A515" s="19">
        <f t="shared" ref="A515:A578" si="146">A514+1</f>
        <v>514</v>
      </c>
      <c r="B515" s="29" t="s">
        <v>219</v>
      </c>
      <c r="C515" s="29">
        <v>4</v>
      </c>
      <c r="D515" s="29" t="s">
        <v>939</v>
      </c>
      <c r="E515" s="27" t="s">
        <v>893</v>
      </c>
      <c r="G515" s="27">
        <v>0.06</v>
      </c>
      <c r="AO515" s="20">
        <v>4</v>
      </c>
    </row>
    <row r="516" spans="1:41">
      <c r="A516" s="19">
        <f t="shared" si="146"/>
        <v>515</v>
      </c>
      <c r="B516" s="29" t="s">
        <v>219</v>
      </c>
      <c r="C516" s="29">
        <v>4</v>
      </c>
      <c r="D516" s="29" t="s">
        <v>939</v>
      </c>
      <c r="E516" s="27" t="s">
        <v>894</v>
      </c>
      <c r="G516" s="27">
        <v>1.046</v>
      </c>
      <c r="AO516" s="20">
        <v>4</v>
      </c>
    </row>
    <row r="517" spans="1:41">
      <c r="A517" s="19">
        <f t="shared" si="146"/>
        <v>516</v>
      </c>
      <c r="B517" s="29" t="s">
        <v>219</v>
      </c>
      <c r="C517" s="29">
        <v>4</v>
      </c>
      <c r="D517" s="29" t="s">
        <v>939</v>
      </c>
      <c r="E517" s="27" t="s">
        <v>895</v>
      </c>
      <c r="G517" s="27">
        <v>0.08</v>
      </c>
      <c r="AO517" s="20">
        <v>4</v>
      </c>
    </row>
    <row r="518" spans="1:41">
      <c r="A518" s="19">
        <f t="shared" si="146"/>
        <v>517</v>
      </c>
      <c r="B518" s="29" t="s">
        <v>219</v>
      </c>
      <c r="C518" s="29">
        <v>4</v>
      </c>
      <c r="D518" s="29" t="s">
        <v>939</v>
      </c>
      <c r="E518" s="27" t="s">
        <v>896</v>
      </c>
      <c r="G518" s="27">
        <v>0.51</v>
      </c>
      <c r="AO518" s="20">
        <v>4</v>
      </c>
    </row>
    <row r="519" spans="1:41">
      <c r="A519" s="19">
        <f t="shared" si="146"/>
        <v>518</v>
      </c>
      <c r="B519" s="29" t="s">
        <v>219</v>
      </c>
      <c r="C519" s="29">
        <v>4</v>
      </c>
      <c r="D519" s="29" t="s">
        <v>939</v>
      </c>
      <c r="E519" s="27" t="s">
        <v>897</v>
      </c>
      <c r="G519" s="27">
        <v>0.39</v>
      </c>
      <c r="AO519" s="20">
        <v>4</v>
      </c>
    </row>
    <row r="520" spans="1:41">
      <c r="A520" s="19">
        <f t="shared" si="146"/>
        <v>519</v>
      </c>
      <c r="B520" s="29" t="s">
        <v>219</v>
      </c>
      <c r="C520" s="29">
        <v>4</v>
      </c>
      <c r="D520" s="29" t="s">
        <v>939</v>
      </c>
      <c r="E520" s="27" t="s">
        <v>898</v>
      </c>
      <c r="G520" s="27">
        <v>0.73</v>
      </c>
      <c r="AO520" s="20">
        <v>4</v>
      </c>
    </row>
    <row r="521" spans="1:41">
      <c r="A521" s="19">
        <f t="shared" si="146"/>
        <v>520</v>
      </c>
      <c r="B521" s="29" t="s">
        <v>219</v>
      </c>
      <c r="C521" s="29">
        <v>4</v>
      </c>
      <c r="D521" s="29" t="s">
        <v>939</v>
      </c>
      <c r="E521" s="27" t="s">
        <v>899</v>
      </c>
      <c r="G521" s="27">
        <v>0.72</v>
      </c>
      <c r="AO521" s="20">
        <v>4</v>
      </c>
    </row>
    <row r="522" spans="1:41">
      <c r="A522" s="19">
        <f t="shared" si="146"/>
        <v>521</v>
      </c>
      <c r="B522" s="29" t="s">
        <v>219</v>
      </c>
      <c r="C522" s="29">
        <v>4</v>
      </c>
      <c r="D522" s="29" t="s">
        <v>939</v>
      </c>
      <c r="E522" s="27" t="s">
        <v>900</v>
      </c>
      <c r="G522" s="27">
        <v>0.75</v>
      </c>
      <c r="AO522" s="20">
        <v>4</v>
      </c>
    </row>
    <row r="523" spans="1:41">
      <c r="A523" s="19">
        <f t="shared" si="146"/>
        <v>522</v>
      </c>
      <c r="B523" s="29" t="s">
        <v>219</v>
      </c>
      <c r="C523" s="29">
        <v>4</v>
      </c>
      <c r="D523" s="29" t="s">
        <v>939</v>
      </c>
      <c r="E523" s="27" t="s">
        <v>901</v>
      </c>
      <c r="G523" s="27">
        <v>0.96</v>
      </c>
      <c r="AO523" s="20">
        <v>4</v>
      </c>
    </row>
    <row r="524" spans="1:41">
      <c r="A524" s="19">
        <f t="shared" si="146"/>
        <v>523</v>
      </c>
      <c r="B524" s="29" t="s">
        <v>219</v>
      </c>
      <c r="C524" s="29">
        <v>4</v>
      </c>
      <c r="D524" s="29" t="s">
        <v>939</v>
      </c>
      <c r="E524" s="27" t="s">
        <v>902</v>
      </c>
      <c r="G524" s="27">
        <v>0.76</v>
      </c>
      <c r="AO524" s="20">
        <v>4</v>
      </c>
    </row>
    <row r="525" spans="1:41">
      <c r="A525" s="19">
        <f t="shared" si="146"/>
        <v>524</v>
      </c>
      <c r="B525" s="29" t="s">
        <v>219</v>
      </c>
      <c r="C525" s="29">
        <v>4</v>
      </c>
      <c r="D525" s="29" t="s">
        <v>939</v>
      </c>
      <c r="E525" s="27" t="s">
        <v>903</v>
      </c>
      <c r="G525" s="27">
        <v>0.79</v>
      </c>
      <c r="AO525" s="20">
        <v>4</v>
      </c>
    </row>
    <row r="526" spans="1:41">
      <c r="A526" s="19">
        <f t="shared" si="146"/>
        <v>525</v>
      </c>
      <c r="B526" s="29" t="s">
        <v>219</v>
      </c>
      <c r="C526" s="29">
        <v>4</v>
      </c>
      <c r="D526" s="29" t="s">
        <v>939</v>
      </c>
      <c r="E526" s="27" t="s">
        <v>904</v>
      </c>
      <c r="G526" s="27">
        <v>0.79</v>
      </c>
      <c r="AO526" s="20">
        <v>4</v>
      </c>
    </row>
    <row r="527" spans="1:41">
      <c r="A527" s="19">
        <f t="shared" si="146"/>
        <v>526</v>
      </c>
      <c r="B527" s="29" t="s">
        <v>219</v>
      </c>
      <c r="C527" s="29">
        <v>4</v>
      </c>
      <c r="D527" s="29" t="s">
        <v>939</v>
      </c>
      <c r="E527" s="27" t="s">
        <v>905</v>
      </c>
      <c r="G527" s="27">
        <v>0.75</v>
      </c>
      <c r="AO527" s="20">
        <v>4</v>
      </c>
    </row>
    <row r="528" spans="1:41">
      <c r="A528" s="19">
        <f t="shared" si="146"/>
        <v>527</v>
      </c>
      <c r="B528" s="29" t="s">
        <v>219</v>
      </c>
      <c r="C528" s="29">
        <v>4</v>
      </c>
      <c r="D528" s="29" t="s">
        <v>939</v>
      </c>
      <c r="E528" s="27" t="s">
        <v>906</v>
      </c>
      <c r="G528" s="27">
        <v>0.7</v>
      </c>
      <c r="AO528" s="20">
        <v>4</v>
      </c>
    </row>
    <row r="529" spans="1:41">
      <c r="A529" s="19">
        <f t="shared" si="146"/>
        <v>528</v>
      </c>
      <c r="B529" s="29" t="s">
        <v>219</v>
      </c>
      <c r="C529" s="29">
        <v>4</v>
      </c>
      <c r="D529" s="29" t="s">
        <v>939</v>
      </c>
      <c r="E529" s="27" t="s">
        <v>907</v>
      </c>
      <c r="G529" s="27">
        <v>0.68</v>
      </c>
      <c r="AO529" s="20">
        <v>4</v>
      </c>
    </row>
    <row r="530" spans="1:41">
      <c r="A530" s="19">
        <f t="shared" si="146"/>
        <v>529</v>
      </c>
      <c r="B530" s="29" t="s">
        <v>219</v>
      </c>
      <c r="C530" s="29">
        <v>4</v>
      </c>
      <c r="D530" s="29" t="s">
        <v>939</v>
      </c>
      <c r="E530" s="27" t="s">
        <v>908</v>
      </c>
      <c r="G530" s="27">
        <v>0.85</v>
      </c>
      <c r="AO530" s="20">
        <v>4</v>
      </c>
    </row>
    <row r="531" spans="1:41">
      <c r="A531" s="19">
        <f t="shared" si="146"/>
        <v>530</v>
      </c>
      <c r="B531" s="29" t="s">
        <v>219</v>
      </c>
      <c r="C531" s="29">
        <v>4</v>
      </c>
      <c r="D531" s="29" t="s">
        <v>939</v>
      </c>
      <c r="E531" s="27" t="s">
        <v>909</v>
      </c>
      <c r="G531" s="27">
        <v>0.89</v>
      </c>
      <c r="AO531" s="20">
        <v>4</v>
      </c>
    </row>
    <row r="532" spans="1:41">
      <c r="A532" s="19">
        <f t="shared" si="146"/>
        <v>531</v>
      </c>
      <c r="B532" s="29" t="s">
        <v>219</v>
      </c>
      <c r="C532" s="29">
        <v>4</v>
      </c>
      <c r="D532" s="29" t="s">
        <v>939</v>
      </c>
      <c r="E532" s="27" t="s">
        <v>910</v>
      </c>
      <c r="G532" s="27">
        <v>0.75</v>
      </c>
      <c r="AO532" s="20">
        <v>4</v>
      </c>
    </row>
    <row r="533" spans="1:41">
      <c r="A533" s="19">
        <f t="shared" si="146"/>
        <v>532</v>
      </c>
      <c r="B533" s="29" t="s">
        <v>219</v>
      </c>
      <c r="C533" s="29">
        <v>4</v>
      </c>
      <c r="D533" s="29" t="s">
        <v>939</v>
      </c>
      <c r="E533" s="27" t="s">
        <v>911</v>
      </c>
      <c r="G533" s="27">
        <v>0.84</v>
      </c>
      <c r="AO533" s="20">
        <v>4</v>
      </c>
    </row>
    <row r="534" spans="1:41">
      <c r="A534" s="19">
        <f t="shared" si="146"/>
        <v>533</v>
      </c>
      <c r="B534" s="29" t="s">
        <v>219</v>
      </c>
      <c r="C534" s="29">
        <v>4</v>
      </c>
      <c r="D534" s="29" t="s">
        <v>939</v>
      </c>
      <c r="E534" s="27" t="s">
        <v>912</v>
      </c>
      <c r="G534" s="27">
        <v>0.74</v>
      </c>
      <c r="AO534" s="20">
        <v>4</v>
      </c>
    </row>
    <row r="535" spans="1:41">
      <c r="A535" s="19">
        <f t="shared" si="146"/>
        <v>534</v>
      </c>
      <c r="B535" s="29" t="s">
        <v>219</v>
      </c>
      <c r="C535" s="29">
        <v>4</v>
      </c>
      <c r="D535" s="29" t="s">
        <v>939</v>
      </c>
      <c r="E535" s="27" t="s">
        <v>913</v>
      </c>
      <c r="G535" s="27">
        <v>0.57999999999999996</v>
      </c>
      <c r="AO535" s="20">
        <v>4</v>
      </c>
    </row>
    <row r="536" spans="1:41">
      <c r="A536" s="19">
        <f t="shared" si="146"/>
        <v>535</v>
      </c>
      <c r="B536" s="29" t="s">
        <v>219</v>
      </c>
      <c r="C536" s="29">
        <v>4</v>
      </c>
      <c r="D536" s="29" t="s">
        <v>939</v>
      </c>
      <c r="E536" s="27" t="s">
        <v>914</v>
      </c>
      <c r="G536" s="27">
        <v>0.4</v>
      </c>
      <c r="AO536" s="20">
        <v>4</v>
      </c>
    </row>
    <row r="537" spans="1:41">
      <c r="A537" s="19">
        <f t="shared" si="146"/>
        <v>536</v>
      </c>
      <c r="B537" s="29" t="s">
        <v>219</v>
      </c>
      <c r="C537" s="29">
        <v>4</v>
      </c>
      <c r="D537" s="29" t="s">
        <v>939</v>
      </c>
      <c r="E537" s="27" t="s">
        <v>915</v>
      </c>
      <c r="G537" s="27">
        <v>0.64</v>
      </c>
      <c r="AO537" s="20">
        <v>4</v>
      </c>
    </row>
    <row r="538" spans="1:41">
      <c r="A538" s="19">
        <f t="shared" si="146"/>
        <v>537</v>
      </c>
      <c r="B538" s="29" t="s">
        <v>219</v>
      </c>
      <c r="C538" s="29">
        <v>4</v>
      </c>
      <c r="D538" s="29" t="s">
        <v>939</v>
      </c>
      <c r="E538" s="27" t="s">
        <v>916</v>
      </c>
      <c r="G538" s="27">
        <v>0.79</v>
      </c>
      <c r="AO538" s="20">
        <v>4</v>
      </c>
    </row>
    <row r="539" spans="1:41" s="18" customFormat="1">
      <c r="A539" s="19">
        <f t="shared" si="146"/>
        <v>538</v>
      </c>
      <c r="B539" s="24" t="s">
        <v>219</v>
      </c>
      <c r="C539" s="29">
        <v>4</v>
      </c>
      <c r="D539" s="24" t="s">
        <v>939</v>
      </c>
      <c r="E539" s="18" t="s">
        <v>917</v>
      </c>
      <c r="F539" s="23"/>
      <c r="G539" s="18">
        <v>0.7</v>
      </c>
      <c r="I539" s="23"/>
      <c r="J539" s="23"/>
      <c r="N539" s="23"/>
      <c r="O539" s="23"/>
      <c r="S539" s="23"/>
      <c r="T539" s="23"/>
      <c r="U539" s="23"/>
      <c r="AA539" s="23"/>
      <c r="AB539" s="23"/>
      <c r="AH539" s="23"/>
      <c r="AK539" s="23"/>
      <c r="AN539" s="23"/>
      <c r="AO539" s="23">
        <v>4</v>
      </c>
    </row>
    <row r="540" spans="1:41">
      <c r="A540" s="102">
        <f t="shared" si="146"/>
        <v>539</v>
      </c>
      <c r="B540" s="29" t="s">
        <v>197</v>
      </c>
      <c r="C540" s="103">
        <v>5</v>
      </c>
      <c r="D540" s="29" t="s">
        <v>364</v>
      </c>
      <c r="E540" s="29" t="s">
        <v>941</v>
      </c>
      <c r="F540" s="19"/>
      <c r="G540" s="29"/>
      <c r="H540" s="29"/>
      <c r="I540" s="19"/>
      <c r="K540" s="29"/>
      <c r="L540" s="29">
        <v>56.25</v>
      </c>
      <c r="M540" s="29">
        <v>3.93</v>
      </c>
      <c r="N540" s="19">
        <v>39.82</v>
      </c>
      <c r="O540" s="20">
        <f>SUM(K540:N540)</f>
        <v>100</v>
      </c>
      <c r="P540" s="29">
        <v>0</v>
      </c>
      <c r="Q540" s="29">
        <v>56.25</v>
      </c>
      <c r="R540" s="29">
        <v>3.93</v>
      </c>
      <c r="S540" s="19">
        <v>39.82</v>
      </c>
      <c r="V540" s="29">
        <v>63.87</v>
      </c>
      <c r="W540" s="29">
        <v>8.01</v>
      </c>
      <c r="X540" s="29">
        <v>8.39</v>
      </c>
      <c r="Y540" s="29">
        <v>0.64</v>
      </c>
      <c r="Z540" s="29">
        <v>19.079999999999998</v>
      </c>
      <c r="AA540" s="19"/>
      <c r="AB540" s="20">
        <f t="shared" ref="AB540:AB542" si="147">SUM(V540:AA540)</f>
        <v>99.99</v>
      </c>
      <c r="AC540" s="27">
        <f>100*V540/$AB$540</f>
        <v>63.87638763876388</v>
      </c>
      <c r="AD540" s="27">
        <f t="shared" ref="AD540:AG540" si="148">100*W540/$AB$540</f>
        <v>8.0108010801080116</v>
      </c>
      <c r="AE540" s="27">
        <f t="shared" si="148"/>
        <v>8.3908390839083911</v>
      </c>
      <c r="AF540" s="27">
        <f t="shared" si="148"/>
        <v>0.6400640064006401</v>
      </c>
      <c r="AG540" s="27">
        <f t="shared" si="148"/>
        <v>19.081908190819082</v>
      </c>
      <c r="AJ540" s="29">
        <v>15.794</v>
      </c>
      <c r="AL540" s="27">
        <f t="shared" ref="AL540" si="149">AM540*(Q540+R540+S540)/(Q540+R540)</f>
        <v>26.244599534729147</v>
      </c>
      <c r="AM540" s="29">
        <v>15.794</v>
      </c>
      <c r="AN540" s="19">
        <f>AM540*(Q540+R540+S540)/(P540+Q540+R540+S540)</f>
        <v>15.794</v>
      </c>
      <c r="AO540" s="20">
        <v>31</v>
      </c>
    </row>
    <row r="541" spans="1:41">
      <c r="A541" s="19">
        <f t="shared" si="146"/>
        <v>540</v>
      </c>
      <c r="B541" s="29" t="s">
        <v>197</v>
      </c>
      <c r="C541" s="29">
        <v>5</v>
      </c>
      <c r="D541" s="29" t="s">
        <v>364</v>
      </c>
      <c r="E541" s="29" t="s">
        <v>510</v>
      </c>
      <c r="F541" s="19"/>
      <c r="G541" s="29"/>
      <c r="H541" s="29"/>
      <c r="I541" s="19"/>
      <c r="K541" s="29"/>
      <c r="L541" s="29"/>
      <c r="M541" s="29"/>
      <c r="N541" s="19"/>
      <c r="V541" s="29">
        <v>55.92</v>
      </c>
      <c r="W541" s="29">
        <v>8.83</v>
      </c>
      <c r="X541" s="29">
        <v>9.2899999999999991</v>
      </c>
      <c r="Y541" s="29">
        <v>0.32</v>
      </c>
      <c r="Z541" s="29">
        <v>25.63</v>
      </c>
      <c r="AA541" s="19"/>
      <c r="AB541" s="20">
        <f t="shared" si="147"/>
        <v>99.989999999999981</v>
      </c>
      <c r="AC541" s="27">
        <f>100*V541/$AB$541</f>
        <v>55.925592559255939</v>
      </c>
      <c r="AD541" s="27">
        <f t="shared" ref="AD541:AG541" si="150">100*W541/$AB$541</f>
        <v>8.8308830883088323</v>
      </c>
      <c r="AE541" s="27">
        <f t="shared" si="150"/>
        <v>9.2909290929092911</v>
      </c>
      <c r="AF541" s="27">
        <f t="shared" si="150"/>
        <v>0.3200320032003201</v>
      </c>
      <c r="AG541" s="27">
        <f t="shared" si="150"/>
        <v>25.632563256325639</v>
      </c>
      <c r="AJ541" s="29">
        <v>17.277000000000001</v>
      </c>
      <c r="AM541" s="29">
        <v>17.277000000000001</v>
      </c>
      <c r="AO541" s="20">
        <v>31</v>
      </c>
    </row>
    <row r="542" spans="1:41">
      <c r="A542" s="19">
        <f t="shared" si="146"/>
        <v>541</v>
      </c>
      <c r="B542" s="29" t="s">
        <v>197</v>
      </c>
      <c r="C542" s="29">
        <v>5</v>
      </c>
      <c r="D542" s="29" t="s">
        <v>364</v>
      </c>
      <c r="E542" s="29" t="s">
        <v>510</v>
      </c>
      <c r="F542" s="19"/>
      <c r="G542" s="29"/>
      <c r="H542" s="29"/>
      <c r="I542" s="19"/>
      <c r="K542" s="29"/>
      <c r="L542" s="29">
        <v>61.56</v>
      </c>
      <c r="M542" s="29">
        <v>0.23</v>
      </c>
      <c r="N542" s="19">
        <v>38.22</v>
      </c>
      <c r="O542" s="20">
        <f>SUM(K542:N542)</f>
        <v>100.00999999999999</v>
      </c>
      <c r="P542" s="29">
        <v>0</v>
      </c>
      <c r="Q542" s="27">
        <f>100*L542/$O$542</f>
        <v>61.553844615538452</v>
      </c>
      <c r="R542" s="27">
        <f t="shared" ref="R542:S542" si="151">100*M542/$O$542</f>
        <v>0.22997700229977006</v>
      </c>
      <c r="S542" s="20">
        <f t="shared" si="151"/>
        <v>38.216178382161786</v>
      </c>
      <c r="V542" s="29">
        <v>51.61</v>
      </c>
      <c r="W542" s="29">
        <v>6.38</v>
      </c>
      <c r="X542" s="29">
        <v>9.48</v>
      </c>
      <c r="Y542" s="29">
        <v>0.62</v>
      </c>
      <c r="Z542" s="29">
        <v>31.91</v>
      </c>
      <c r="AA542" s="19"/>
      <c r="AB542" s="20">
        <f t="shared" si="147"/>
        <v>100</v>
      </c>
      <c r="AC542" s="29">
        <v>51.61</v>
      </c>
      <c r="AD542" s="29">
        <v>6.38</v>
      </c>
      <c r="AE542" s="29">
        <v>9.48</v>
      </c>
      <c r="AF542" s="29">
        <v>0.62</v>
      </c>
      <c r="AG542" s="29">
        <v>31.91</v>
      </c>
      <c r="AJ542" s="29">
        <v>14.034000000000001</v>
      </c>
      <c r="AL542" s="27">
        <f t="shared" ref="AL542" si="152">AM542*(Q542+R542+S542)/(Q542+R542)</f>
        <v>22.71468425311539</v>
      </c>
      <c r="AM542" s="29">
        <v>14.034000000000001</v>
      </c>
      <c r="AN542" s="19">
        <f>AM542*(Q542+R542+S542)/(P542+Q542+R542+S542)</f>
        <v>14.034000000000001</v>
      </c>
      <c r="AO542" s="20">
        <v>31</v>
      </c>
    </row>
    <row r="543" spans="1:41">
      <c r="A543" s="19">
        <f t="shared" si="146"/>
        <v>542</v>
      </c>
      <c r="B543" s="29" t="s">
        <v>197</v>
      </c>
      <c r="C543" s="29">
        <v>5</v>
      </c>
      <c r="D543" s="29" t="s">
        <v>364</v>
      </c>
      <c r="E543" s="29" t="s">
        <v>365</v>
      </c>
      <c r="F543" s="19"/>
      <c r="G543" s="29"/>
      <c r="H543" s="29"/>
      <c r="I543" s="19"/>
      <c r="K543" s="29"/>
      <c r="L543" s="29">
        <v>59.9</v>
      </c>
      <c r="M543" s="29">
        <v>9.23</v>
      </c>
      <c r="N543" s="19">
        <v>30.87</v>
      </c>
      <c r="O543" s="20">
        <f>SUM(K543:N543)</f>
        <v>100</v>
      </c>
      <c r="P543" s="29">
        <v>0</v>
      </c>
      <c r="Q543" s="29">
        <v>59.9</v>
      </c>
      <c r="R543" s="29">
        <v>9.23</v>
      </c>
      <c r="S543" s="19">
        <v>30.87</v>
      </c>
      <c r="V543" s="29">
        <v>60.7</v>
      </c>
      <c r="W543" s="29">
        <v>5.5</v>
      </c>
      <c r="X543" s="29">
        <v>7.5</v>
      </c>
      <c r="Y543" s="29">
        <v>1.4</v>
      </c>
      <c r="Z543" s="29">
        <v>24.9</v>
      </c>
      <c r="AA543" s="19"/>
      <c r="AB543" s="20">
        <f t="shared" ref="AB543:AB544" si="153">SUM(V543:AA543)</f>
        <v>100</v>
      </c>
      <c r="AC543" s="29">
        <v>60.7</v>
      </c>
      <c r="AD543" s="29">
        <v>5.5</v>
      </c>
      <c r="AE543" s="29">
        <v>7.5</v>
      </c>
      <c r="AF543" s="29">
        <v>1.4</v>
      </c>
      <c r="AG543" s="29">
        <v>24.9</v>
      </c>
      <c r="AI543" s="29"/>
      <c r="AL543" s="29"/>
      <c r="AO543" s="20">
        <v>31</v>
      </c>
    </row>
    <row r="544" spans="1:41">
      <c r="A544" s="19">
        <f t="shared" si="146"/>
        <v>543</v>
      </c>
      <c r="B544" s="29" t="s">
        <v>197</v>
      </c>
      <c r="C544" s="29">
        <v>5</v>
      </c>
      <c r="D544" s="29" t="s">
        <v>364</v>
      </c>
      <c r="E544" s="29" t="s">
        <v>556</v>
      </c>
      <c r="F544" s="19" t="s">
        <v>677</v>
      </c>
      <c r="G544" s="29"/>
      <c r="H544" s="29"/>
      <c r="I544" s="19"/>
      <c r="J544" s="20" t="s">
        <v>221</v>
      </c>
      <c r="K544" s="29"/>
      <c r="L544" s="29">
        <v>90.56</v>
      </c>
      <c r="M544" s="29">
        <v>5.74</v>
      </c>
      <c r="N544" s="19">
        <v>3.7</v>
      </c>
      <c r="O544" s="20">
        <f>SUM(K544:N544)</f>
        <v>100</v>
      </c>
      <c r="P544" s="29">
        <v>0</v>
      </c>
      <c r="Q544" s="29">
        <v>90.56</v>
      </c>
      <c r="R544" s="29">
        <v>5.74</v>
      </c>
      <c r="S544" s="19">
        <v>3.7</v>
      </c>
      <c r="U544" s="19" t="s">
        <v>214</v>
      </c>
      <c r="V544" s="31">
        <v>45.306334371754936</v>
      </c>
      <c r="W544" s="31">
        <v>8.6188992731048817</v>
      </c>
      <c r="X544" s="31">
        <v>10.280373831775702</v>
      </c>
      <c r="Y544" s="31">
        <v>0.99688473520249221</v>
      </c>
      <c r="Z544" s="31">
        <v>34.797507788161994</v>
      </c>
      <c r="AA544" s="19"/>
      <c r="AB544" s="20">
        <f t="shared" si="153"/>
        <v>100</v>
      </c>
      <c r="AC544" s="31">
        <v>45.306334371754936</v>
      </c>
      <c r="AD544" s="31">
        <v>8.6188992731048817</v>
      </c>
      <c r="AE544" s="31">
        <v>10.280373831775702</v>
      </c>
      <c r="AF544" s="31">
        <v>0.99688473520249221</v>
      </c>
      <c r="AG544" s="31">
        <v>34.797507788161994</v>
      </c>
      <c r="AH544" s="21"/>
      <c r="AI544" s="31">
        <v>19.84</v>
      </c>
      <c r="AL544" s="31">
        <v>19.84</v>
      </c>
      <c r="AO544" s="36">
        <v>14</v>
      </c>
    </row>
    <row r="545" spans="1:41">
      <c r="A545" s="19">
        <f t="shared" si="146"/>
        <v>544</v>
      </c>
      <c r="B545" s="29" t="s">
        <v>197</v>
      </c>
      <c r="C545" s="29">
        <v>5</v>
      </c>
      <c r="D545" s="29" t="s">
        <v>364</v>
      </c>
      <c r="E545" s="29" t="s">
        <v>494</v>
      </c>
      <c r="F545" s="19"/>
      <c r="G545" s="29"/>
      <c r="H545" s="29"/>
      <c r="I545" s="19">
        <v>3.78</v>
      </c>
      <c r="K545" s="29">
        <v>81.22</v>
      </c>
      <c r="L545" s="29"/>
      <c r="M545" s="29"/>
      <c r="N545" s="19">
        <v>1.1599999999999999</v>
      </c>
      <c r="AO545" s="20">
        <v>3</v>
      </c>
    </row>
    <row r="546" spans="1:41">
      <c r="A546" s="19">
        <f t="shared" si="146"/>
        <v>545</v>
      </c>
      <c r="B546" s="29" t="s">
        <v>197</v>
      </c>
      <c r="C546" s="29">
        <v>5</v>
      </c>
      <c r="D546" s="29" t="s">
        <v>364</v>
      </c>
      <c r="E546" s="29" t="s">
        <v>495</v>
      </c>
      <c r="F546" s="19"/>
      <c r="G546" s="29"/>
      <c r="H546" s="29"/>
      <c r="I546" s="19">
        <v>3.75</v>
      </c>
      <c r="K546" s="29">
        <v>79.92</v>
      </c>
      <c r="L546" s="29"/>
      <c r="M546" s="29"/>
      <c r="N546" s="19">
        <v>1.21</v>
      </c>
      <c r="AO546" s="20">
        <v>3</v>
      </c>
    </row>
    <row r="547" spans="1:41">
      <c r="A547" s="19">
        <f t="shared" si="146"/>
        <v>546</v>
      </c>
      <c r="B547" s="29" t="s">
        <v>197</v>
      </c>
      <c r="C547" s="29">
        <v>5</v>
      </c>
      <c r="D547" s="29" t="s">
        <v>364</v>
      </c>
      <c r="E547" s="29" t="s">
        <v>496</v>
      </c>
      <c r="F547" s="19"/>
      <c r="G547" s="29"/>
      <c r="H547" s="29"/>
      <c r="I547" s="19">
        <v>3.74</v>
      </c>
      <c r="K547" s="29">
        <v>77.92</v>
      </c>
      <c r="L547" s="29"/>
      <c r="M547" s="29"/>
      <c r="N547" s="19">
        <v>1.36</v>
      </c>
      <c r="AO547" s="20">
        <v>3</v>
      </c>
    </row>
    <row r="548" spans="1:41">
      <c r="A548" s="19">
        <f t="shared" si="146"/>
        <v>547</v>
      </c>
      <c r="B548" s="29" t="s">
        <v>197</v>
      </c>
      <c r="C548" s="29">
        <v>5</v>
      </c>
      <c r="D548" s="29" t="s">
        <v>364</v>
      </c>
      <c r="E548" s="29" t="s">
        <v>497</v>
      </c>
      <c r="F548" s="19" t="s">
        <v>417</v>
      </c>
      <c r="G548" s="29"/>
      <c r="H548" s="29"/>
      <c r="I548" s="19">
        <v>3.26</v>
      </c>
      <c r="K548" s="29">
        <v>59.7</v>
      </c>
      <c r="L548" s="29"/>
      <c r="M548" s="29"/>
      <c r="N548" s="19">
        <v>1.94</v>
      </c>
      <c r="AO548" s="20">
        <v>3</v>
      </c>
    </row>
    <row r="549" spans="1:41">
      <c r="A549" s="19">
        <f t="shared" si="146"/>
        <v>548</v>
      </c>
      <c r="B549" s="29" t="s">
        <v>197</v>
      </c>
      <c r="C549" s="29">
        <v>5</v>
      </c>
      <c r="D549" s="29" t="s">
        <v>364</v>
      </c>
      <c r="E549" s="29" t="s">
        <v>498</v>
      </c>
      <c r="F549" s="19" t="s">
        <v>418</v>
      </c>
      <c r="G549" s="29"/>
      <c r="H549" s="29"/>
      <c r="I549" s="19">
        <v>3.33</v>
      </c>
      <c r="K549" s="29">
        <v>63.55</v>
      </c>
      <c r="L549" s="29"/>
      <c r="M549" s="29"/>
      <c r="N549" s="19">
        <v>1.35</v>
      </c>
      <c r="V549" s="29"/>
      <c r="W549" s="29"/>
      <c r="X549" s="29"/>
      <c r="Y549" s="29"/>
      <c r="Z549" s="29"/>
      <c r="AA549" s="19"/>
      <c r="AI549" s="29"/>
      <c r="AL549" s="29"/>
      <c r="AO549" s="20">
        <v>3</v>
      </c>
    </row>
    <row r="550" spans="1:41">
      <c r="A550" s="19">
        <f t="shared" si="146"/>
        <v>549</v>
      </c>
      <c r="B550" s="29" t="s">
        <v>197</v>
      </c>
      <c r="C550" s="29">
        <v>5</v>
      </c>
      <c r="D550" s="29" t="s">
        <v>364</v>
      </c>
      <c r="E550" s="29" t="s">
        <v>499</v>
      </c>
      <c r="F550" s="19"/>
      <c r="G550" s="29"/>
      <c r="H550" s="29"/>
      <c r="I550" s="19">
        <v>3.71</v>
      </c>
      <c r="K550" s="29">
        <v>78.7</v>
      </c>
      <c r="L550" s="29"/>
      <c r="M550" s="29"/>
      <c r="N550" s="19">
        <v>1.2</v>
      </c>
      <c r="AO550" s="20">
        <v>3</v>
      </c>
    </row>
    <row r="551" spans="1:41">
      <c r="A551" s="19">
        <f t="shared" si="146"/>
        <v>550</v>
      </c>
      <c r="B551" s="29" t="s">
        <v>197</v>
      </c>
      <c r="C551" s="29">
        <v>5</v>
      </c>
      <c r="D551" s="29" t="s">
        <v>364</v>
      </c>
      <c r="E551" s="29" t="s">
        <v>500</v>
      </c>
      <c r="F551" s="19" t="s">
        <v>418</v>
      </c>
      <c r="G551" s="29"/>
      <c r="H551" s="29"/>
      <c r="I551" s="19">
        <v>3.7</v>
      </c>
      <c r="K551" s="29">
        <v>78.180000000000007</v>
      </c>
      <c r="L551" s="29"/>
      <c r="M551" s="29"/>
      <c r="N551" s="19">
        <v>1.41</v>
      </c>
      <c r="AO551" s="20">
        <v>3</v>
      </c>
    </row>
    <row r="552" spans="1:41">
      <c r="A552" s="19">
        <f t="shared" si="146"/>
        <v>551</v>
      </c>
      <c r="B552" s="29" t="s">
        <v>197</v>
      </c>
      <c r="C552" s="29">
        <v>5</v>
      </c>
      <c r="D552" s="29" t="s">
        <v>364</v>
      </c>
      <c r="E552" s="29" t="s">
        <v>503</v>
      </c>
      <c r="F552" s="19" t="s">
        <v>419</v>
      </c>
      <c r="G552" s="29"/>
      <c r="H552" s="29"/>
      <c r="I552" s="19">
        <v>3.68</v>
      </c>
      <c r="K552" s="29">
        <v>76.349999999999994</v>
      </c>
      <c r="L552" s="29"/>
      <c r="M552" s="29"/>
      <c r="N552" s="19">
        <v>1.22</v>
      </c>
      <c r="V552" s="29"/>
      <c r="W552" s="29"/>
      <c r="X552" s="29"/>
      <c r="Y552" s="29"/>
      <c r="Z552" s="29"/>
      <c r="AA552" s="19"/>
      <c r="AI552" s="29"/>
      <c r="AL552" s="29"/>
      <c r="AO552" s="20">
        <v>3</v>
      </c>
    </row>
    <row r="553" spans="1:41">
      <c r="A553" s="19">
        <f t="shared" si="146"/>
        <v>552</v>
      </c>
      <c r="B553" s="29" t="s">
        <v>197</v>
      </c>
      <c r="C553" s="29">
        <v>5</v>
      </c>
      <c r="D553" s="29" t="s">
        <v>364</v>
      </c>
      <c r="E553" s="29" t="s">
        <v>501</v>
      </c>
      <c r="F553" s="19" t="s">
        <v>420</v>
      </c>
      <c r="G553" s="29"/>
      <c r="H553" s="29"/>
      <c r="I553" s="19">
        <v>3.43</v>
      </c>
      <c r="K553" s="29">
        <v>68.09</v>
      </c>
      <c r="L553" s="29"/>
      <c r="M553" s="29"/>
      <c r="N553" s="19">
        <v>1.18</v>
      </c>
      <c r="AO553" s="20">
        <v>3</v>
      </c>
    </row>
    <row r="554" spans="1:41">
      <c r="A554" s="19">
        <f t="shared" si="146"/>
        <v>553</v>
      </c>
      <c r="B554" s="29" t="s">
        <v>197</v>
      </c>
      <c r="C554" s="29">
        <v>5</v>
      </c>
      <c r="D554" s="29" t="s">
        <v>364</v>
      </c>
      <c r="E554" s="29" t="s">
        <v>502</v>
      </c>
      <c r="F554" s="19"/>
      <c r="G554" s="29"/>
      <c r="H554" s="29"/>
      <c r="I554" s="19">
        <v>3.77</v>
      </c>
      <c r="K554" s="29">
        <v>80.27</v>
      </c>
      <c r="L554" s="29"/>
      <c r="M554" s="29"/>
      <c r="N554" s="19">
        <v>1.3</v>
      </c>
      <c r="AO554" s="20">
        <v>3</v>
      </c>
    </row>
    <row r="555" spans="1:41">
      <c r="A555" s="19">
        <f t="shared" si="146"/>
        <v>554</v>
      </c>
      <c r="B555" s="29" t="s">
        <v>197</v>
      </c>
      <c r="C555" s="29">
        <v>5</v>
      </c>
      <c r="D555" s="29" t="s">
        <v>364</v>
      </c>
      <c r="E555" s="29" t="s">
        <v>504</v>
      </c>
      <c r="F555" s="19"/>
      <c r="G555" s="29"/>
      <c r="H555" s="29"/>
      <c r="I555" s="19">
        <v>3.76</v>
      </c>
      <c r="K555" s="29">
        <v>81.819999999999993</v>
      </c>
      <c r="L555" s="29"/>
      <c r="M555" s="29"/>
      <c r="N555" s="19">
        <v>1.87</v>
      </c>
      <c r="AO555" s="20">
        <v>3</v>
      </c>
    </row>
    <row r="556" spans="1:41">
      <c r="A556" s="19">
        <f t="shared" si="146"/>
        <v>555</v>
      </c>
      <c r="B556" s="29" t="s">
        <v>197</v>
      </c>
      <c r="C556" s="29">
        <v>5</v>
      </c>
      <c r="D556" s="29" t="s">
        <v>364</v>
      </c>
      <c r="E556" s="29" t="s">
        <v>508</v>
      </c>
      <c r="F556" s="19" t="s">
        <v>401</v>
      </c>
      <c r="G556" s="29"/>
      <c r="H556" s="29"/>
      <c r="I556" s="19">
        <v>3.64</v>
      </c>
      <c r="K556" s="29">
        <v>76.760000000000005</v>
      </c>
      <c r="L556" s="29"/>
      <c r="M556" s="29"/>
      <c r="N556" s="19">
        <v>2.2000000000000002</v>
      </c>
      <c r="AO556" s="20">
        <v>3</v>
      </c>
    </row>
    <row r="557" spans="1:41">
      <c r="A557" s="19">
        <f t="shared" si="146"/>
        <v>556</v>
      </c>
      <c r="B557" s="29" t="s">
        <v>197</v>
      </c>
      <c r="C557" s="29">
        <v>5</v>
      </c>
      <c r="D557" s="29" t="s">
        <v>364</v>
      </c>
      <c r="E557" s="29" t="s">
        <v>507</v>
      </c>
      <c r="F557" s="19"/>
      <c r="G557" s="29"/>
      <c r="H557" s="29"/>
      <c r="I557" s="19">
        <v>3.83</v>
      </c>
      <c r="K557" s="29">
        <v>85.16</v>
      </c>
      <c r="L557" s="29"/>
      <c r="M557" s="29"/>
      <c r="N557" s="19">
        <v>1.42</v>
      </c>
      <c r="AO557" s="20">
        <v>3</v>
      </c>
    </row>
    <row r="558" spans="1:41">
      <c r="A558" s="19">
        <f t="shared" si="146"/>
        <v>557</v>
      </c>
      <c r="B558" s="29" t="s">
        <v>197</v>
      </c>
      <c r="C558" s="29">
        <v>5</v>
      </c>
      <c r="D558" s="29" t="s">
        <v>364</v>
      </c>
      <c r="E558" s="29" t="s">
        <v>506</v>
      </c>
      <c r="F558" s="19" t="s">
        <v>421</v>
      </c>
      <c r="G558" s="29"/>
      <c r="H558" s="29"/>
      <c r="I558" s="19">
        <v>3.71</v>
      </c>
      <c r="K558" s="29">
        <v>78.569999999999993</v>
      </c>
      <c r="L558" s="29"/>
      <c r="M558" s="29"/>
      <c r="N558" s="19">
        <v>1.53</v>
      </c>
      <c r="AO558" s="20">
        <v>3</v>
      </c>
    </row>
    <row r="559" spans="1:41">
      <c r="A559" s="19">
        <f t="shared" si="146"/>
        <v>558</v>
      </c>
      <c r="B559" s="29" t="s">
        <v>197</v>
      </c>
      <c r="C559" s="29">
        <v>5</v>
      </c>
      <c r="D559" s="29" t="s">
        <v>364</v>
      </c>
      <c r="E559" s="29" t="s">
        <v>505</v>
      </c>
      <c r="F559" s="19"/>
      <c r="G559" s="29"/>
      <c r="H559" s="29"/>
      <c r="I559" s="19">
        <v>3.65</v>
      </c>
      <c r="K559" s="29">
        <v>75.86</v>
      </c>
      <c r="L559" s="29"/>
      <c r="M559" s="29"/>
      <c r="N559" s="19">
        <v>1.2</v>
      </c>
      <c r="AO559" s="20">
        <v>3</v>
      </c>
    </row>
    <row r="560" spans="1:41">
      <c r="A560" s="19">
        <f t="shared" si="146"/>
        <v>559</v>
      </c>
      <c r="B560" s="29" t="s">
        <v>197</v>
      </c>
      <c r="C560" s="29">
        <v>5</v>
      </c>
      <c r="D560" s="29" t="s">
        <v>364</v>
      </c>
      <c r="E560" s="29" t="s">
        <v>518</v>
      </c>
      <c r="F560" s="19"/>
      <c r="G560" s="29"/>
      <c r="H560" s="29"/>
      <c r="I560" s="19">
        <v>3.19</v>
      </c>
      <c r="K560" s="29">
        <v>55.18</v>
      </c>
      <c r="L560" s="29"/>
      <c r="M560" s="29"/>
      <c r="N560" s="19">
        <v>0.8</v>
      </c>
      <c r="AO560" s="20">
        <v>3</v>
      </c>
    </row>
    <row r="561" spans="1:41">
      <c r="A561" s="19">
        <f t="shared" si="146"/>
        <v>560</v>
      </c>
      <c r="B561" s="29" t="s">
        <v>197</v>
      </c>
      <c r="C561" s="29">
        <v>5</v>
      </c>
      <c r="D561" s="29" t="s">
        <v>364</v>
      </c>
      <c r="E561" s="29" t="s">
        <v>511</v>
      </c>
      <c r="F561" s="19" t="s">
        <v>422</v>
      </c>
      <c r="G561" s="29"/>
      <c r="H561" s="29"/>
      <c r="I561" s="19">
        <v>3.24</v>
      </c>
      <c r="K561" s="29">
        <v>57.26</v>
      </c>
      <c r="L561" s="29"/>
      <c r="M561" s="29"/>
      <c r="N561" s="19">
        <v>0.81</v>
      </c>
      <c r="AO561" s="20">
        <v>3</v>
      </c>
    </row>
    <row r="562" spans="1:41">
      <c r="A562" s="19">
        <f t="shared" si="146"/>
        <v>561</v>
      </c>
      <c r="B562" s="29" t="s">
        <v>197</v>
      </c>
      <c r="C562" s="29">
        <v>5</v>
      </c>
      <c r="D562" s="29" t="s">
        <v>364</v>
      </c>
      <c r="E562" s="29" t="s">
        <v>511</v>
      </c>
      <c r="F562" s="19" t="s">
        <v>423</v>
      </c>
      <c r="G562" s="29"/>
      <c r="H562" s="29"/>
      <c r="I562" s="19">
        <v>3.25</v>
      </c>
      <c r="K562" s="29">
        <v>58.21</v>
      </c>
      <c r="L562" s="29"/>
      <c r="M562" s="29"/>
      <c r="N562" s="19">
        <v>0.82</v>
      </c>
      <c r="AI562" s="29"/>
      <c r="AL562" s="29"/>
      <c r="AO562" s="20">
        <v>3</v>
      </c>
    </row>
    <row r="563" spans="1:41">
      <c r="A563" s="19">
        <f t="shared" si="146"/>
        <v>562</v>
      </c>
      <c r="B563" s="29" t="s">
        <v>197</v>
      </c>
      <c r="C563" s="29">
        <v>5</v>
      </c>
      <c r="D563" s="29" t="s">
        <v>364</v>
      </c>
      <c r="E563" s="29" t="s">
        <v>512</v>
      </c>
      <c r="F563" s="19"/>
      <c r="G563" s="29"/>
      <c r="H563" s="29"/>
      <c r="I563" s="19">
        <v>3.47</v>
      </c>
      <c r="K563" s="29">
        <v>68.989999999999995</v>
      </c>
      <c r="L563" s="29"/>
      <c r="M563" s="29"/>
      <c r="N563" s="19">
        <v>1.34</v>
      </c>
      <c r="AI563" s="29"/>
      <c r="AL563" s="29"/>
      <c r="AO563" s="20">
        <v>3</v>
      </c>
    </row>
    <row r="564" spans="1:41">
      <c r="A564" s="19">
        <f t="shared" si="146"/>
        <v>563</v>
      </c>
      <c r="B564" s="29" t="s">
        <v>197</v>
      </c>
      <c r="C564" s="29">
        <v>5</v>
      </c>
      <c r="D564" s="29" t="s">
        <v>364</v>
      </c>
      <c r="E564" s="29" t="s">
        <v>510</v>
      </c>
      <c r="F564" s="19" t="s">
        <v>416</v>
      </c>
      <c r="G564" s="29"/>
      <c r="H564" s="29"/>
      <c r="I564" s="19">
        <v>3.16</v>
      </c>
      <c r="K564" s="29">
        <v>54.54</v>
      </c>
      <c r="L564" s="29"/>
      <c r="M564" s="29"/>
      <c r="N564" s="19">
        <v>0.77</v>
      </c>
      <c r="AO564" s="20">
        <v>3</v>
      </c>
    </row>
    <row r="565" spans="1:41">
      <c r="A565" s="19">
        <f t="shared" si="146"/>
        <v>564</v>
      </c>
      <c r="B565" s="29" t="s">
        <v>197</v>
      </c>
      <c r="C565" s="29">
        <v>5</v>
      </c>
      <c r="D565" s="29" t="s">
        <v>364</v>
      </c>
      <c r="E565" s="29" t="s">
        <v>513</v>
      </c>
      <c r="F565" s="19" t="s">
        <v>424</v>
      </c>
      <c r="G565" s="29"/>
      <c r="H565" s="29"/>
      <c r="I565" s="19">
        <v>3.39</v>
      </c>
      <c r="K565" s="29">
        <v>64.75</v>
      </c>
      <c r="L565" s="29"/>
      <c r="M565" s="29"/>
      <c r="N565" s="19">
        <v>0.97</v>
      </c>
      <c r="AO565" s="20">
        <v>3</v>
      </c>
    </row>
    <row r="566" spans="1:41">
      <c r="A566" s="19">
        <f t="shared" si="146"/>
        <v>565</v>
      </c>
      <c r="B566" s="29" t="s">
        <v>197</v>
      </c>
      <c r="C566" s="29">
        <v>5</v>
      </c>
      <c r="D566" s="29" t="s">
        <v>364</v>
      </c>
      <c r="E566" s="29" t="s">
        <v>513</v>
      </c>
      <c r="F566" s="19" t="s">
        <v>425</v>
      </c>
      <c r="G566" s="29"/>
      <c r="H566" s="29"/>
      <c r="I566" s="19">
        <v>3.52</v>
      </c>
      <c r="K566" s="29">
        <v>70.83</v>
      </c>
      <c r="L566" s="29"/>
      <c r="M566" s="29"/>
      <c r="N566" s="19">
        <v>1.07</v>
      </c>
      <c r="AO566" s="20">
        <v>3</v>
      </c>
    </row>
    <row r="567" spans="1:41">
      <c r="A567" s="19">
        <f t="shared" si="146"/>
        <v>566</v>
      </c>
      <c r="B567" s="29" t="s">
        <v>197</v>
      </c>
      <c r="C567" s="29">
        <v>5</v>
      </c>
      <c r="D567" s="29" t="s">
        <v>364</v>
      </c>
      <c r="E567" s="29" t="s">
        <v>514</v>
      </c>
      <c r="F567" s="19" t="s">
        <v>426</v>
      </c>
      <c r="G567" s="29"/>
      <c r="H567" s="29"/>
      <c r="I567" s="19">
        <v>3.53</v>
      </c>
      <c r="K567" s="29">
        <v>71.7</v>
      </c>
      <c r="L567" s="29"/>
      <c r="M567" s="29"/>
      <c r="N567" s="19">
        <v>1.08</v>
      </c>
      <c r="AO567" s="20">
        <v>3</v>
      </c>
    </row>
    <row r="568" spans="1:41">
      <c r="A568" s="19">
        <f t="shared" si="146"/>
        <v>567</v>
      </c>
      <c r="B568" s="29" t="s">
        <v>197</v>
      </c>
      <c r="C568" s="29">
        <v>5</v>
      </c>
      <c r="D568" s="29" t="s">
        <v>364</v>
      </c>
      <c r="E568" s="29" t="s">
        <v>515</v>
      </c>
      <c r="F568" s="19" t="s">
        <v>427</v>
      </c>
      <c r="G568" s="29"/>
      <c r="H568" s="29"/>
      <c r="I568" s="19">
        <v>3.49</v>
      </c>
      <c r="K568" s="29">
        <v>69.59</v>
      </c>
      <c r="L568" s="29"/>
      <c r="M568" s="29"/>
      <c r="N568" s="19">
        <v>1.01</v>
      </c>
      <c r="AO568" s="20">
        <v>3</v>
      </c>
    </row>
    <row r="569" spans="1:41">
      <c r="A569" s="19">
        <f t="shared" si="146"/>
        <v>568</v>
      </c>
      <c r="B569" s="29" t="s">
        <v>197</v>
      </c>
      <c r="C569" s="29">
        <v>5</v>
      </c>
      <c r="D569" s="29" t="s">
        <v>364</v>
      </c>
      <c r="E569" s="29" t="s">
        <v>515</v>
      </c>
      <c r="F569" s="19" t="s">
        <v>509</v>
      </c>
      <c r="G569" s="29"/>
      <c r="H569" s="29"/>
      <c r="I569" s="19">
        <v>3.49</v>
      </c>
      <c r="K569" s="29">
        <v>69.709999999999994</v>
      </c>
      <c r="L569" s="29"/>
      <c r="M569" s="29"/>
      <c r="N569" s="19">
        <v>1.27</v>
      </c>
      <c r="AO569" s="20">
        <v>3</v>
      </c>
    </row>
    <row r="570" spans="1:41">
      <c r="A570" s="19">
        <f t="shared" si="146"/>
        <v>569</v>
      </c>
      <c r="B570" s="29" t="s">
        <v>197</v>
      </c>
      <c r="C570" s="29">
        <v>5</v>
      </c>
      <c r="D570" s="29" t="s">
        <v>364</v>
      </c>
      <c r="E570" s="29" t="s">
        <v>516</v>
      </c>
      <c r="F570" s="19" t="s">
        <v>426</v>
      </c>
      <c r="G570" s="29"/>
      <c r="H570" s="29"/>
      <c r="I570" s="19">
        <v>3.45</v>
      </c>
      <c r="K570" s="29">
        <v>68.400000000000006</v>
      </c>
      <c r="L570" s="29"/>
      <c r="M570" s="29"/>
      <c r="N570" s="19">
        <v>1.04</v>
      </c>
      <c r="V570" s="29"/>
      <c r="W570" s="29"/>
      <c r="X570" s="29"/>
      <c r="Y570" s="29"/>
      <c r="Z570" s="29"/>
      <c r="AA570" s="19"/>
      <c r="AI570" s="29"/>
      <c r="AL570" s="29"/>
      <c r="AO570" s="20">
        <v>3</v>
      </c>
    </row>
    <row r="571" spans="1:41">
      <c r="A571" s="19">
        <f t="shared" si="146"/>
        <v>570</v>
      </c>
      <c r="B571" s="29" t="s">
        <v>197</v>
      </c>
      <c r="C571" s="29">
        <v>5</v>
      </c>
      <c r="D571" s="29" t="s">
        <v>364</v>
      </c>
      <c r="E571" s="29" t="s">
        <v>517</v>
      </c>
      <c r="F571" s="19" t="s">
        <v>426</v>
      </c>
      <c r="G571" s="29"/>
      <c r="H571" s="29"/>
      <c r="I571" s="19">
        <v>3.65</v>
      </c>
      <c r="K571" s="29">
        <v>75.91</v>
      </c>
      <c r="L571" s="29"/>
      <c r="M571" s="29"/>
      <c r="N571" s="19">
        <v>1.08</v>
      </c>
      <c r="V571" s="29"/>
      <c r="W571" s="29"/>
      <c r="X571" s="29"/>
      <c r="Y571" s="29"/>
      <c r="Z571" s="29"/>
      <c r="AA571" s="19"/>
      <c r="AI571" s="29"/>
      <c r="AL571" s="29"/>
      <c r="AO571" s="20">
        <v>3</v>
      </c>
    </row>
    <row r="572" spans="1:41">
      <c r="A572" s="19">
        <f t="shared" si="146"/>
        <v>571</v>
      </c>
      <c r="B572" s="29" t="s">
        <v>197</v>
      </c>
      <c r="C572" s="29">
        <v>5</v>
      </c>
      <c r="D572" s="29" t="s">
        <v>364</v>
      </c>
      <c r="E572" s="29" t="s">
        <v>519</v>
      </c>
      <c r="F572" s="19"/>
      <c r="G572" s="29"/>
      <c r="H572" s="29"/>
      <c r="I572" s="19">
        <v>2.17</v>
      </c>
      <c r="K572" s="29">
        <v>7.69</v>
      </c>
      <c r="L572" s="29"/>
      <c r="M572" s="29"/>
      <c r="N572" s="19">
        <v>0.7</v>
      </c>
      <c r="V572" s="29"/>
      <c r="W572" s="29"/>
      <c r="X572" s="29"/>
      <c r="Y572" s="29"/>
      <c r="Z572" s="29"/>
      <c r="AA572" s="19"/>
      <c r="AI572" s="29"/>
      <c r="AL572" s="29"/>
      <c r="AO572" s="20">
        <v>3</v>
      </c>
    </row>
    <row r="573" spans="1:41">
      <c r="A573" s="19">
        <f t="shared" si="146"/>
        <v>572</v>
      </c>
      <c r="B573" s="29" t="s">
        <v>197</v>
      </c>
      <c r="C573" s="29">
        <v>5</v>
      </c>
      <c r="D573" s="29" t="s">
        <v>364</v>
      </c>
      <c r="E573" s="29" t="s">
        <v>520</v>
      </c>
      <c r="F573" s="19"/>
      <c r="G573" s="29"/>
      <c r="H573" s="29"/>
      <c r="I573" s="19">
        <v>2.7</v>
      </c>
      <c r="K573" s="29">
        <v>31.58</v>
      </c>
      <c r="L573" s="29"/>
      <c r="M573" s="29"/>
      <c r="N573" s="19">
        <v>2.13</v>
      </c>
      <c r="V573" s="29"/>
      <c r="W573" s="29"/>
      <c r="X573" s="29"/>
      <c r="Y573" s="29"/>
      <c r="Z573" s="29"/>
      <c r="AA573" s="19"/>
      <c r="AI573" s="29"/>
      <c r="AL573" s="29"/>
      <c r="AO573" s="20">
        <v>3</v>
      </c>
    </row>
    <row r="574" spans="1:41">
      <c r="A574" s="19">
        <f t="shared" si="146"/>
        <v>573</v>
      </c>
      <c r="B574" s="29" t="s">
        <v>197</v>
      </c>
      <c r="C574" s="29">
        <v>5</v>
      </c>
      <c r="D574" s="29" t="s">
        <v>364</v>
      </c>
      <c r="E574" s="29" t="s">
        <v>521</v>
      </c>
      <c r="F574" s="19"/>
      <c r="G574" s="29"/>
      <c r="H574" s="29"/>
      <c r="I574" s="19">
        <v>2.8</v>
      </c>
      <c r="K574" s="29">
        <v>36.74</v>
      </c>
      <c r="L574" s="29"/>
      <c r="M574" s="29"/>
      <c r="N574" s="19">
        <v>0.49</v>
      </c>
      <c r="V574" s="29"/>
      <c r="W574" s="29"/>
      <c r="X574" s="29"/>
      <c r="Y574" s="29"/>
      <c r="Z574" s="29"/>
      <c r="AA574" s="19"/>
      <c r="AI574" s="29"/>
      <c r="AL574" s="29"/>
      <c r="AO574" s="20">
        <v>3</v>
      </c>
    </row>
    <row r="575" spans="1:41">
      <c r="A575" s="19">
        <f t="shared" si="146"/>
        <v>574</v>
      </c>
      <c r="B575" s="29" t="s">
        <v>197</v>
      </c>
      <c r="C575" s="29">
        <v>5</v>
      </c>
      <c r="D575" s="29" t="s">
        <v>364</v>
      </c>
      <c r="E575" s="29" t="s">
        <v>522</v>
      </c>
      <c r="F575" s="19"/>
      <c r="G575" s="29"/>
      <c r="H575" s="29"/>
      <c r="I575" s="19">
        <v>3.08</v>
      </c>
      <c r="K575" s="29">
        <v>49.83</v>
      </c>
      <c r="L575" s="29"/>
      <c r="M575" s="29"/>
      <c r="N575" s="19">
        <v>0.72</v>
      </c>
      <c r="V575" s="29"/>
      <c r="W575" s="29"/>
      <c r="X575" s="29"/>
      <c r="Y575" s="29"/>
      <c r="Z575" s="29"/>
      <c r="AA575" s="19"/>
      <c r="AI575" s="29"/>
      <c r="AL575" s="29"/>
      <c r="AO575" s="20">
        <v>3</v>
      </c>
    </row>
    <row r="576" spans="1:41">
      <c r="A576" s="19">
        <f t="shared" si="146"/>
        <v>575</v>
      </c>
      <c r="B576" s="29" t="s">
        <v>197</v>
      </c>
      <c r="C576" s="29">
        <v>5</v>
      </c>
      <c r="D576" s="29" t="s">
        <v>364</v>
      </c>
      <c r="E576" s="29" t="s">
        <v>523</v>
      </c>
      <c r="F576" s="19" t="s">
        <v>428</v>
      </c>
      <c r="G576" s="29"/>
      <c r="H576" s="29"/>
      <c r="I576" s="19">
        <v>3.47</v>
      </c>
      <c r="K576" s="29">
        <v>68.260000000000005</v>
      </c>
      <c r="L576" s="29"/>
      <c r="M576" s="29"/>
      <c r="N576" s="19">
        <v>3.66</v>
      </c>
      <c r="V576" s="29"/>
      <c r="W576" s="29"/>
      <c r="X576" s="29"/>
      <c r="Y576" s="29"/>
      <c r="Z576" s="29"/>
      <c r="AA576" s="19"/>
      <c r="AI576" s="29"/>
      <c r="AL576" s="29"/>
      <c r="AO576" s="20">
        <v>3</v>
      </c>
    </row>
    <row r="577" spans="1:41">
      <c r="A577" s="19">
        <f t="shared" si="146"/>
        <v>576</v>
      </c>
      <c r="B577" s="29" t="s">
        <v>197</v>
      </c>
      <c r="C577" s="29">
        <v>5</v>
      </c>
      <c r="D577" s="29" t="s">
        <v>364</v>
      </c>
      <c r="E577" s="29" t="s">
        <v>366</v>
      </c>
      <c r="F577" s="19" t="s">
        <v>433</v>
      </c>
      <c r="G577" s="29"/>
      <c r="H577" s="29"/>
      <c r="I577" s="19">
        <v>3.16</v>
      </c>
      <c r="K577" s="29">
        <v>55.93</v>
      </c>
      <c r="L577" s="29"/>
      <c r="M577" s="29"/>
      <c r="N577" s="19">
        <v>7.65</v>
      </c>
      <c r="V577" s="29"/>
      <c r="W577" s="29"/>
      <c r="X577" s="29"/>
      <c r="Y577" s="29"/>
      <c r="Z577" s="29"/>
      <c r="AA577" s="19"/>
      <c r="AI577" s="29"/>
      <c r="AL577" s="29"/>
      <c r="AO577" s="20">
        <v>3</v>
      </c>
    </row>
    <row r="578" spans="1:41">
      <c r="A578" s="19">
        <f t="shared" si="146"/>
        <v>577</v>
      </c>
      <c r="B578" s="29" t="s">
        <v>197</v>
      </c>
      <c r="C578" s="29">
        <v>5</v>
      </c>
      <c r="D578" s="29" t="s">
        <v>364</v>
      </c>
      <c r="E578" s="29" t="s">
        <v>524</v>
      </c>
      <c r="F578" s="19" t="s">
        <v>429</v>
      </c>
      <c r="G578" s="29"/>
      <c r="H578" s="29"/>
      <c r="I578" s="19">
        <v>3.59</v>
      </c>
      <c r="K578" s="29">
        <v>72.63</v>
      </c>
      <c r="L578" s="29"/>
      <c r="M578" s="29"/>
      <c r="N578" s="19">
        <v>1.02</v>
      </c>
      <c r="V578" s="29"/>
      <c r="W578" s="29"/>
      <c r="X578" s="29"/>
      <c r="Y578" s="29"/>
      <c r="Z578" s="29"/>
      <c r="AA578" s="19"/>
      <c r="AI578" s="29"/>
      <c r="AL578" s="29"/>
      <c r="AO578" s="20">
        <v>3</v>
      </c>
    </row>
    <row r="579" spans="1:41">
      <c r="A579" s="19">
        <f t="shared" ref="A579:A642" si="154">A578+1</f>
        <v>578</v>
      </c>
      <c r="B579" s="29" t="s">
        <v>197</v>
      </c>
      <c r="C579" s="29">
        <v>5</v>
      </c>
      <c r="D579" s="29" t="s">
        <v>364</v>
      </c>
      <c r="E579" s="29" t="s">
        <v>525</v>
      </c>
      <c r="F579" s="19"/>
      <c r="G579" s="29"/>
      <c r="H579" s="29"/>
      <c r="I579" s="19">
        <v>3.01</v>
      </c>
      <c r="K579" s="29">
        <v>48.01</v>
      </c>
      <c r="L579" s="29"/>
      <c r="M579" s="29"/>
      <c r="N579" s="19">
        <v>3.27</v>
      </c>
      <c r="V579" s="29"/>
      <c r="W579" s="29"/>
      <c r="X579" s="29"/>
      <c r="Y579" s="29"/>
      <c r="Z579" s="29"/>
      <c r="AA579" s="19"/>
      <c r="AI579" s="29"/>
      <c r="AL579" s="29"/>
      <c r="AO579" s="20">
        <v>3</v>
      </c>
    </row>
    <row r="580" spans="1:41">
      <c r="A580" s="19">
        <f t="shared" si="154"/>
        <v>579</v>
      </c>
      <c r="B580" s="29" t="s">
        <v>197</v>
      </c>
      <c r="C580" s="29">
        <v>5</v>
      </c>
      <c r="D580" s="29" t="s">
        <v>364</v>
      </c>
      <c r="E580" s="29" t="s">
        <v>526</v>
      </c>
      <c r="F580" s="19"/>
      <c r="G580" s="29"/>
      <c r="H580" s="29"/>
      <c r="I580" s="19">
        <v>3.15</v>
      </c>
      <c r="K580" s="29">
        <v>53.87</v>
      </c>
      <c r="L580" s="29"/>
      <c r="M580" s="29"/>
      <c r="N580" s="19">
        <v>3.15</v>
      </c>
      <c r="V580" s="29"/>
      <c r="W580" s="29"/>
      <c r="X580" s="29"/>
      <c r="Y580" s="29"/>
      <c r="Z580" s="29"/>
      <c r="AA580" s="19"/>
      <c r="AI580" s="29"/>
      <c r="AL580" s="29"/>
      <c r="AO580" s="20">
        <v>3</v>
      </c>
    </row>
    <row r="581" spans="1:41">
      <c r="A581" s="19">
        <f t="shared" si="154"/>
        <v>580</v>
      </c>
      <c r="B581" s="29" t="s">
        <v>197</v>
      </c>
      <c r="C581" s="29">
        <v>5</v>
      </c>
      <c r="D581" s="29" t="s">
        <v>364</v>
      </c>
      <c r="E581" s="29" t="s">
        <v>527</v>
      </c>
      <c r="F581" s="19"/>
      <c r="G581" s="29"/>
      <c r="H581" s="29"/>
      <c r="I581" s="19">
        <v>3.1</v>
      </c>
      <c r="K581" s="29">
        <v>51.08</v>
      </c>
      <c r="L581" s="29"/>
      <c r="M581" s="29"/>
      <c r="N581" s="19">
        <v>2.7</v>
      </c>
      <c r="V581" s="29"/>
      <c r="W581" s="29"/>
      <c r="X581" s="29"/>
      <c r="Y581" s="29"/>
      <c r="Z581" s="29"/>
      <c r="AA581" s="19"/>
      <c r="AI581" s="29"/>
      <c r="AL581" s="29"/>
      <c r="AO581" s="20">
        <v>3</v>
      </c>
    </row>
    <row r="582" spans="1:41">
      <c r="A582" s="19">
        <f t="shared" si="154"/>
        <v>581</v>
      </c>
      <c r="B582" s="29" t="s">
        <v>197</v>
      </c>
      <c r="C582" s="29">
        <v>5</v>
      </c>
      <c r="D582" s="29" t="s">
        <v>364</v>
      </c>
      <c r="E582" s="29" t="s">
        <v>528</v>
      </c>
      <c r="F582" s="19"/>
      <c r="G582" s="29"/>
      <c r="H582" s="29"/>
      <c r="I582" s="19">
        <v>3.14</v>
      </c>
      <c r="K582" s="29">
        <v>53.15</v>
      </c>
      <c r="L582" s="29"/>
      <c r="M582" s="29"/>
      <c r="N582" s="19">
        <v>2.4</v>
      </c>
      <c r="AO582" s="20">
        <v>3</v>
      </c>
    </row>
    <row r="583" spans="1:41">
      <c r="A583" s="19">
        <f t="shared" si="154"/>
        <v>582</v>
      </c>
      <c r="B583" s="29" t="s">
        <v>197</v>
      </c>
      <c r="C583" s="29">
        <v>5</v>
      </c>
      <c r="D583" s="29" t="s">
        <v>364</v>
      </c>
      <c r="E583" s="29" t="s">
        <v>529</v>
      </c>
      <c r="F583" s="19"/>
      <c r="G583" s="29"/>
      <c r="H583" s="29"/>
      <c r="I583" s="19">
        <v>2.95</v>
      </c>
      <c r="K583" s="29">
        <v>44.52</v>
      </c>
      <c r="L583" s="29"/>
      <c r="M583" s="29"/>
      <c r="N583" s="19">
        <v>2.4900000000000002</v>
      </c>
      <c r="AO583" s="20">
        <v>3</v>
      </c>
    </row>
    <row r="584" spans="1:41">
      <c r="A584" s="19">
        <f t="shared" si="154"/>
        <v>583</v>
      </c>
      <c r="B584" s="29" t="s">
        <v>197</v>
      </c>
      <c r="C584" s="29">
        <v>5</v>
      </c>
      <c r="D584" s="29" t="s">
        <v>364</v>
      </c>
      <c r="E584" s="29" t="s">
        <v>530</v>
      </c>
      <c r="F584" s="19"/>
      <c r="G584" s="29"/>
      <c r="H584" s="29"/>
      <c r="I584" s="19">
        <v>2.82</v>
      </c>
      <c r="K584" s="29">
        <v>39.299999999999997</v>
      </c>
      <c r="L584" s="29"/>
      <c r="M584" s="29"/>
      <c r="N584" s="19">
        <v>4.7</v>
      </c>
      <c r="AO584" s="20">
        <v>3</v>
      </c>
    </row>
    <row r="585" spans="1:41">
      <c r="A585" s="19">
        <f t="shared" si="154"/>
        <v>584</v>
      </c>
      <c r="B585" s="29" t="s">
        <v>197</v>
      </c>
      <c r="C585" s="29">
        <v>5</v>
      </c>
      <c r="D585" s="29" t="s">
        <v>364</v>
      </c>
      <c r="E585" s="29" t="s">
        <v>368</v>
      </c>
      <c r="F585" s="19"/>
      <c r="G585" s="29"/>
      <c r="H585" s="29"/>
      <c r="I585" s="19">
        <v>4.34</v>
      </c>
      <c r="K585" s="29">
        <v>65.989999999999995</v>
      </c>
      <c r="L585" s="29"/>
      <c r="M585" s="29"/>
      <c r="N585" s="19">
        <v>0.79</v>
      </c>
      <c r="V585" s="29"/>
      <c r="W585" s="29"/>
      <c r="X585" s="29"/>
      <c r="Y585" s="29"/>
      <c r="Z585" s="29"/>
      <c r="AA585" s="19"/>
      <c r="AI585" s="29"/>
      <c r="AL585" s="29"/>
      <c r="AO585" s="20">
        <v>3</v>
      </c>
    </row>
    <row r="586" spans="1:41">
      <c r="A586" s="19">
        <f t="shared" si="154"/>
        <v>585</v>
      </c>
      <c r="B586" s="29" t="s">
        <v>197</v>
      </c>
      <c r="C586" s="29">
        <v>5</v>
      </c>
      <c r="D586" s="29" t="s">
        <v>364</v>
      </c>
      <c r="E586" s="29" t="s">
        <v>369</v>
      </c>
      <c r="F586" s="19"/>
      <c r="G586" s="29"/>
      <c r="H586" s="29"/>
      <c r="I586" s="19">
        <v>3.06</v>
      </c>
      <c r="K586" s="29">
        <v>48.5</v>
      </c>
      <c r="L586" s="29"/>
      <c r="M586" s="29"/>
      <c r="N586" s="19">
        <v>0.68</v>
      </c>
      <c r="V586" s="29"/>
      <c r="W586" s="29"/>
      <c r="X586" s="29"/>
      <c r="Y586" s="29"/>
      <c r="Z586" s="29"/>
      <c r="AA586" s="19"/>
      <c r="AI586" s="29"/>
      <c r="AL586" s="29"/>
      <c r="AO586" s="20">
        <v>3</v>
      </c>
    </row>
    <row r="587" spans="1:41">
      <c r="A587" s="19">
        <f t="shared" si="154"/>
        <v>586</v>
      </c>
      <c r="B587" s="29" t="s">
        <v>197</v>
      </c>
      <c r="C587" s="29">
        <v>5</v>
      </c>
      <c r="D587" s="29" t="s">
        <v>364</v>
      </c>
      <c r="E587" s="29" t="s">
        <v>370</v>
      </c>
      <c r="F587" s="19"/>
      <c r="G587" s="29"/>
      <c r="H587" s="29"/>
      <c r="I587" s="19">
        <v>3.53</v>
      </c>
      <c r="K587" s="29">
        <v>70.400000000000006</v>
      </c>
      <c r="L587" s="29"/>
      <c r="M587" s="29"/>
      <c r="N587" s="19">
        <v>0.88</v>
      </c>
      <c r="V587" s="29"/>
      <c r="W587" s="29"/>
      <c r="X587" s="29"/>
      <c r="Y587" s="29"/>
      <c r="Z587" s="29"/>
      <c r="AA587" s="19"/>
      <c r="AI587" s="29"/>
      <c r="AL587" s="29"/>
      <c r="AO587" s="20">
        <v>3</v>
      </c>
    </row>
    <row r="588" spans="1:41">
      <c r="A588" s="19">
        <f t="shared" si="154"/>
        <v>587</v>
      </c>
      <c r="B588" s="29" t="s">
        <v>197</v>
      </c>
      <c r="C588" s="29">
        <v>5</v>
      </c>
      <c r="D588" s="29" t="s">
        <v>364</v>
      </c>
      <c r="E588" s="29" t="s">
        <v>371</v>
      </c>
      <c r="F588" s="19"/>
      <c r="G588" s="29"/>
      <c r="H588" s="29"/>
      <c r="I588" s="19">
        <v>3.91</v>
      </c>
      <c r="K588" s="29">
        <v>87.81</v>
      </c>
      <c r="L588" s="29"/>
      <c r="M588" s="29"/>
      <c r="N588" s="19">
        <v>0.64</v>
      </c>
      <c r="V588" s="29"/>
      <c r="W588" s="29"/>
      <c r="X588" s="29"/>
      <c r="Y588" s="29"/>
      <c r="Z588" s="29"/>
      <c r="AA588" s="19"/>
      <c r="AI588" s="29"/>
      <c r="AL588" s="29"/>
      <c r="AO588" s="20">
        <v>3</v>
      </c>
    </row>
    <row r="589" spans="1:41">
      <c r="A589" s="19">
        <f t="shared" si="154"/>
        <v>588</v>
      </c>
      <c r="B589" s="29" t="s">
        <v>197</v>
      </c>
      <c r="C589" s="29">
        <v>5</v>
      </c>
      <c r="D589" s="29" t="s">
        <v>364</v>
      </c>
      <c r="E589" s="29" t="s">
        <v>371</v>
      </c>
      <c r="F589" s="19" t="s">
        <v>394</v>
      </c>
      <c r="G589" s="29"/>
      <c r="H589" s="29"/>
      <c r="I589" s="19">
        <v>2.29</v>
      </c>
      <c r="K589" s="29">
        <v>14.62</v>
      </c>
      <c r="L589" s="29"/>
      <c r="M589" s="29"/>
      <c r="N589" s="19">
        <v>4.25</v>
      </c>
      <c r="V589" s="29"/>
      <c r="W589" s="29"/>
      <c r="X589" s="29"/>
      <c r="Y589" s="29"/>
      <c r="Z589" s="29"/>
      <c r="AA589" s="19"/>
      <c r="AI589" s="29"/>
      <c r="AL589" s="29"/>
      <c r="AO589" s="20">
        <v>3</v>
      </c>
    </row>
    <row r="590" spans="1:41">
      <c r="A590" s="19">
        <f t="shared" si="154"/>
        <v>589</v>
      </c>
      <c r="B590" s="29" t="s">
        <v>197</v>
      </c>
      <c r="C590" s="29">
        <v>5</v>
      </c>
      <c r="D590" s="29" t="s">
        <v>364</v>
      </c>
      <c r="E590" s="29" t="s">
        <v>372</v>
      </c>
      <c r="F590" s="19"/>
      <c r="G590" s="29"/>
      <c r="H590" s="29"/>
      <c r="I590" s="19">
        <v>3.63</v>
      </c>
      <c r="K590" s="29">
        <v>75.33</v>
      </c>
      <c r="L590" s="29"/>
      <c r="M590" s="29"/>
      <c r="N590" s="19">
        <v>0.94</v>
      </c>
      <c r="V590" s="29"/>
      <c r="W590" s="29"/>
      <c r="X590" s="29"/>
      <c r="Y590" s="29"/>
      <c r="Z590" s="29"/>
      <c r="AA590" s="19"/>
      <c r="AI590" s="29"/>
      <c r="AL590" s="29"/>
      <c r="AO590" s="20">
        <v>3</v>
      </c>
    </row>
    <row r="591" spans="1:41">
      <c r="A591" s="19">
        <f t="shared" si="154"/>
        <v>590</v>
      </c>
      <c r="B591" s="29" t="s">
        <v>197</v>
      </c>
      <c r="C591" s="29">
        <v>5</v>
      </c>
      <c r="D591" s="29" t="s">
        <v>364</v>
      </c>
      <c r="E591" s="29" t="s">
        <v>372</v>
      </c>
      <c r="F591" s="19" t="s">
        <v>394</v>
      </c>
      <c r="G591" s="29"/>
      <c r="H591" s="29"/>
      <c r="I591" s="19">
        <v>2.04</v>
      </c>
      <c r="K591" s="29">
        <v>3.1</v>
      </c>
      <c r="L591" s="29"/>
      <c r="M591" s="29"/>
      <c r="N591" s="19">
        <v>3.65</v>
      </c>
      <c r="V591" s="29"/>
      <c r="W591" s="29"/>
      <c r="X591" s="29"/>
      <c r="Y591" s="29"/>
      <c r="Z591" s="29"/>
      <c r="AA591" s="19"/>
      <c r="AI591" s="29"/>
      <c r="AL591" s="29"/>
      <c r="AO591" s="20">
        <v>3</v>
      </c>
    </row>
    <row r="592" spans="1:41">
      <c r="A592" s="19">
        <f t="shared" si="154"/>
        <v>591</v>
      </c>
      <c r="B592" s="29" t="s">
        <v>197</v>
      </c>
      <c r="C592" s="29">
        <v>5</v>
      </c>
      <c r="D592" s="29" t="s">
        <v>364</v>
      </c>
      <c r="E592" s="29" t="s">
        <v>373</v>
      </c>
      <c r="F592" s="19"/>
      <c r="G592" s="29"/>
      <c r="H592" s="29"/>
      <c r="I592" s="19">
        <v>3.05</v>
      </c>
      <c r="K592" s="29">
        <v>48.81</v>
      </c>
      <c r="L592" s="29"/>
      <c r="M592" s="29"/>
      <c r="N592" s="19">
        <v>1.77</v>
      </c>
      <c r="V592" s="29"/>
      <c r="W592" s="29"/>
      <c r="X592" s="29"/>
      <c r="Y592" s="29"/>
      <c r="Z592" s="29"/>
      <c r="AA592" s="19"/>
      <c r="AI592" s="29"/>
      <c r="AL592" s="29"/>
      <c r="AO592" s="20">
        <v>3</v>
      </c>
    </row>
    <row r="593" spans="1:41">
      <c r="A593" s="19">
        <f t="shared" si="154"/>
        <v>592</v>
      </c>
      <c r="B593" s="29" t="s">
        <v>197</v>
      </c>
      <c r="C593" s="29">
        <v>5</v>
      </c>
      <c r="D593" s="29" t="s">
        <v>364</v>
      </c>
      <c r="E593" s="29" t="s">
        <v>373</v>
      </c>
      <c r="F593" s="19" t="s">
        <v>430</v>
      </c>
      <c r="G593" s="29"/>
      <c r="H593" s="29"/>
      <c r="I593" s="19">
        <v>3.01</v>
      </c>
      <c r="K593" s="29">
        <v>50.8</v>
      </c>
      <c r="L593" s="29"/>
      <c r="M593" s="29"/>
      <c r="N593" s="19">
        <v>10.6</v>
      </c>
      <c r="V593" s="29"/>
      <c r="W593" s="29"/>
      <c r="X593" s="29"/>
      <c r="Y593" s="29"/>
      <c r="Z593" s="29"/>
      <c r="AA593" s="19"/>
      <c r="AI593" s="29"/>
      <c r="AL593" s="29"/>
      <c r="AO593" s="20">
        <v>3</v>
      </c>
    </row>
    <row r="594" spans="1:41">
      <c r="A594" s="19">
        <f t="shared" si="154"/>
        <v>593</v>
      </c>
      <c r="B594" s="29" t="s">
        <v>197</v>
      </c>
      <c r="C594" s="29">
        <v>5</v>
      </c>
      <c r="D594" s="29" t="s">
        <v>364</v>
      </c>
      <c r="E594" s="29" t="s">
        <v>373</v>
      </c>
      <c r="F594" s="19" t="s">
        <v>431</v>
      </c>
      <c r="G594" s="29"/>
      <c r="H594" s="29"/>
      <c r="I594" s="19">
        <v>3.07</v>
      </c>
      <c r="K594" s="29">
        <v>51.25</v>
      </c>
      <c r="L594" s="29"/>
      <c r="M594" s="29"/>
      <c r="N594" s="19">
        <v>1.4</v>
      </c>
      <c r="V594" s="29"/>
      <c r="W594" s="29"/>
      <c r="X594" s="29"/>
      <c r="Y594" s="29"/>
      <c r="Z594" s="29"/>
      <c r="AA594" s="19"/>
      <c r="AI594" s="29"/>
      <c r="AL594" s="29"/>
      <c r="AO594" s="20">
        <v>3</v>
      </c>
    </row>
    <row r="595" spans="1:41">
      <c r="A595" s="19">
        <f t="shared" si="154"/>
        <v>594</v>
      </c>
      <c r="B595" s="29" t="s">
        <v>197</v>
      </c>
      <c r="C595" s="29">
        <v>5</v>
      </c>
      <c r="D595" s="29" t="s">
        <v>364</v>
      </c>
      <c r="E595" s="29" t="s">
        <v>531</v>
      </c>
      <c r="F595" s="19" t="s">
        <v>426</v>
      </c>
      <c r="G595" s="29"/>
      <c r="H595" s="29"/>
      <c r="I595" s="19">
        <v>3.6</v>
      </c>
      <c r="K595" s="29">
        <v>73.42</v>
      </c>
      <c r="L595" s="29"/>
      <c r="M595" s="29"/>
      <c r="N595" s="19">
        <v>1.06</v>
      </c>
      <c r="AO595" s="20">
        <v>3</v>
      </c>
    </row>
    <row r="596" spans="1:41">
      <c r="A596" s="19">
        <f t="shared" si="154"/>
        <v>595</v>
      </c>
      <c r="B596" s="29" t="s">
        <v>219</v>
      </c>
      <c r="C596" s="29">
        <v>5</v>
      </c>
      <c r="D596" s="29" t="s">
        <v>364</v>
      </c>
      <c r="E596" s="29" t="s">
        <v>532</v>
      </c>
      <c r="F596" s="19" t="s">
        <v>432</v>
      </c>
      <c r="G596" s="29"/>
      <c r="H596" s="29"/>
      <c r="I596" s="19">
        <v>3.62</v>
      </c>
      <c r="K596" s="29">
        <v>74.11</v>
      </c>
      <c r="L596" s="29"/>
      <c r="M596" s="29"/>
      <c r="N596" s="19">
        <v>1.07</v>
      </c>
      <c r="V596" s="29"/>
      <c r="W596" s="29"/>
      <c r="X596" s="29"/>
      <c r="Y596" s="29"/>
      <c r="Z596" s="29"/>
      <c r="AA596" s="19"/>
      <c r="AI596" s="29"/>
      <c r="AL596" s="29"/>
      <c r="AO596" s="20">
        <v>3</v>
      </c>
    </row>
    <row r="597" spans="1:41">
      <c r="A597" s="19">
        <f t="shared" si="154"/>
        <v>596</v>
      </c>
      <c r="B597" s="29" t="s">
        <v>197</v>
      </c>
      <c r="C597" s="29">
        <v>5</v>
      </c>
      <c r="D597" s="29" t="s">
        <v>364</v>
      </c>
      <c r="E597" s="27" t="s">
        <v>550</v>
      </c>
      <c r="F597" s="20" t="s">
        <v>593</v>
      </c>
      <c r="H597" s="27">
        <v>0.50600000000000001</v>
      </c>
      <c r="K597" s="27">
        <v>75</v>
      </c>
      <c r="L597" s="34"/>
      <c r="AO597" s="20">
        <v>3</v>
      </c>
    </row>
    <row r="598" spans="1:41">
      <c r="A598" s="19">
        <f t="shared" si="154"/>
        <v>597</v>
      </c>
      <c r="B598" s="29" t="s">
        <v>197</v>
      </c>
      <c r="C598" s="29">
        <v>5</v>
      </c>
      <c r="D598" s="29" t="s">
        <v>364</v>
      </c>
      <c r="E598" s="27" t="s">
        <v>550</v>
      </c>
      <c r="F598" s="20" t="s">
        <v>594</v>
      </c>
      <c r="H598" s="27">
        <v>0.43</v>
      </c>
      <c r="K598" s="27">
        <v>79</v>
      </c>
      <c r="AO598" s="20">
        <v>3</v>
      </c>
    </row>
    <row r="599" spans="1:41">
      <c r="A599" s="19">
        <f t="shared" si="154"/>
        <v>598</v>
      </c>
      <c r="B599" s="29" t="s">
        <v>197</v>
      </c>
      <c r="C599" s="29">
        <v>5</v>
      </c>
      <c r="D599" s="29" t="s">
        <v>364</v>
      </c>
      <c r="E599" s="27" t="s">
        <v>550</v>
      </c>
      <c r="F599" s="20" t="s">
        <v>595</v>
      </c>
      <c r="H599" s="27">
        <v>0.4</v>
      </c>
      <c r="K599" s="27">
        <v>76.5</v>
      </c>
      <c r="AO599" s="20">
        <v>3</v>
      </c>
    </row>
    <row r="600" spans="1:41">
      <c r="A600" s="19">
        <f t="shared" si="154"/>
        <v>599</v>
      </c>
      <c r="B600" s="29" t="s">
        <v>197</v>
      </c>
      <c r="C600" s="29">
        <v>5</v>
      </c>
      <c r="D600" s="29" t="s">
        <v>364</v>
      </c>
      <c r="E600" s="27" t="s">
        <v>550</v>
      </c>
      <c r="F600" s="20" t="s">
        <v>594</v>
      </c>
      <c r="H600" s="27">
        <v>0.48</v>
      </c>
      <c r="K600" s="27">
        <v>79</v>
      </c>
      <c r="AO600" s="20">
        <v>3</v>
      </c>
    </row>
    <row r="601" spans="1:41">
      <c r="A601" s="19">
        <f t="shared" si="154"/>
        <v>600</v>
      </c>
      <c r="B601" s="29" t="s">
        <v>197</v>
      </c>
      <c r="C601" s="29">
        <v>5</v>
      </c>
      <c r="D601" s="29" t="s">
        <v>364</v>
      </c>
      <c r="E601" s="27" t="s">
        <v>550</v>
      </c>
      <c r="F601" s="20" t="s">
        <v>595</v>
      </c>
      <c r="H601" s="27">
        <v>0.41</v>
      </c>
      <c r="K601" s="27">
        <v>76</v>
      </c>
      <c r="AO601" s="20">
        <v>3</v>
      </c>
    </row>
    <row r="602" spans="1:41">
      <c r="A602" s="19">
        <f t="shared" si="154"/>
        <v>601</v>
      </c>
      <c r="B602" s="29" t="s">
        <v>197</v>
      </c>
      <c r="C602" s="29">
        <v>5</v>
      </c>
      <c r="D602" s="29" t="s">
        <v>364</v>
      </c>
      <c r="E602" s="27" t="s">
        <v>550</v>
      </c>
      <c r="F602" s="20" t="s">
        <v>593</v>
      </c>
      <c r="H602" s="27">
        <v>0.47099999999999997</v>
      </c>
      <c r="K602" s="27">
        <v>74</v>
      </c>
      <c r="AO602" s="20">
        <v>3</v>
      </c>
    </row>
    <row r="603" spans="1:41">
      <c r="A603" s="19">
        <f t="shared" si="154"/>
        <v>602</v>
      </c>
      <c r="B603" s="29" t="s">
        <v>197</v>
      </c>
      <c r="C603" s="29">
        <v>5</v>
      </c>
      <c r="D603" s="29" t="s">
        <v>364</v>
      </c>
      <c r="E603" s="27" t="s">
        <v>550</v>
      </c>
      <c r="F603" s="20" t="s">
        <v>596</v>
      </c>
      <c r="G603" s="27">
        <v>0.95</v>
      </c>
      <c r="H603" s="27">
        <v>0.40600000000000003</v>
      </c>
      <c r="K603" s="27">
        <v>67</v>
      </c>
      <c r="AO603" s="20">
        <v>3</v>
      </c>
    </row>
    <row r="604" spans="1:41">
      <c r="A604" s="19">
        <f t="shared" si="154"/>
        <v>603</v>
      </c>
      <c r="B604" s="29" t="s">
        <v>197</v>
      </c>
      <c r="C604" s="29">
        <v>5</v>
      </c>
      <c r="D604" s="29" t="s">
        <v>364</v>
      </c>
      <c r="E604" s="27" t="s">
        <v>550</v>
      </c>
      <c r="F604" s="20" t="s">
        <v>597</v>
      </c>
      <c r="G604" s="27">
        <v>0.98</v>
      </c>
      <c r="H604" s="27">
        <v>0.41</v>
      </c>
      <c r="K604" s="27">
        <v>62</v>
      </c>
      <c r="AO604" s="20">
        <v>3</v>
      </c>
    </row>
    <row r="605" spans="1:41">
      <c r="A605" s="19">
        <f t="shared" si="154"/>
        <v>604</v>
      </c>
      <c r="B605" s="29" t="s">
        <v>197</v>
      </c>
      <c r="C605" s="29">
        <v>5</v>
      </c>
      <c r="D605" s="29" t="s">
        <v>364</v>
      </c>
      <c r="E605" s="27" t="s">
        <v>550</v>
      </c>
      <c r="F605" s="20" t="s">
        <v>596</v>
      </c>
      <c r="G605" s="27">
        <v>0.93</v>
      </c>
      <c r="H605" s="27">
        <v>0.35099999999999998</v>
      </c>
      <c r="K605" s="27">
        <v>55</v>
      </c>
      <c r="AO605" s="20">
        <v>3</v>
      </c>
    </row>
    <row r="606" spans="1:41">
      <c r="A606" s="19">
        <f t="shared" si="154"/>
        <v>605</v>
      </c>
      <c r="B606" s="29" t="s">
        <v>197</v>
      </c>
      <c r="C606" s="29">
        <v>5</v>
      </c>
      <c r="D606" s="29" t="s">
        <v>364</v>
      </c>
      <c r="E606" s="27" t="s">
        <v>550</v>
      </c>
      <c r="F606" s="20" t="s">
        <v>598</v>
      </c>
      <c r="G606" s="27">
        <v>0.95</v>
      </c>
      <c r="H606" s="27">
        <v>0.36399999999999999</v>
      </c>
      <c r="K606" s="27">
        <v>53</v>
      </c>
      <c r="AO606" s="20">
        <v>3</v>
      </c>
    </row>
    <row r="607" spans="1:41">
      <c r="A607" s="19">
        <f t="shared" si="154"/>
        <v>606</v>
      </c>
      <c r="B607" s="29" t="s">
        <v>197</v>
      </c>
      <c r="C607" s="29">
        <v>5</v>
      </c>
      <c r="D607" s="29" t="s">
        <v>364</v>
      </c>
      <c r="E607" s="27" t="s">
        <v>550</v>
      </c>
      <c r="F607" s="20" t="s">
        <v>599</v>
      </c>
      <c r="G607" s="27">
        <v>1.04</v>
      </c>
      <c r="H607" s="27">
        <v>0.496</v>
      </c>
      <c r="K607" s="27">
        <v>77.7</v>
      </c>
      <c r="AO607" s="20">
        <v>3</v>
      </c>
    </row>
    <row r="608" spans="1:41">
      <c r="A608" s="19">
        <f t="shared" si="154"/>
        <v>607</v>
      </c>
      <c r="B608" s="29" t="s">
        <v>197</v>
      </c>
      <c r="C608" s="29">
        <v>5</v>
      </c>
      <c r="D608" s="29" t="s">
        <v>364</v>
      </c>
      <c r="E608" s="27" t="s">
        <v>550</v>
      </c>
      <c r="F608" s="20" t="s">
        <v>600</v>
      </c>
      <c r="G608" s="27">
        <v>0.81</v>
      </c>
      <c r="H608" s="27">
        <v>0.19</v>
      </c>
      <c r="K608" s="27">
        <v>0</v>
      </c>
      <c r="AO608" s="20">
        <v>3</v>
      </c>
    </row>
    <row r="609" spans="1:41">
      <c r="A609" s="19">
        <f t="shared" si="154"/>
        <v>608</v>
      </c>
      <c r="B609" s="29" t="s">
        <v>197</v>
      </c>
      <c r="C609" s="29">
        <v>5</v>
      </c>
      <c r="D609" s="29" t="s">
        <v>364</v>
      </c>
      <c r="E609" s="27" t="s">
        <v>550</v>
      </c>
      <c r="F609" s="20" t="s">
        <v>600</v>
      </c>
      <c r="G609" s="27">
        <v>0.86</v>
      </c>
      <c r="H609" s="27">
        <v>0.23</v>
      </c>
      <c r="K609" s="27">
        <v>20</v>
      </c>
      <c r="AO609" s="20">
        <v>3</v>
      </c>
    </row>
    <row r="610" spans="1:41">
      <c r="A610" s="19">
        <f t="shared" si="154"/>
        <v>609</v>
      </c>
      <c r="B610" s="29" t="s">
        <v>197</v>
      </c>
      <c r="C610" s="29">
        <v>5</v>
      </c>
      <c r="D610" s="29" t="s">
        <v>364</v>
      </c>
      <c r="E610" s="27" t="s">
        <v>550</v>
      </c>
      <c r="F610" s="20" t="s">
        <v>601</v>
      </c>
      <c r="H610" s="27">
        <v>0.217</v>
      </c>
      <c r="K610" s="27">
        <v>9</v>
      </c>
      <c r="AO610" s="20">
        <v>3</v>
      </c>
    </row>
    <row r="611" spans="1:41">
      <c r="A611" s="19">
        <f t="shared" si="154"/>
        <v>610</v>
      </c>
      <c r="B611" s="29" t="s">
        <v>197</v>
      </c>
      <c r="C611" s="29">
        <v>5</v>
      </c>
      <c r="D611" s="29" t="s">
        <v>364</v>
      </c>
      <c r="E611" s="27" t="s">
        <v>550</v>
      </c>
      <c r="F611" s="20" t="s">
        <v>602</v>
      </c>
      <c r="G611" s="27">
        <v>1.02</v>
      </c>
      <c r="H611" s="27">
        <v>0.52400000000000002</v>
      </c>
      <c r="K611" s="27">
        <v>76.400000000000006</v>
      </c>
      <c r="AO611" s="20">
        <v>3</v>
      </c>
    </row>
    <row r="612" spans="1:41">
      <c r="A612" s="19">
        <f t="shared" si="154"/>
        <v>611</v>
      </c>
      <c r="B612" s="29" t="s">
        <v>197</v>
      </c>
      <c r="C612" s="29">
        <v>5</v>
      </c>
      <c r="D612" s="29" t="s">
        <v>364</v>
      </c>
      <c r="E612" s="27" t="s">
        <v>550</v>
      </c>
      <c r="F612" s="20" t="s">
        <v>603</v>
      </c>
      <c r="H612" s="27">
        <v>0.48799999999999999</v>
      </c>
      <c r="K612" s="27">
        <v>72</v>
      </c>
      <c r="AO612" s="20">
        <v>3</v>
      </c>
    </row>
    <row r="613" spans="1:41">
      <c r="A613" s="19">
        <f t="shared" si="154"/>
        <v>612</v>
      </c>
      <c r="B613" s="29" t="s">
        <v>197</v>
      </c>
      <c r="C613" s="29">
        <v>5</v>
      </c>
      <c r="D613" s="29" t="s">
        <v>364</v>
      </c>
      <c r="E613" s="27" t="s">
        <v>551</v>
      </c>
      <c r="F613" s="20" t="s">
        <v>604</v>
      </c>
      <c r="G613" s="27">
        <v>1.05</v>
      </c>
      <c r="H613" s="27">
        <v>0.29699999999999999</v>
      </c>
      <c r="K613" s="27">
        <v>36.6</v>
      </c>
      <c r="AO613" s="20">
        <v>3</v>
      </c>
    </row>
    <row r="614" spans="1:41">
      <c r="A614" s="19">
        <f t="shared" si="154"/>
        <v>613</v>
      </c>
      <c r="B614" s="29" t="s">
        <v>197</v>
      </c>
      <c r="C614" s="29">
        <v>5</v>
      </c>
      <c r="D614" s="29" t="s">
        <v>364</v>
      </c>
      <c r="E614" s="27" t="s">
        <v>552</v>
      </c>
      <c r="F614" s="20" t="s">
        <v>681</v>
      </c>
      <c r="G614" s="27">
        <v>1</v>
      </c>
      <c r="H614" s="27">
        <v>0.42099999999999999</v>
      </c>
      <c r="K614" s="27">
        <v>64.7</v>
      </c>
      <c r="AO614" s="20">
        <v>3</v>
      </c>
    </row>
    <row r="615" spans="1:41">
      <c r="A615" s="19">
        <f t="shared" si="154"/>
        <v>614</v>
      </c>
      <c r="B615" s="29" t="s">
        <v>197</v>
      </c>
      <c r="C615" s="29">
        <v>5</v>
      </c>
      <c r="D615" s="29" t="s">
        <v>364</v>
      </c>
      <c r="E615" s="27" t="s">
        <v>678</v>
      </c>
      <c r="F615" s="20" t="s">
        <v>680</v>
      </c>
      <c r="G615" s="27">
        <v>1.24</v>
      </c>
      <c r="H615" s="27">
        <v>0.31900000000000001</v>
      </c>
      <c r="K615" s="27">
        <v>30.6</v>
      </c>
      <c r="AO615" s="20">
        <v>3</v>
      </c>
    </row>
    <row r="616" spans="1:41">
      <c r="A616" s="19">
        <f t="shared" si="154"/>
        <v>615</v>
      </c>
      <c r="B616" s="29" t="s">
        <v>197</v>
      </c>
      <c r="C616" s="29">
        <v>5</v>
      </c>
      <c r="D616" s="29" t="s">
        <v>364</v>
      </c>
      <c r="E616" s="27" t="s">
        <v>679</v>
      </c>
      <c r="F616" s="20" t="s">
        <v>680</v>
      </c>
      <c r="G616" s="27">
        <v>1.1399999999999999</v>
      </c>
      <c r="H616" s="27">
        <v>0.32600000000000001</v>
      </c>
      <c r="K616" s="27">
        <v>39.700000000000003</v>
      </c>
      <c r="AO616" s="20">
        <v>3</v>
      </c>
    </row>
    <row r="617" spans="1:41">
      <c r="A617" s="19">
        <f t="shared" si="154"/>
        <v>616</v>
      </c>
      <c r="B617" s="29" t="s">
        <v>197</v>
      </c>
      <c r="C617" s="29">
        <v>5</v>
      </c>
      <c r="D617" s="29" t="s">
        <v>364</v>
      </c>
      <c r="E617" s="27" t="s">
        <v>553</v>
      </c>
      <c r="F617" s="20" t="s">
        <v>605</v>
      </c>
      <c r="G617" s="27">
        <v>1.03</v>
      </c>
      <c r="H617" s="27">
        <v>0.48</v>
      </c>
      <c r="K617" s="27">
        <v>71.8</v>
      </c>
      <c r="AO617" s="20">
        <v>3</v>
      </c>
    </row>
    <row r="618" spans="1:41">
      <c r="A618" s="19">
        <f t="shared" si="154"/>
        <v>617</v>
      </c>
      <c r="B618" s="29" t="s">
        <v>197</v>
      </c>
      <c r="C618" s="29">
        <v>5</v>
      </c>
      <c r="D618" s="29" t="s">
        <v>364</v>
      </c>
      <c r="E618" s="27" t="s">
        <v>682</v>
      </c>
      <c r="F618" s="20" t="s">
        <v>683</v>
      </c>
      <c r="H618" s="27">
        <v>0.46</v>
      </c>
      <c r="K618" s="27">
        <v>70</v>
      </c>
      <c r="AO618" s="20">
        <v>3</v>
      </c>
    </row>
    <row r="619" spans="1:41">
      <c r="A619" s="19">
        <f t="shared" si="154"/>
        <v>618</v>
      </c>
      <c r="B619" s="29" t="s">
        <v>197</v>
      </c>
      <c r="C619" s="29">
        <v>5</v>
      </c>
      <c r="D619" s="29" t="s">
        <v>364</v>
      </c>
      <c r="E619" s="27" t="s">
        <v>554</v>
      </c>
      <c r="F619" s="20" t="s">
        <v>604</v>
      </c>
      <c r="H619" s="27">
        <v>0.45600000000000002</v>
      </c>
      <c r="K619" s="27">
        <v>72</v>
      </c>
      <c r="AO619" s="20">
        <v>3</v>
      </c>
    </row>
    <row r="620" spans="1:41">
      <c r="A620" s="19">
        <f t="shared" si="154"/>
        <v>619</v>
      </c>
      <c r="B620" s="29" t="s">
        <v>197</v>
      </c>
      <c r="C620" s="29">
        <v>5</v>
      </c>
      <c r="D620" s="29" t="s">
        <v>364</v>
      </c>
      <c r="E620" s="27" t="s">
        <v>554</v>
      </c>
      <c r="F620" s="20" t="s">
        <v>604</v>
      </c>
      <c r="H620" s="27">
        <v>0.39900000000000002</v>
      </c>
      <c r="K620" s="27">
        <v>71</v>
      </c>
      <c r="AO620" s="20">
        <v>3</v>
      </c>
    </row>
    <row r="621" spans="1:41">
      <c r="A621" s="19">
        <f t="shared" si="154"/>
        <v>620</v>
      </c>
      <c r="B621" s="29" t="s">
        <v>197</v>
      </c>
      <c r="C621" s="29">
        <v>5</v>
      </c>
      <c r="D621" s="29" t="s">
        <v>364</v>
      </c>
      <c r="E621" s="27" t="s">
        <v>555</v>
      </c>
      <c r="F621" s="20" t="s">
        <v>604</v>
      </c>
      <c r="G621" s="27">
        <v>1.06</v>
      </c>
      <c r="H621" s="27">
        <v>0.25600000000000001</v>
      </c>
      <c r="K621" s="27">
        <v>32</v>
      </c>
      <c r="AO621" s="20">
        <v>3</v>
      </c>
    </row>
    <row r="622" spans="1:41">
      <c r="A622" s="19">
        <f t="shared" si="154"/>
        <v>621</v>
      </c>
      <c r="B622" s="29" t="s">
        <v>197</v>
      </c>
      <c r="C622" s="29">
        <v>5</v>
      </c>
      <c r="D622" s="29" t="s">
        <v>364</v>
      </c>
      <c r="E622" s="27" t="s">
        <v>556</v>
      </c>
      <c r="F622" s="20" t="s">
        <v>606</v>
      </c>
      <c r="H622" s="27">
        <v>0.215</v>
      </c>
      <c r="K622" s="27">
        <v>6</v>
      </c>
      <c r="AO622" s="20">
        <v>3</v>
      </c>
    </row>
    <row r="623" spans="1:41">
      <c r="A623" s="19">
        <f t="shared" si="154"/>
        <v>622</v>
      </c>
      <c r="B623" s="29" t="s">
        <v>197</v>
      </c>
      <c r="C623" s="29">
        <v>5</v>
      </c>
      <c r="D623" s="29" t="s">
        <v>364</v>
      </c>
      <c r="E623" s="27" t="s">
        <v>556</v>
      </c>
      <c r="F623" s="20" t="s">
        <v>594</v>
      </c>
      <c r="H623" s="27">
        <v>0.45300000000000001</v>
      </c>
      <c r="K623" s="27">
        <v>76</v>
      </c>
      <c r="AO623" s="20">
        <v>3</v>
      </c>
    </row>
    <row r="624" spans="1:41">
      <c r="A624" s="19">
        <f t="shared" si="154"/>
        <v>623</v>
      </c>
      <c r="B624" s="29" t="s">
        <v>197</v>
      </c>
      <c r="C624" s="29">
        <v>5</v>
      </c>
      <c r="D624" s="29" t="s">
        <v>364</v>
      </c>
      <c r="E624" s="27" t="s">
        <v>556</v>
      </c>
      <c r="F624" s="20" t="s">
        <v>594</v>
      </c>
      <c r="H624" s="27">
        <v>0.505</v>
      </c>
      <c r="K624" s="27">
        <v>76</v>
      </c>
      <c r="AO624" s="20">
        <v>3</v>
      </c>
    </row>
    <row r="625" spans="1:41">
      <c r="A625" s="19">
        <f t="shared" si="154"/>
        <v>624</v>
      </c>
      <c r="B625" s="29" t="s">
        <v>197</v>
      </c>
      <c r="C625" s="29">
        <v>5</v>
      </c>
      <c r="D625" s="29" t="s">
        <v>364</v>
      </c>
      <c r="E625" s="27" t="s">
        <v>556</v>
      </c>
      <c r="F625" s="20" t="s">
        <v>684</v>
      </c>
      <c r="H625" s="27">
        <v>0.46</v>
      </c>
      <c r="AO625" s="20">
        <v>3</v>
      </c>
    </row>
    <row r="626" spans="1:41">
      <c r="A626" s="19">
        <f t="shared" si="154"/>
        <v>625</v>
      </c>
      <c r="B626" s="29" t="s">
        <v>197</v>
      </c>
      <c r="C626" s="29">
        <v>5</v>
      </c>
      <c r="D626" s="29" t="s">
        <v>364</v>
      </c>
      <c r="E626" s="27" t="s">
        <v>556</v>
      </c>
      <c r="F626" s="20" t="s">
        <v>607</v>
      </c>
      <c r="H626" s="27">
        <v>0.47799999999999998</v>
      </c>
      <c r="K626" s="27">
        <v>72</v>
      </c>
      <c r="AO626" s="20">
        <v>3</v>
      </c>
    </row>
    <row r="627" spans="1:41">
      <c r="A627" s="19">
        <f t="shared" si="154"/>
        <v>626</v>
      </c>
      <c r="B627" s="29" t="s">
        <v>197</v>
      </c>
      <c r="C627" s="29">
        <v>5</v>
      </c>
      <c r="D627" s="29" t="s">
        <v>364</v>
      </c>
      <c r="E627" s="27" t="s">
        <v>556</v>
      </c>
      <c r="F627" s="20" t="s">
        <v>607</v>
      </c>
      <c r="H627" s="27">
        <v>0.45600000000000002</v>
      </c>
      <c r="K627" s="27">
        <v>72</v>
      </c>
      <c r="AO627" s="20">
        <v>3</v>
      </c>
    </row>
    <row r="628" spans="1:41">
      <c r="A628" s="19">
        <f t="shared" si="154"/>
        <v>627</v>
      </c>
      <c r="B628" s="29" t="s">
        <v>197</v>
      </c>
      <c r="C628" s="29">
        <v>5</v>
      </c>
      <c r="D628" s="29" t="s">
        <v>364</v>
      </c>
      <c r="E628" s="27" t="s">
        <v>367</v>
      </c>
      <c r="F628" s="20" t="s">
        <v>604</v>
      </c>
      <c r="G628" s="27">
        <v>0.96</v>
      </c>
      <c r="H628" s="27">
        <v>0.311</v>
      </c>
      <c r="K628" s="27">
        <v>35.6</v>
      </c>
      <c r="AO628" s="20">
        <v>3</v>
      </c>
    </row>
    <row r="629" spans="1:41">
      <c r="A629" s="19">
        <f t="shared" si="154"/>
        <v>628</v>
      </c>
      <c r="B629" s="29" t="s">
        <v>197</v>
      </c>
      <c r="C629" s="29">
        <v>5</v>
      </c>
      <c r="D629" s="29" t="s">
        <v>364</v>
      </c>
      <c r="E629" s="27" t="s">
        <v>557</v>
      </c>
      <c r="F629" s="20" t="s">
        <v>608</v>
      </c>
      <c r="H629" s="27">
        <v>0.42699999999999999</v>
      </c>
      <c r="K629" s="27">
        <v>68</v>
      </c>
      <c r="AO629" s="20">
        <v>3</v>
      </c>
    </row>
    <row r="630" spans="1:41">
      <c r="A630" s="19">
        <f t="shared" si="154"/>
        <v>629</v>
      </c>
      <c r="B630" s="29" t="s">
        <v>197</v>
      </c>
      <c r="C630" s="29">
        <v>5</v>
      </c>
      <c r="D630" s="29" t="s">
        <v>364</v>
      </c>
      <c r="E630" s="27" t="s">
        <v>557</v>
      </c>
      <c r="F630" s="20" t="s">
        <v>608</v>
      </c>
      <c r="H630" s="27">
        <v>0.38500000000000001</v>
      </c>
      <c r="K630" s="27">
        <v>62</v>
      </c>
      <c r="AO630" s="20">
        <v>3</v>
      </c>
    </row>
    <row r="631" spans="1:41">
      <c r="A631" s="19">
        <f t="shared" si="154"/>
        <v>630</v>
      </c>
      <c r="B631" s="29" t="s">
        <v>197</v>
      </c>
      <c r="C631" s="29">
        <v>5</v>
      </c>
      <c r="D631" s="29" t="s">
        <v>364</v>
      </c>
      <c r="E631" s="27" t="s">
        <v>558</v>
      </c>
      <c r="F631" s="20" t="s">
        <v>604</v>
      </c>
      <c r="H631" s="27">
        <v>0.47</v>
      </c>
      <c r="K631" s="27">
        <v>75</v>
      </c>
      <c r="AO631" s="20">
        <v>3</v>
      </c>
    </row>
    <row r="632" spans="1:41">
      <c r="A632" s="19">
        <f t="shared" si="154"/>
        <v>631</v>
      </c>
      <c r="B632" s="29" t="s">
        <v>197</v>
      </c>
      <c r="C632" s="29">
        <v>5</v>
      </c>
      <c r="D632" s="29" t="s">
        <v>364</v>
      </c>
      <c r="E632" s="27" t="s">
        <v>558</v>
      </c>
      <c r="F632" s="20" t="s">
        <v>581</v>
      </c>
      <c r="H632" s="27">
        <v>0.44500000000000001</v>
      </c>
      <c r="K632" s="27">
        <v>75</v>
      </c>
      <c r="AO632" s="20">
        <v>3</v>
      </c>
    </row>
    <row r="633" spans="1:41">
      <c r="A633" s="19">
        <f t="shared" si="154"/>
        <v>632</v>
      </c>
      <c r="B633" s="29" t="s">
        <v>197</v>
      </c>
      <c r="C633" s="29">
        <v>5</v>
      </c>
      <c r="D633" s="29" t="s">
        <v>364</v>
      </c>
      <c r="E633" s="27" t="s">
        <v>368</v>
      </c>
      <c r="F633" s="20" t="s">
        <v>609</v>
      </c>
      <c r="H633" s="27">
        <v>0.41199999999999998</v>
      </c>
      <c r="K633" s="27">
        <v>72</v>
      </c>
      <c r="AO633" s="20">
        <v>3</v>
      </c>
    </row>
    <row r="634" spans="1:41">
      <c r="A634" s="19">
        <f t="shared" si="154"/>
        <v>633</v>
      </c>
      <c r="B634" s="29" t="s">
        <v>197</v>
      </c>
      <c r="C634" s="29">
        <v>5</v>
      </c>
      <c r="D634" s="29" t="s">
        <v>364</v>
      </c>
      <c r="E634" s="27" t="s">
        <v>368</v>
      </c>
      <c r="F634" s="20" t="s">
        <v>610</v>
      </c>
      <c r="H634" s="27">
        <v>0.36599999999999999</v>
      </c>
      <c r="K634" s="27">
        <v>66</v>
      </c>
      <c r="AO634" s="20">
        <v>3</v>
      </c>
    </row>
    <row r="635" spans="1:41">
      <c r="A635" s="19">
        <f t="shared" si="154"/>
        <v>634</v>
      </c>
      <c r="B635" s="29" t="s">
        <v>197</v>
      </c>
      <c r="C635" s="29">
        <v>5</v>
      </c>
      <c r="D635" s="29" t="s">
        <v>364</v>
      </c>
      <c r="E635" s="27" t="s">
        <v>370</v>
      </c>
      <c r="F635" s="20" t="s">
        <v>611</v>
      </c>
      <c r="H635" s="27">
        <v>0.496</v>
      </c>
      <c r="K635" s="27">
        <v>74</v>
      </c>
      <c r="AO635" s="20">
        <v>3</v>
      </c>
    </row>
    <row r="636" spans="1:41">
      <c r="A636" s="19">
        <f t="shared" si="154"/>
        <v>635</v>
      </c>
      <c r="B636" s="29" t="s">
        <v>197</v>
      </c>
      <c r="C636" s="29">
        <v>5</v>
      </c>
      <c r="D636" s="29" t="s">
        <v>364</v>
      </c>
      <c r="E636" s="27" t="s">
        <v>370</v>
      </c>
      <c r="F636" s="20" t="s">
        <v>612</v>
      </c>
      <c r="H636" s="27">
        <v>0.497</v>
      </c>
      <c r="K636" s="27">
        <v>74</v>
      </c>
      <c r="AO636" s="20">
        <v>3</v>
      </c>
    </row>
    <row r="637" spans="1:41">
      <c r="A637" s="19">
        <f t="shared" si="154"/>
        <v>636</v>
      </c>
      <c r="B637" s="29" t="s">
        <v>197</v>
      </c>
      <c r="C637" s="29">
        <v>5</v>
      </c>
      <c r="D637" s="29" t="s">
        <v>364</v>
      </c>
      <c r="E637" s="27" t="s">
        <v>370</v>
      </c>
      <c r="F637" s="20" t="s">
        <v>611</v>
      </c>
      <c r="H637" s="27">
        <v>0.502</v>
      </c>
      <c r="K637" s="27">
        <v>74</v>
      </c>
      <c r="AO637" s="20">
        <v>3</v>
      </c>
    </row>
    <row r="638" spans="1:41">
      <c r="A638" s="19">
        <f t="shared" si="154"/>
        <v>637</v>
      </c>
      <c r="B638" s="29" t="s">
        <v>197</v>
      </c>
      <c r="C638" s="29">
        <v>5</v>
      </c>
      <c r="D638" s="29" t="s">
        <v>364</v>
      </c>
      <c r="E638" s="27" t="s">
        <v>559</v>
      </c>
      <c r="F638" s="20" t="s">
        <v>613</v>
      </c>
      <c r="H638" s="27">
        <v>0.55800000000000005</v>
      </c>
      <c r="K638" s="27">
        <v>88</v>
      </c>
      <c r="AO638" s="20">
        <v>3</v>
      </c>
    </row>
    <row r="639" spans="1:41">
      <c r="A639" s="19">
        <f t="shared" si="154"/>
        <v>638</v>
      </c>
      <c r="B639" s="29" t="s">
        <v>197</v>
      </c>
      <c r="C639" s="29">
        <v>5</v>
      </c>
      <c r="D639" s="29" t="s">
        <v>364</v>
      </c>
      <c r="E639" s="27" t="s">
        <v>559</v>
      </c>
      <c r="F639" s="20" t="s">
        <v>614</v>
      </c>
      <c r="G639" s="27">
        <v>1.02</v>
      </c>
      <c r="H639" s="27">
        <v>0.42</v>
      </c>
      <c r="K639" s="27">
        <v>50.6</v>
      </c>
      <c r="AO639" s="20">
        <v>3</v>
      </c>
    </row>
    <row r="640" spans="1:41">
      <c r="A640" s="19">
        <f t="shared" si="154"/>
        <v>639</v>
      </c>
      <c r="B640" s="29" t="s">
        <v>197</v>
      </c>
      <c r="C640" s="29">
        <v>5</v>
      </c>
      <c r="D640" s="29" t="s">
        <v>364</v>
      </c>
      <c r="E640" s="27" t="s">
        <v>574</v>
      </c>
      <c r="F640" s="20" t="s">
        <v>615</v>
      </c>
      <c r="H640" s="27">
        <v>0.53400000000000003</v>
      </c>
      <c r="K640" s="27">
        <v>83</v>
      </c>
      <c r="AO640" s="20">
        <v>3</v>
      </c>
    </row>
    <row r="641" spans="1:41">
      <c r="A641" s="19">
        <f t="shared" si="154"/>
        <v>640</v>
      </c>
      <c r="B641" s="29" t="s">
        <v>197</v>
      </c>
      <c r="C641" s="29">
        <v>5</v>
      </c>
      <c r="D641" s="29" t="s">
        <v>364</v>
      </c>
      <c r="E641" s="27" t="s">
        <v>574</v>
      </c>
      <c r="F641" s="20" t="s">
        <v>616</v>
      </c>
      <c r="H641" s="27">
        <v>0.56000000000000005</v>
      </c>
      <c r="AO641" s="20">
        <v>3</v>
      </c>
    </row>
    <row r="642" spans="1:41">
      <c r="A642" s="19">
        <f t="shared" si="154"/>
        <v>641</v>
      </c>
      <c r="B642" s="29" t="s">
        <v>197</v>
      </c>
      <c r="C642" s="29">
        <v>5</v>
      </c>
      <c r="D642" s="29" t="s">
        <v>364</v>
      </c>
      <c r="E642" s="27" t="s">
        <v>560</v>
      </c>
      <c r="F642" s="20" t="s">
        <v>617</v>
      </c>
      <c r="H642" s="27">
        <v>0.53100000000000003</v>
      </c>
      <c r="K642" s="27">
        <v>67</v>
      </c>
      <c r="AO642" s="20">
        <v>3</v>
      </c>
    </row>
    <row r="643" spans="1:41">
      <c r="A643" s="19">
        <f t="shared" ref="A643:A706" si="155">A642+1</f>
        <v>642</v>
      </c>
      <c r="B643" s="29" t="s">
        <v>197</v>
      </c>
      <c r="C643" s="29">
        <v>5</v>
      </c>
      <c r="D643" s="29" t="s">
        <v>364</v>
      </c>
      <c r="E643" s="27" t="s">
        <v>573</v>
      </c>
      <c r="F643" s="20" t="s">
        <v>618</v>
      </c>
      <c r="H643" s="27">
        <v>0.498</v>
      </c>
      <c r="K643" s="27">
        <v>73</v>
      </c>
      <c r="AO643" s="20">
        <v>3</v>
      </c>
    </row>
    <row r="644" spans="1:41">
      <c r="A644" s="19">
        <f t="shared" si="155"/>
        <v>643</v>
      </c>
      <c r="B644" s="29" t="s">
        <v>197</v>
      </c>
      <c r="C644" s="29">
        <v>5</v>
      </c>
      <c r="D644" s="29" t="s">
        <v>364</v>
      </c>
      <c r="E644" s="27" t="s">
        <v>561</v>
      </c>
      <c r="F644" s="20" t="s">
        <v>619</v>
      </c>
      <c r="H644" s="27">
        <v>0.19700000000000001</v>
      </c>
      <c r="K644" s="27">
        <v>4.3</v>
      </c>
      <c r="AO644" s="20">
        <v>3</v>
      </c>
    </row>
    <row r="645" spans="1:41">
      <c r="A645" s="19">
        <f t="shared" si="155"/>
        <v>644</v>
      </c>
      <c r="B645" s="29" t="s">
        <v>197</v>
      </c>
      <c r="C645" s="29">
        <v>5</v>
      </c>
      <c r="D645" s="29" t="s">
        <v>364</v>
      </c>
      <c r="E645" s="27" t="s">
        <v>562</v>
      </c>
      <c r="F645" s="20" t="s">
        <v>620</v>
      </c>
      <c r="G645" s="27">
        <v>1.04</v>
      </c>
      <c r="H645" s="27">
        <v>0.20899999999999999</v>
      </c>
      <c r="AO645" s="20">
        <v>3</v>
      </c>
    </row>
    <row r="646" spans="1:41">
      <c r="A646" s="19">
        <f t="shared" si="155"/>
        <v>645</v>
      </c>
      <c r="B646" s="29" t="s">
        <v>197</v>
      </c>
      <c r="C646" s="29">
        <v>5</v>
      </c>
      <c r="D646" s="29" t="s">
        <v>364</v>
      </c>
      <c r="E646" s="27" t="s">
        <v>562</v>
      </c>
      <c r="F646" s="20" t="s">
        <v>621</v>
      </c>
      <c r="G646" s="27">
        <v>1.07</v>
      </c>
      <c r="H646" s="27">
        <v>0.64900000000000002</v>
      </c>
      <c r="AO646" s="20">
        <v>3</v>
      </c>
    </row>
    <row r="647" spans="1:41">
      <c r="A647" s="19">
        <f t="shared" si="155"/>
        <v>646</v>
      </c>
      <c r="B647" s="29" t="s">
        <v>219</v>
      </c>
      <c r="C647" s="29">
        <v>5</v>
      </c>
      <c r="D647" s="29" t="s">
        <v>364</v>
      </c>
      <c r="E647" s="27" t="s">
        <v>918</v>
      </c>
      <c r="G647" s="27">
        <v>0.57999999999999996</v>
      </c>
      <c r="AO647" s="20">
        <v>4</v>
      </c>
    </row>
    <row r="648" spans="1:41">
      <c r="A648" s="19">
        <f t="shared" si="155"/>
        <v>647</v>
      </c>
      <c r="B648" s="29" t="s">
        <v>219</v>
      </c>
      <c r="C648" s="29">
        <v>5</v>
      </c>
      <c r="D648" s="29" t="s">
        <v>364</v>
      </c>
      <c r="E648" s="27" t="s">
        <v>919</v>
      </c>
      <c r="G648" s="27">
        <v>0.77</v>
      </c>
      <c r="AO648" s="20">
        <v>4</v>
      </c>
    </row>
    <row r="649" spans="1:41">
      <c r="A649" s="19">
        <f t="shared" si="155"/>
        <v>648</v>
      </c>
      <c r="B649" s="29" t="s">
        <v>219</v>
      </c>
      <c r="C649" s="29">
        <v>5</v>
      </c>
      <c r="D649" s="29" t="s">
        <v>364</v>
      </c>
      <c r="E649" s="27" t="s">
        <v>920</v>
      </c>
      <c r="G649" s="27">
        <v>0.37</v>
      </c>
      <c r="AO649" s="20">
        <v>4</v>
      </c>
    </row>
    <row r="650" spans="1:41">
      <c r="A650" s="19">
        <f t="shared" si="155"/>
        <v>649</v>
      </c>
      <c r="B650" s="29" t="s">
        <v>219</v>
      </c>
      <c r="C650" s="29">
        <v>5</v>
      </c>
      <c r="D650" s="29" t="s">
        <v>364</v>
      </c>
      <c r="E650" s="27" t="s">
        <v>921</v>
      </c>
      <c r="G650" s="27">
        <v>0.6</v>
      </c>
      <c r="AO650" s="20">
        <v>4</v>
      </c>
    </row>
    <row r="651" spans="1:41">
      <c r="A651" s="19">
        <f t="shared" si="155"/>
        <v>650</v>
      </c>
      <c r="B651" s="29" t="s">
        <v>219</v>
      </c>
      <c r="C651" s="29">
        <v>5</v>
      </c>
      <c r="D651" s="29" t="s">
        <v>364</v>
      </c>
      <c r="E651" s="27" t="s">
        <v>922</v>
      </c>
      <c r="G651" s="27">
        <v>0.35</v>
      </c>
      <c r="AO651" s="20">
        <v>4</v>
      </c>
    </row>
    <row r="652" spans="1:41">
      <c r="A652" s="19">
        <f t="shared" si="155"/>
        <v>651</v>
      </c>
      <c r="B652" s="29" t="s">
        <v>219</v>
      </c>
      <c r="C652" s="29">
        <v>5</v>
      </c>
      <c r="D652" s="29" t="s">
        <v>364</v>
      </c>
      <c r="E652" s="27" t="s">
        <v>923</v>
      </c>
      <c r="G652" s="27">
        <v>0.48</v>
      </c>
      <c r="AO652" s="20">
        <v>4</v>
      </c>
    </row>
    <row r="653" spans="1:41">
      <c r="A653" s="19">
        <f t="shared" si="155"/>
        <v>652</v>
      </c>
      <c r="B653" s="29" t="s">
        <v>219</v>
      </c>
      <c r="C653" s="29">
        <v>5</v>
      </c>
      <c r="D653" s="29" t="s">
        <v>364</v>
      </c>
      <c r="E653" s="27" t="s">
        <v>924</v>
      </c>
      <c r="G653" s="27">
        <v>0.62</v>
      </c>
      <c r="AO653" s="20">
        <v>4</v>
      </c>
    </row>
    <row r="654" spans="1:41">
      <c r="A654" s="19">
        <f t="shared" si="155"/>
        <v>653</v>
      </c>
      <c r="B654" s="29" t="s">
        <v>219</v>
      </c>
      <c r="C654" s="29">
        <v>5</v>
      </c>
      <c r="D654" s="29" t="s">
        <v>364</v>
      </c>
      <c r="E654" s="27" t="s">
        <v>925</v>
      </c>
      <c r="G654" s="27">
        <v>0.72</v>
      </c>
      <c r="AO654" s="20">
        <v>4</v>
      </c>
    </row>
    <row r="655" spans="1:41">
      <c r="A655" s="19">
        <f t="shared" si="155"/>
        <v>654</v>
      </c>
      <c r="B655" s="29" t="s">
        <v>219</v>
      </c>
      <c r="C655" s="29">
        <v>5</v>
      </c>
      <c r="D655" s="29" t="s">
        <v>364</v>
      </c>
      <c r="E655" s="27" t="s">
        <v>926</v>
      </c>
      <c r="G655" s="27">
        <v>0.88</v>
      </c>
      <c r="AO655" s="20">
        <v>4</v>
      </c>
    </row>
    <row r="656" spans="1:41">
      <c r="A656" s="19">
        <f t="shared" si="155"/>
        <v>655</v>
      </c>
      <c r="B656" s="29" t="s">
        <v>219</v>
      </c>
      <c r="C656" s="29">
        <v>5</v>
      </c>
      <c r="D656" s="29" t="s">
        <v>364</v>
      </c>
      <c r="E656" s="27" t="s">
        <v>927</v>
      </c>
      <c r="G656" s="27">
        <v>0.57999999999999996</v>
      </c>
      <c r="AO656" s="20">
        <v>4</v>
      </c>
    </row>
    <row r="657" spans="1:41">
      <c r="A657" s="19">
        <f t="shared" si="155"/>
        <v>656</v>
      </c>
      <c r="B657" s="29" t="s">
        <v>219</v>
      </c>
      <c r="C657" s="29">
        <v>5</v>
      </c>
      <c r="D657" s="29" t="s">
        <v>364</v>
      </c>
      <c r="E657" s="27" t="s">
        <v>928</v>
      </c>
      <c r="G657" s="27">
        <v>0.96</v>
      </c>
      <c r="AO657" s="20">
        <v>4</v>
      </c>
    </row>
    <row r="658" spans="1:41">
      <c r="A658" s="19">
        <f t="shared" si="155"/>
        <v>657</v>
      </c>
      <c r="B658" s="29" t="s">
        <v>219</v>
      </c>
      <c r="C658" s="29">
        <v>5</v>
      </c>
      <c r="D658" s="29" t="s">
        <v>364</v>
      </c>
      <c r="E658" s="27" t="s">
        <v>929</v>
      </c>
      <c r="G658" s="27">
        <v>0.93</v>
      </c>
      <c r="AO658" s="20">
        <v>4</v>
      </c>
    </row>
    <row r="659" spans="1:41">
      <c r="A659" s="19">
        <f t="shared" si="155"/>
        <v>658</v>
      </c>
      <c r="B659" s="29" t="s">
        <v>219</v>
      </c>
      <c r="C659" s="29">
        <v>5</v>
      </c>
      <c r="D659" s="29" t="s">
        <v>364</v>
      </c>
      <c r="E659" s="27" t="s">
        <v>930</v>
      </c>
      <c r="G659" s="27">
        <v>0.56000000000000005</v>
      </c>
      <c r="AO659" s="20">
        <v>4</v>
      </c>
    </row>
    <row r="660" spans="1:41">
      <c r="A660" s="19">
        <f t="shared" si="155"/>
        <v>659</v>
      </c>
      <c r="B660" s="29" t="s">
        <v>219</v>
      </c>
      <c r="C660" s="29">
        <v>5</v>
      </c>
      <c r="D660" s="29" t="s">
        <v>364</v>
      </c>
      <c r="E660" s="27" t="s">
        <v>931</v>
      </c>
      <c r="G660" s="27">
        <v>0.83</v>
      </c>
      <c r="AO660" s="20">
        <v>4</v>
      </c>
    </row>
    <row r="661" spans="1:41">
      <c r="A661" s="19">
        <f t="shared" si="155"/>
        <v>660</v>
      </c>
      <c r="B661" s="29" t="s">
        <v>219</v>
      </c>
      <c r="C661" s="29">
        <v>5</v>
      </c>
      <c r="D661" s="29" t="s">
        <v>364</v>
      </c>
      <c r="E661" s="27" t="s">
        <v>932</v>
      </c>
      <c r="G661" s="27">
        <v>0.63</v>
      </c>
      <c r="AO661" s="20">
        <v>4</v>
      </c>
    </row>
    <row r="662" spans="1:41">
      <c r="A662" s="19">
        <f t="shared" si="155"/>
        <v>661</v>
      </c>
      <c r="B662" s="29" t="s">
        <v>219</v>
      </c>
      <c r="C662" s="29">
        <v>5</v>
      </c>
      <c r="D662" s="29" t="s">
        <v>364</v>
      </c>
      <c r="E662" s="27" t="s">
        <v>933</v>
      </c>
      <c r="G662" s="27">
        <v>0.97</v>
      </c>
      <c r="AO662" s="20">
        <v>4</v>
      </c>
    </row>
    <row r="663" spans="1:41">
      <c r="A663" s="19">
        <f t="shared" si="155"/>
        <v>662</v>
      </c>
      <c r="B663" s="29" t="s">
        <v>219</v>
      </c>
      <c r="C663" s="29">
        <v>5</v>
      </c>
      <c r="D663" s="29" t="s">
        <v>364</v>
      </c>
      <c r="E663" s="27" t="s">
        <v>934</v>
      </c>
      <c r="G663" s="27">
        <v>0.7</v>
      </c>
      <c r="AO663" s="20">
        <v>4</v>
      </c>
    </row>
    <row r="664" spans="1:41">
      <c r="A664" s="19">
        <f t="shared" si="155"/>
        <v>663</v>
      </c>
      <c r="B664" s="29" t="s">
        <v>219</v>
      </c>
      <c r="C664" s="29">
        <v>5</v>
      </c>
      <c r="D664" s="29" t="s">
        <v>364</v>
      </c>
      <c r="E664" s="27" t="s">
        <v>935</v>
      </c>
      <c r="G664" s="27">
        <v>0.93</v>
      </c>
      <c r="AO664" s="20">
        <v>4</v>
      </c>
    </row>
    <row r="665" spans="1:41">
      <c r="A665" s="19">
        <f t="shared" si="155"/>
        <v>664</v>
      </c>
      <c r="B665" s="29" t="s">
        <v>219</v>
      </c>
      <c r="C665" s="29">
        <v>5</v>
      </c>
      <c r="D665" s="29" t="s">
        <v>364</v>
      </c>
      <c r="E665" s="27" t="s">
        <v>712</v>
      </c>
      <c r="G665" s="27">
        <v>0.7</v>
      </c>
      <c r="AO665" s="20">
        <v>4</v>
      </c>
    </row>
    <row r="666" spans="1:41" s="18" customFormat="1">
      <c r="A666" s="19">
        <f t="shared" si="155"/>
        <v>665</v>
      </c>
      <c r="B666" s="24" t="s">
        <v>219</v>
      </c>
      <c r="C666" s="29">
        <v>5</v>
      </c>
      <c r="D666" s="24" t="s">
        <v>364</v>
      </c>
      <c r="E666" s="18" t="s">
        <v>713</v>
      </c>
      <c r="F666" s="23"/>
      <c r="G666" s="18">
        <v>0.91900000000000004</v>
      </c>
      <c r="I666" s="23"/>
      <c r="J666" s="23"/>
      <c r="N666" s="23"/>
      <c r="O666" s="23"/>
      <c r="S666" s="23"/>
      <c r="T666" s="23"/>
      <c r="U666" s="23"/>
      <c r="AA666" s="23"/>
      <c r="AB666" s="23"/>
      <c r="AH666" s="23"/>
      <c r="AK666" s="23"/>
      <c r="AN666" s="23"/>
      <c r="AO666" s="23">
        <v>4</v>
      </c>
    </row>
    <row r="667" spans="1:41">
      <c r="A667" s="102">
        <f t="shared" si="155"/>
        <v>666</v>
      </c>
      <c r="B667" s="29" t="s">
        <v>219</v>
      </c>
      <c r="C667" s="103">
        <v>6</v>
      </c>
      <c r="D667" s="29" t="s">
        <v>1226</v>
      </c>
      <c r="E667" s="29" t="s">
        <v>238</v>
      </c>
      <c r="F667" s="19"/>
      <c r="G667" s="29">
        <v>1.1519999999999999</v>
      </c>
      <c r="H667" s="29">
        <v>0.33500000000000002</v>
      </c>
      <c r="I667" s="19">
        <v>3.105</v>
      </c>
      <c r="K667" s="29"/>
      <c r="L667" s="29"/>
      <c r="M667" s="29"/>
      <c r="N667" s="19"/>
      <c r="V667" s="33"/>
      <c r="W667" s="33"/>
      <c r="X667" s="33"/>
      <c r="Y667" s="33"/>
      <c r="Z667" s="33"/>
      <c r="AA667" s="19"/>
      <c r="AB667" s="20">
        <f>SUM(V667:AA667)</f>
        <v>0</v>
      </c>
      <c r="AI667" s="29"/>
      <c r="AL667" s="29"/>
      <c r="AO667" s="20">
        <v>53</v>
      </c>
    </row>
    <row r="668" spans="1:41">
      <c r="A668" s="19">
        <f t="shared" si="155"/>
        <v>667</v>
      </c>
      <c r="B668" s="29" t="s">
        <v>197</v>
      </c>
      <c r="C668" s="29">
        <v>6</v>
      </c>
      <c r="D668" s="29" t="s">
        <v>1226</v>
      </c>
      <c r="E668" s="29" t="s">
        <v>533</v>
      </c>
      <c r="F668" s="19" t="s">
        <v>362</v>
      </c>
      <c r="G668" s="29"/>
      <c r="H668" s="29"/>
      <c r="I668" s="19">
        <v>1.9</v>
      </c>
      <c r="K668" s="29">
        <v>10.9</v>
      </c>
      <c r="L668" s="29"/>
      <c r="M668" s="29"/>
      <c r="N668" s="19">
        <v>0.4</v>
      </c>
      <c r="AO668" s="20">
        <v>3</v>
      </c>
    </row>
    <row r="669" spans="1:41">
      <c r="A669" s="19">
        <f t="shared" si="155"/>
        <v>668</v>
      </c>
      <c r="B669" s="29" t="s">
        <v>197</v>
      </c>
      <c r="C669" s="29">
        <v>6</v>
      </c>
      <c r="D669" s="29" t="s">
        <v>1226</v>
      </c>
      <c r="E669" s="29" t="s">
        <v>533</v>
      </c>
      <c r="F669" s="19" t="s">
        <v>363</v>
      </c>
      <c r="G669" s="29"/>
      <c r="H669" s="29"/>
      <c r="I669" s="19">
        <v>2.02</v>
      </c>
      <c r="K669" s="29">
        <v>16.399999999999999</v>
      </c>
      <c r="M669" s="29"/>
      <c r="N669" s="19">
        <v>0.3</v>
      </c>
      <c r="AO669" s="20">
        <v>3</v>
      </c>
    </row>
    <row r="670" spans="1:41">
      <c r="A670" s="19">
        <f t="shared" si="155"/>
        <v>669</v>
      </c>
      <c r="B670" s="29" t="s">
        <v>197</v>
      </c>
      <c r="C670" s="29">
        <v>6</v>
      </c>
      <c r="D670" s="29" t="s">
        <v>1226</v>
      </c>
      <c r="E670" s="29" t="s">
        <v>533</v>
      </c>
      <c r="F670" s="19" t="s">
        <v>361</v>
      </c>
      <c r="G670" s="29"/>
      <c r="H670" s="29"/>
      <c r="I670" s="19">
        <v>1.83</v>
      </c>
      <c r="K670" s="29">
        <v>1.3</v>
      </c>
      <c r="L670" s="29"/>
      <c r="M670" s="29"/>
      <c r="N670" s="19">
        <v>1.5</v>
      </c>
      <c r="AO670" s="20">
        <v>3</v>
      </c>
    </row>
    <row r="671" spans="1:41">
      <c r="A671" s="19">
        <f t="shared" si="155"/>
        <v>670</v>
      </c>
      <c r="B671" s="29" t="s">
        <v>219</v>
      </c>
      <c r="C671" s="29">
        <v>6</v>
      </c>
      <c r="D671" s="29" t="s">
        <v>1226</v>
      </c>
      <c r="E671" s="29" t="s">
        <v>533</v>
      </c>
      <c r="F671" s="19" t="s">
        <v>330</v>
      </c>
      <c r="G671" s="29"/>
      <c r="H671" s="29"/>
      <c r="I671" s="19">
        <v>1.77</v>
      </c>
      <c r="K671" s="29">
        <v>1.8</v>
      </c>
      <c r="L671" s="29"/>
      <c r="M671" s="29"/>
      <c r="N671" s="19">
        <v>1.5</v>
      </c>
      <c r="AO671" s="20">
        <v>3</v>
      </c>
    </row>
    <row r="672" spans="1:41">
      <c r="A672" s="19">
        <f t="shared" si="155"/>
        <v>671</v>
      </c>
      <c r="B672" s="29" t="s">
        <v>197</v>
      </c>
      <c r="C672" s="29">
        <v>6</v>
      </c>
      <c r="D672" s="29" t="s">
        <v>1226</v>
      </c>
      <c r="E672" s="29" t="s">
        <v>329</v>
      </c>
      <c r="F672" s="19" t="s">
        <v>407</v>
      </c>
      <c r="G672" s="29"/>
      <c r="H672" s="29"/>
      <c r="I672" s="19">
        <v>2.04</v>
      </c>
      <c r="K672" s="29">
        <v>4.0999999999999996</v>
      </c>
      <c r="M672" s="29"/>
      <c r="N672" s="19">
        <v>2.04</v>
      </c>
      <c r="AO672" s="20">
        <v>3</v>
      </c>
    </row>
    <row r="673" spans="1:41">
      <c r="A673" s="19">
        <f t="shared" si="155"/>
        <v>672</v>
      </c>
      <c r="B673" s="29" t="s">
        <v>197</v>
      </c>
      <c r="C673" s="29">
        <v>6</v>
      </c>
      <c r="D673" s="29" t="s">
        <v>1226</v>
      </c>
      <c r="E673" s="29" t="s">
        <v>329</v>
      </c>
      <c r="F673" s="19" t="s">
        <v>408</v>
      </c>
      <c r="G673" s="29"/>
      <c r="H673" s="29"/>
      <c r="I673" s="19">
        <v>1.99</v>
      </c>
      <c r="K673" s="29">
        <v>2.8</v>
      </c>
      <c r="L673" s="29"/>
      <c r="M673" s="29"/>
      <c r="N673" s="19">
        <v>1.99</v>
      </c>
      <c r="AO673" s="20">
        <v>3</v>
      </c>
    </row>
    <row r="674" spans="1:41">
      <c r="A674" s="19">
        <f t="shared" si="155"/>
        <v>673</v>
      </c>
      <c r="B674" s="29" t="s">
        <v>197</v>
      </c>
      <c r="C674" s="29">
        <v>6</v>
      </c>
      <c r="D674" s="29" t="s">
        <v>1226</v>
      </c>
      <c r="E674" s="29" t="s">
        <v>359</v>
      </c>
      <c r="F674" s="19" t="s">
        <v>415</v>
      </c>
      <c r="G674" s="29"/>
      <c r="H674" s="29"/>
      <c r="I674" s="19">
        <v>3.55</v>
      </c>
      <c r="K674" s="29">
        <v>69</v>
      </c>
      <c r="L674" s="29"/>
      <c r="M674" s="29"/>
      <c r="N674" s="19">
        <v>3.55</v>
      </c>
      <c r="AO674" s="20">
        <v>3</v>
      </c>
    </row>
    <row r="675" spans="1:41">
      <c r="A675" s="19">
        <f t="shared" si="155"/>
        <v>674</v>
      </c>
      <c r="B675" s="29" t="s">
        <v>197</v>
      </c>
      <c r="C675" s="29">
        <v>6</v>
      </c>
      <c r="D675" s="29" t="s">
        <v>1226</v>
      </c>
      <c r="E675" s="27" t="s">
        <v>571</v>
      </c>
      <c r="F675" s="20" t="s">
        <v>649</v>
      </c>
      <c r="G675" s="27">
        <v>0.15</v>
      </c>
      <c r="H675" s="27">
        <v>9.9000000000000005E-2</v>
      </c>
      <c r="K675" s="27">
        <v>36.1</v>
      </c>
      <c r="AO675" s="20">
        <v>3</v>
      </c>
    </row>
    <row r="676" spans="1:41">
      <c r="A676" s="19">
        <f t="shared" si="155"/>
        <v>675</v>
      </c>
      <c r="B676" s="29" t="s">
        <v>197</v>
      </c>
      <c r="C676" s="29">
        <v>6</v>
      </c>
      <c r="D676" s="29" t="s">
        <v>1226</v>
      </c>
      <c r="E676" s="27" t="s">
        <v>571</v>
      </c>
      <c r="F676" s="20" t="s">
        <v>650</v>
      </c>
      <c r="G676" s="27">
        <v>0.3</v>
      </c>
      <c r="H676" s="27">
        <v>7.9000000000000001E-2</v>
      </c>
      <c r="K676" s="27">
        <v>23.7</v>
      </c>
      <c r="AO676" s="20">
        <v>3</v>
      </c>
    </row>
    <row r="677" spans="1:41">
      <c r="A677" s="19">
        <f t="shared" si="155"/>
        <v>676</v>
      </c>
      <c r="B677" s="29" t="s">
        <v>197</v>
      </c>
      <c r="C677" s="29">
        <v>6</v>
      </c>
      <c r="D677" s="29" t="s">
        <v>1226</v>
      </c>
      <c r="E677" s="27" t="s">
        <v>571</v>
      </c>
      <c r="F677" s="20" t="s">
        <v>651</v>
      </c>
      <c r="G677" s="27">
        <v>0.32</v>
      </c>
      <c r="H677" s="27">
        <v>8.4000000000000005E-2</v>
      </c>
      <c r="K677" s="27">
        <v>21.6</v>
      </c>
      <c r="AO677" s="20">
        <v>3</v>
      </c>
    </row>
    <row r="678" spans="1:41">
      <c r="A678" s="19">
        <f t="shared" si="155"/>
        <v>677</v>
      </c>
      <c r="B678" s="29" t="s">
        <v>197</v>
      </c>
      <c r="C678" s="29">
        <v>6</v>
      </c>
      <c r="D678" s="29" t="s">
        <v>1226</v>
      </c>
      <c r="E678" s="27" t="s">
        <v>571</v>
      </c>
      <c r="F678" s="20" t="s">
        <v>652</v>
      </c>
      <c r="G678" s="27">
        <v>0.34</v>
      </c>
      <c r="H678" s="27">
        <v>0.106</v>
      </c>
      <c r="K678" s="27">
        <v>31.9</v>
      </c>
      <c r="AO678" s="20">
        <v>3</v>
      </c>
    </row>
    <row r="679" spans="1:41">
      <c r="A679" s="19">
        <f t="shared" si="155"/>
        <v>678</v>
      </c>
      <c r="B679" s="29" t="s">
        <v>197</v>
      </c>
      <c r="C679" s="29">
        <v>6</v>
      </c>
      <c r="D679" s="29" t="s">
        <v>1226</v>
      </c>
      <c r="E679" s="27" t="s">
        <v>571</v>
      </c>
      <c r="F679" s="20" t="s">
        <v>653</v>
      </c>
      <c r="G679" s="27">
        <v>0.48</v>
      </c>
      <c r="H679" s="27">
        <v>0.13100000000000001</v>
      </c>
      <c r="K679" s="27">
        <v>22.7</v>
      </c>
      <c r="AO679" s="20">
        <v>3</v>
      </c>
    </row>
    <row r="680" spans="1:41">
      <c r="A680" s="19">
        <f t="shared" si="155"/>
        <v>679</v>
      </c>
      <c r="B680" s="29" t="s">
        <v>197</v>
      </c>
      <c r="C680" s="29">
        <v>6</v>
      </c>
      <c r="D680" s="29" t="s">
        <v>1226</v>
      </c>
      <c r="E680" s="27" t="s">
        <v>571</v>
      </c>
      <c r="F680" s="20" t="s">
        <v>654</v>
      </c>
      <c r="G680" s="27">
        <v>0.3</v>
      </c>
      <c r="H680" s="27">
        <v>0.11</v>
      </c>
      <c r="K680" s="27">
        <v>25.1</v>
      </c>
      <c r="AO680" s="20">
        <v>3</v>
      </c>
    </row>
    <row r="681" spans="1:41">
      <c r="A681" s="19">
        <f t="shared" si="155"/>
        <v>680</v>
      </c>
      <c r="B681" s="29" t="s">
        <v>197</v>
      </c>
      <c r="C681" s="29">
        <v>6</v>
      </c>
      <c r="D681" s="29" t="s">
        <v>1226</v>
      </c>
      <c r="E681" s="27" t="s">
        <v>567</v>
      </c>
      <c r="F681" s="20" t="s">
        <v>618</v>
      </c>
      <c r="G681" s="27">
        <v>1</v>
      </c>
      <c r="H681" s="27">
        <v>0.23300000000000001</v>
      </c>
      <c r="AO681" s="20">
        <v>3</v>
      </c>
    </row>
    <row r="682" spans="1:41">
      <c r="A682" s="19">
        <f t="shared" si="155"/>
        <v>681</v>
      </c>
      <c r="B682" s="29" t="s">
        <v>197</v>
      </c>
      <c r="C682" s="29">
        <v>6</v>
      </c>
      <c r="D682" s="29" t="s">
        <v>1226</v>
      </c>
      <c r="E682" s="27" t="s">
        <v>571</v>
      </c>
      <c r="F682" s="20" t="s">
        <v>655</v>
      </c>
      <c r="G682" s="27">
        <v>0.45</v>
      </c>
      <c r="H682" s="27">
        <v>8.2000000000000003E-2</v>
      </c>
      <c r="K682" s="27">
        <v>32.299999999999997</v>
      </c>
      <c r="AO682" s="20">
        <v>3</v>
      </c>
    </row>
    <row r="683" spans="1:41">
      <c r="A683" s="19">
        <f t="shared" si="155"/>
        <v>682</v>
      </c>
      <c r="B683" s="29" t="s">
        <v>219</v>
      </c>
      <c r="C683" s="29">
        <v>6</v>
      </c>
      <c r="D683" s="29" t="s">
        <v>1226</v>
      </c>
      <c r="E683" s="27" t="s">
        <v>714</v>
      </c>
      <c r="G683" s="27">
        <v>1</v>
      </c>
      <c r="AO683" s="20">
        <v>4</v>
      </c>
    </row>
    <row r="684" spans="1:41">
      <c r="A684" s="19">
        <f t="shared" si="155"/>
        <v>683</v>
      </c>
      <c r="B684" s="29" t="s">
        <v>219</v>
      </c>
      <c r="C684" s="29">
        <v>6</v>
      </c>
      <c r="D684" s="29" t="s">
        <v>1226</v>
      </c>
      <c r="E684" s="27" t="s">
        <v>715</v>
      </c>
      <c r="G684" s="27">
        <v>0.91</v>
      </c>
      <c r="AO684" s="20">
        <v>4</v>
      </c>
    </row>
    <row r="685" spans="1:41">
      <c r="A685" s="19">
        <f t="shared" si="155"/>
        <v>684</v>
      </c>
      <c r="B685" s="29" t="s">
        <v>219</v>
      </c>
      <c r="C685" s="29">
        <v>6</v>
      </c>
      <c r="D685" s="29" t="s">
        <v>1226</v>
      </c>
      <c r="E685" s="27" t="s">
        <v>716</v>
      </c>
      <c r="G685" s="27">
        <v>0.6</v>
      </c>
      <c r="AO685" s="20">
        <v>4</v>
      </c>
    </row>
    <row r="686" spans="1:41">
      <c r="A686" s="19">
        <f t="shared" si="155"/>
        <v>685</v>
      </c>
      <c r="B686" s="29" t="s">
        <v>219</v>
      </c>
      <c r="C686" s="29">
        <v>6</v>
      </c>
      <c r="D686" s="29" t="s">
        <v>1226</v>
      </c>
      <c r="E686" s="27" t="s">
        <v>717</v>
      </c>
      <c r="G686" s="27">
        <v>0.67</v>
      </c>
      <c r="AO686" s="20">
        <v>4</v>
      </c>
    </row>
    <row r="687" spans="1:41">
      <c r="A687" s="19">
        <f t="shared" si="155"/>
        <v>686</v>
      </c>
      <c r="B687" s="29" t="s">
        <v>219</v>
      </c>
      <c r="C687" s="29">
        <v>6</v>
      </c>
      <c r="D687" s="29" t="s">
        <v>1226</v>
      </c>
      <c r="E687" s="27" t="s">
        <v>936</v>
      </c>
      <c r="G687" s="27">
        <v>0.09</v>
      </c>
      <c r="AO687" s="20">
        <v>4</v>
      </c>
    </row>
    <row r="688" spans="1:41">
      <c r="A688" s="19">
        <f t="shared" si="155"/>
        <v>687</v>
      </c>
      <c r="B688" s="29" t="s">
        <v>219</v>
      </c>
      <c r="C688" s="29">
        <v>6</v>
      </c>
      <c r="D688" s="29" t="s">
        <v>1226</v>
      </c>
      <c r="E688" s="27" t="s">
        <v>937</v>
      </c>
      <c r="G688" s="27">
        <v>0.12</v>
      </c>
      <c r="AO688" s="20">
        <v>4</v>
      </c>
    </row>
    <row r="689" spans="1:41" s="18" customFormat="1">
      <c r="A689" s="19">
        <f t="shared" si="155"/>
        <v>688</v>
      </c>
      <c r="B689" s="24" t="s">
        <v>219</v>
      </c>
      <c r="C689" s="29">
        <v>6</v>
      </c>
      <c r="D689" s="29" t="s">
        <v>1226</v>
      </c>
      <c r="E689" s="18" t="s">
        <v>938</v>
      </c>
      <c r="F689" s="23"/>
      <c r="G689" s="18">
        <v>0.11</v>
      </c>
      <c r="I689" s="23"/>
      <c r="J689" s="23"/>
      <c r="N689" s="23"/>
      <c r="O689" s="23"/>
      <c r="S689" s="23"/>
      <c r="T689" s="23"/>
      <c r="U689" s="23"/>
      <c r="AA689" s="23"/>
      <c r="AB689" s="23"/>
      <c r="AH689" s="23"/>
      <c r="AK689" s="23"/>
      <c r="AN689" s="23"/>
      <c r="AO689" s="23">
        <v>4</v>
      </c>
    </row>
    <row r="690" spans="1:41">
      <c r="A690" s="102">
        <f t="shared" si="155"/>
        <v>689</v>
      </c>
      <c r="B690" s="27" t="s">
        <v>219</v>
      </c>
      <c r="C690" s="105">
        <v>7</v>
      </c>
      <c r="D690" s="105" t="s">
        <v>942</v>
      </c>
      <c r="E690" s="27" t="s">
        <v>944</v>
      </c>
      <c r="F690" s="20" t="s">
        <v>945</v>
      </c>
      <c r="J690" s="20" t="s">
        <v>453</v>
      </c>
      <c r="K690" s="27">
        <v>86.5</v>
      </c>
      <c r="L690" s="27">
        <v>68.14</v>
      </c>
      <c r="M690" s="27">
        <v>7.39</v>
      </c>
      <c r="N690" s="20">
        <v>24.47</v>
      </c>
      <c r="O690" s="20">
        <v>186.49999999999997</v>
      </c>
      <c r="P690" s="27">
        <v>86.5</v>
      </c>
      <c r="Q690" s="27">
        <v>9.1989000000000001</v>
      </c>
      <c r="R690" s="27">
        <v>0.99765000000000004</v>
      </c>
      <c r="S690" s="20">
        <v>3.3034499999999998</v>
      </c>
      <c r="U690" s="20" t="s">
        <v>221</v>
      </c>
      <c r="V690" s="27">
        <v>40.92</v>
      </c>
      <c r="W690" s="27">
        <v>6.15</v>
      </c>
      <c r="X690" s="27">
        <v>6.95</v>
      </c>
      <c r="Y690" s="27">
        <v>0.67</v>
      </c>
      <c r="Z690" s="27">
        <v>20.84</v>
      </c>
      <c r="AB690" s="20">
        <v>75.53</v>
      </c>
      <c r="AC690" s="27">
        <v>54.177148153051768</v>
      </c>
      <c r="AD690" s="27">
        <v>8.142459949688865</v>
      </c>
      <c r="AE690" s="27">
        <v>9.2016417317622139</v>
      </c>
      <c r="AF690" s="27">
        <v>0.88706474248642919</v>
      </c>
      <c r="AG690" s="27">
        <v>27.591685423010723</v>
      </c>
      <c r="AJ690" s="27">
        <v>17.245999999999999</v>
      </c>
      <c r="AL690" s="27">
        <f t="shared" ref="AL690:AL693" si="156">AM690*(Q690+R690+S690)/(Q690+R690)</f>
        <v>22.833311267046202</v>
      </c>
      <c r="AM690" s="27">
        <v>17.245999999999999</v>
      </c>
      <c r="AN690" s="19">
        <f>AM690*(Q690+R690+S690)/(P690+Q690+R690+S690)</f>
        <v>2.3282099999999999</v>
      </c>
      <c r="AO690" s="20">
        <v>50</v>
      </c>
    </row>
    <row r="691" spans="1:41">
      <c r="A691" s="19">
        <f t="shared" si="155"/>
        <v>690</v>
      </c>
      <c r="B691" s="27" t="s">
        <v>219</v>
      </c>
      <c r="C691" s="27">
        <v>7</v>
      </c>
      <c r="D691" s="27" t="s">
        <v>942</v>
      </c>
      <c r="E691" s="27" t="s">
        <v>944</v>
      </c>
      <c r="F691" s="20" t="s">
        <v>946</v>
      </c>
      <c r="J691" s="20" t="s">
        <v>453</v>
      </c>
      <c r="K691" s="27">
        <v>67.599999999999994</v>
      </c>
      <c r="L691" s="27">
        <v>61.89</v>
      </c>
      <c r="M691" s="27">
        <v>1.7</v>
      </c>
      <c r="N691" s="20">
        <v>36.409999999999997</v>
      </c>
      <c r="O691" s="20">
        <v>167.6</v>
      </c>
      <c r="P691" s="27">
        <v>67.599999999999994</v>
      </c>
      <c r="Q691" s="27">
        <v>20.052360000000004</v>
      </c>
      <c r="R691" s="27">
        <v>0.55080000000000007</v>
      </c>
      <c r="S691" s="20">
        <v>11.796840000000001</v>
      </c>
      <c r="U691" s="20" t="s">
        <v>221</v>
      </c>
      <c r="V691" s="27">
        <v>43.31</v>
      </c>
      <c r="W691" s="27">
        <v>6.94</v>
      </c>
      <c r="X691" s="27">
        <v>1.63</v>
      </c>
      <c r="Y691" s="27">
        <v>0.11</v>
      </c>
      <c r="Z691" s="27">
        <v>11.6</v>
      </c>
      <c r="AB691" s="20">
        <v>63.59</v>
      </c>
      <c r="AC691" s="27">
        <v>68.108193112124539</v>
      </c>
      <c r="AD691" s="27">
        <v>10.91366567070294</v>
      </c>
      <c r="AE691" s="27">
        <v>2.5632961157414687</v>
      </c>
      <c r="AF691" s="27">
        <v>0.17298317345494574</v>
      </c>
      <c r="AG691" s="27">
        <v>18.241861927976096</v>
      </c>
      <c r="AJ691" s="27">
        <v>18.966000000000001</v>
      </c>
      <c r="AL691" s="27">
        <f t="shared" si="156"/>
        <v>29.825444252240924</v>
      </c>
      <c r="AM691" s="27">
        <v>18.966000000000001</v>
      </c>
      <c r="AN691" s="19">
        <f>AM691*(Q691+R691+S691)/(P691+Q691+R691+S691)</f>
        <v>6.1449840000000018</v>
      </c>
      <c r="AO691" s="20">
        <v>50</v>
      </c>
    </row>
    <row r="692" spans="1:41">
      <c r="A692" s="19">
        <f t="shared" si="155"/>
        <v>691</v>
      </c>
      <c r="B692" s="27" t="s">
        <v>219</v>
      </c>
      <c r="C692" s="27">
        <v>7</v>
      </c>
      <c r="D692" s="27" t="s">
        <v>942</v>
      </c>
      <c r="E692" s="27" t="s">
        <v>944</v>
      </c>
      <c r="F692" s="20" t="s">
        <v>947</v>
      </c>
      <c r="J692" s="20" t="s">
        <v>453</v>
      </c>
      <c r="K692" s="27">
        <v>94.54</v>
      </c>
      <c r="L692" s="27">
        <v>77.459999999999994</v>
      </c>
      <c r="M692" s="27">
        <v>3.54</v>
      </c>
      <c r="N692" s="20">
        <v>19</v>
      </c>
      <c r="O692" s="20">
        <v>194.54</v>
      </c>
      <c r="P692" s="27">
        <v>94.54</v>
      </c>
      <c r="Q692" s="27">
        <v>4.2293159999999945</v>
      </c>
      <c r="R692" s="27">
        <v>0.19328399999999976</v>
      </c>
      <c r="S692" s="20">
        <v>1.0373999999999988</v>
      </c>
      <c r="U692" s="20" t="s">
        <v>221</v>
      </c>
      <c r="V692" s="27">
        <v>54.9</v>
      </c>
      <c r="W692" s="27">
        <v>8.7100000000000009</v>
      </c>
      <c r="X692" s="27">
        <v>2.37</v>
      </c>
      <c r="Y692" s="27">
        <v>0.4</v>
      </c>
      <c r="Z692" s="27">
        <v>14.62</v>
      </c>
      <c r="AB692" s="20">
        <v>81.000000000000014</v>
      </c>
      <c r="AC692" s="27">
        <v>67.777777777777771</v>
      </c>
      <c r="AD692" s="27">
        <v>10.753086419753085</v>
      </c>
      <c r="AE692" s="27">
        <v>2.9259259259259256</v>
      </c>
      <c r="AF692" s="27">
        <v>0.49382716049382708</v>
      </c>
      <c r="AG692" s="27">
        <v>18.049382716049379</v>
      </c>
      <c r="AJ692" s="27">
        <v>25.486999999999998</v>
      </c>
      <c r="AL692" s="27">
        <f t="shared" si="156"/>
        <v>31.465432098765429</v>
      </c>
      <c r="AM692" s="27">
        <v>25.486999999999998</v>
      </c>
      <c r="AN692" s="19">
        <f>AM692*(Q692+R692+S692)/(P692+Q692+R692+S692)</f>
        <v>1.3915901999999978</v>
      </c>
      <c r="AO692" s="20">
        <v>50</v>
      </c>
    </row>
    <row r="693" spans="1:41">
      <c r="A693" s="19">
        <f t="shared" si="155"/>
        <v>692</v>
      </c>
      <c r="B693" s="29" t="s">
        <v>219</v>
      </c>
      <c r="C693" s="27">
        <v>7</v>
      </c>
      <c r="D693" s="29" t="s">
        <v>942</v>
      </c>
      <c r="E693" s="29" t="s">
        <v>943</v>
      </c>
      <c r="F693" s="19" t="s">
        <v>394</v>
      </c>
      <c r="G693" s="29">
        <v>0.55000000000000004</v>
      </c>
      <c r="H693" s="29"/>
      <c r="I693" s="19"/>
      <c r="J693" s="20" t="s">
        <v>453</v>
      </c>
      <c r="K693" s="29">
        <v>93.16</v>
      </c>
      <c r="L693" s="29">
        <v>59.73</v>
      </c>
      <c r="M693" s="29">
        <v>8.51</v>
      </c>
      <c r="N693" s="19">
        <v>31.79</v>
      </c>
      <c r="O693" s="20">
        <v>193.18999999999997</v>
      </c>
      <c r="P693" s="27">
        <v>93.16</v>
      </c>
      <c r="Q693" s="27">
        <v>4.0855320000000015</v>
      </c>
      <c r="R693" s="27">
        <v>0.58208400000000027</v>
      </c>
      <c r="S693" s="20">
        <v>2.1744360000000009</v>
      </c>
      <c r="U693" s="20" t="s">
        <v>221</v>
      </c>
      <c r="V693" s="31">
        <v>35.92</v>
      </c>
      <c r="W693" s="31">
        <v>5.59</v>
      </c>
      <c r="X693" s="31">
        <v>5.76</v>
      </c>
      <c r="Y693" s="31">
        <v>0.85</v>
      </c>
      <c r="Z693" s="31">
        <v>19.899999999999999</v>
      </c>
      <c r="AA693" s="19">
        <v>0.18</v>
      </c>
      <c r="AB693" s="20">
        <v>68.200000000000017</v>
      </c>
      <c r="AC693" s="27">
        <v>52.668621700879754</v>
      </c>
      <c r="AD693" s="27">
        <v>8.1964809384164194</v>
      </c>
      <c r="AE693" s="27">
        <v>8.4457478005865081</v>
      </c>
      <c r="AF693" s="27">
        <v>1.2463343108504397</v>
      </c>
      <c r="AG693" s="27">
        <v>29.178885630498524</v>
      </c>
      <c r="AH693" s="20">
        <v>0.26392961876832838</v>
      </c>
      <c r="AI693" s="29"/>
      <c r="AJ693" s="27">
        <v>14.31</v>
      </c>
      <c r="AL693" s="27">
        <f t="shared" si="156"/>
        <v>20.97639654161782</v>
      </c>
      <c r="AM693" s="27">
        <v>14.31</v>
      </c>
      <c r="AN693" s="19">
        <f>AM693*(Q693+R693+S693)/(P693+Q693+R693+S693)</f>
        <v>0.97907755052866352</v>
      </c>
      <c r="AO693" s="20">
        <v>51</v>
      </c>
    </row>
    <row r="694" spans="1:41">
      <c r="A694" s="19">
        <f t="shared" si="155"/>
        <v>693</v>
      </c>
      <c r="B694" s="29" t="s">
        <v>219</v>
      </c>
      <c r="C694" s="27">
        <v>7</v>
      </c>
      <c r="D694" s="29" t="s">
        <v>942</v>
      </c>
      <c r="E694" s="29" t="s">
        <v>948</v>
      </c>
      <c r="F694" s="19"/>
      <c r="G694" s="29">
        <v>0.94230000000000003</v>
      </c>
      <c r="H694" s="29">
        <v>0.22700000000000001</v>
      </c>
      <c r="K694" s="29">
        <v>15.11</v>
      </c>
      <c r="L694" s="29"/>
      <c r="M694" s="29"/>
      <c r="N694" s="19">
        <v>0.12</v>
      </c>
      <c r="V694" s="31"/>
      <c r="W694" s="31"/>
      <c r="X694" s="31"/>
      <c r="Y694" s="31"/>
      <c r="Z694" s="31"/>
      <c r="AA694" s="19"/>
      <c r="AI694" s="29"/>
      <c r="AL694" s="29"/>
      <c r="AO694" s="20">
        <v>49</v>
      </c>
    </row>
    <row r="695" spans="1:41">
      <c r="A695" s="19">
        <f t="shared" si="155"/>
        <v>694</v>
      </c>
      <c r="B695" s="29" t="s">
        <v>219</v>
      </c>
      <c r="C695" s="27">
        <v>7</v>
      </c>
      <c r="D695" s="29" t="s">
        <v>942</v>
      </c>
      <c r="E695" s="29" t="s">
        <v>949</v>
      </c>
      <c r="F695" s="19"/>
      <c r="G695" s="29">
        <v>1.1020000000000001</v>
      </c>
      <c r="H695" s="29">
        <v>0.34499999999999997</v>
      </c>
      <c r="K695" s="29">
        <v>36</v>
      </c>
      <c r="L695" s="29"/>
      <c r="M695" s="29"/>
      <c r="N695" s="19">
        <v>4.07</v>
      </c>
      <c r="V695" s="31"/>
      <c r="W695" s="31"/>
      <c r="X695" s="31"/>
      <c r="Y695" s="31"/>
      <c r="Z695" s="31"/>
      <c r="AA695" s="19"/>
      <c r="AI695" s="29"/>
      <c r="AL695" s="29"/>
      <c r="AO695" s="20">
        <v>49</v>
      </c>
    </row>
    <row r="696" spans="1:41">
      <c r="A696" s="19">
        <f t="shared" si="155"/>
        <v>695</v>
      </c>
      <c r="B696" s="29" t="s">
        <v>219</v>
      </c>
      <c r="C696" s="27">
        <v>7</v>
      </c>
      <c r="D696" s="29" t="s">
        <v>942</v>
      </c>
      <c r="E696" s="29" t="s">
        <v>950</v>
      </c>
      <c r="F696" s="19"/>
      <c r="G696" s="29">
        <v>1.1140000000000001</v>
      </c>
      <c r="H696" s="29">
        <v>0.38100000000000001</v>
      </c>
      <c r="K696" s="29">
        <v>41</v>
      </c>
      <c r="L696" s="29"/>
      <c r="M696" s="29"/>
      <c r="N696" s="19">
        <v>5.84</v>
      </c>
      <c r="V696" s="31"/>
      <c r="W696" s="31"/>
      <c r="X696" s="31"/>
      <c r="Y696" s="31"/>
      <c r="Z696" s="31"/>
      <c r="AA696" s="19"/>
      <c r="AI696" s="29"/>
      <c r="AL696" s="29"/>
      <c r="AO696" s="20">
        <v>49</v>
      </c>
    </row>
    <row r="697" spans="1:41">
      <c r="A697" s="19">
        <f t="shared" si="155"/>
        <v>696</v>
      </c>
      <c r="B697" s="29" t="s">
        <v>219</v>
      </c>
      <c r="C697" s="27">
        <v>7</v>
      </c>
      <c r="D697" s="29" t="s">
        <v>942</v>
      </c>
      <c r="E697" s="29" t="s">
        <v>951</v>
      </c>
      <c r="F697" s="19"/>
      <c r="G697" s="29">
        <v>1.117</v>
      </c>
      <c r="H697" s="29">
        <v>0.36799999999999999</v>
      </c>
      <c r="K697" s="29">
        <v>41</v>
      </c>
      <c r="L697" s="29"/>
      <c r="M697" s="29"/>
      <c r="N697" s="19">
        <v>3.88</v>
      </c>
      <c r="V697" s="31"/>
      <c r="W697" s="31"/>
      <c r="X697" s="31"/>
      <c r="Y697" s="31"/>
      <c r="Z697" s="31"/>
      <c r="AA697" s="19"/>
      <c r="AI697" s="29"/>
      <c r="AL697" s="29"/>
      <c r="AO697" s="20">
        <v>49</v>
      </c>
    </row>
    <row r="698" spans="1:41">
      <c r="A698" s="19">
        <f t="shared" si="155"/>
        <v>697</v>
      </c>
      <c r="B698" s="29" t="s">
        <v>219</v>
      </c>
      <c r="C698" s="27">
        <v>7</v>
      </c>
      <c r="D698" s="29" t="s">
        <v>942</v>
      </c>
      <c r="E698" s="29" t="s">
        <v>952</v>
      </c>
      <c r="F698" s="19"/>
      <c r="G698" s="29">
        <v>1.1100000000000001</v>
      </c>
      <c r="H698" s="29">
        <v>0.379</v>
      </c>
      <c r="K698" s="29">
        <v>41</v>
      </c>
      <c r="L698" s="29"/>
      <c r="M698" s="29"/>
      <c r="N698" s="19">
        <v>3.76</v>
      </c>
      <c r="V698" s="31"/>
      <c r="W698" s="31"/>
      <c r="X698" s="31"/>
      <c r="Y698" s="31"/>
      <c r="Z698" s="31"/>
      <c r="AA698" s="19"/>
      <c r="AI698" s="29"/>
      <c r="AL698" s="29"/>
      <c r="AO698" s="20">
        <v>49</v>
      </c>
    </row>
    <row r="699" spans="1:41">
      <c r="A699" s="19">
        <f t="shared" si="155"/>
        <v>698</v>
      </c>
      <c r="B699" s="29" t="s">
        <v>219</v>
      </c>
      <c r="C699" s="27">
        <v>7</v>
      </c>
      <c r="D699" s="29" t="s">
        <v>942</v>
      </c>
      <c r="E699" s="29" t="s">
        <v>953</v>
      </c>
      <c r="F699" s="19"/>
      <c r="G699" s="29">
        <v>1.1817</v>
      </c>
      <c r="H699" s="29">
        <v>0.40300000000000002</v>
      </c>
      <c r="K699" s="29">
        <v>43.79</v>
      </c>
      <c r="L699" s="29"/>
      <c r="M699" s="29"/>
      <c r="N699" s="19">
        <v>2.99</v>
      </c>
      <c r="V699" s="31"/>
      <c r="W699" s="31"/>
      <c r="X699" s="31"/>
      <c r="Y699" s="31"/>
      <c r="Z699" s="31"/>
      <c r="AA699" s="19"/>
      <c r="AI699" s="29"/>
      <c r="AL699" s="29"/>
      <c r="AO699" s="20">
        <v>49</v>
      </c>
    </row>
    <row r="700" spans="1:41">
      <c r="A700" s="19">
        <f t="shared" si="155"/>
        <v>699</v>
      </c>
      <c r="B700" s="29" t="s">
        <v>219</v>
      </c>
      <c r="C700" s="27">
        <v>7</v>
      </c>
      <c r="D700" s="29" t="s">
        <v>942</v>
      </c>
      <c r="E700" s="29" t="s">
        <v>954</v>
      </c>
      <c r="F700" s="19"/>
      <c r="G700" s="29">
        <v>1.0624</v>
      </c>
      <c r="H700" s="29">
        <v>0.38300000000000001</v>
      </c>
      <c r="K700" s="29">
        <v>44.35</v>
      </c>
      <c r="L700" s="29"/>
      <c r="M700" s="29"/>
      <c r="N700" s="19">
        <v>3.32</v>
      </c>
      <c r="V700" s="31"/>
      <c r="W700" s="31"/>
      <c r="X700" s="31"/>
      <c r="Y700" s="31"/>
      <c r="Z700" s="31"/>
      <c r="AA700" s="19"/>
      <c r="AI700" s="29"/>
      <c r="AL700" s="29"/>
      <c r="AO700" s="20">
        <v>49</v>
      </c>
    </row>
    <row r="701" spans="1:41">
      <c r="A701" s="19">
        <f t="shared" si="155"/>
        <v>700</v>
      </c>
      <c r="B701" s="29" t="s">
        <v>219</v>
      </c>
      <c r="C701" s="27">
        <v>7</v>
      </c>
      <c r="D701" s="29" t="s">
        <v>942</v>
      </c>
      <c r="E701" s="29" t="s">
        <v>955</v>
      </c>
      <c r="F701" s="19"/>
      <c r="G701" s="29">
        <v>0.96089999999999998</v>
      </c>
      <c r="H701" s="29">
        <v>0.40600000000000003</v>
      </c>
      <c r="K701" s="29">
        <v>49.84</v>
      </c>
      <c r="L701" s="29"/>
      <c r="M701" s="29"/>
      <c r="N701" s="19">
        <v>3.36</v>
      </c>
      <c r="V701" s="31"/>
      <c r="W701" s="31"/>
      <c r="X701" s="31"/>
      <c r="Y701" s="31"/>
      <c r="Z701" s="31"/>
      <c r="AA701" s="19"/>
      <c r="AI701" s="29"/>
      <c r="AL701" s="29"/>
      <c r="AO701" s="20">
        <v>49</v>
      </c>
    </row>
    <row r="702" spans="1:41">
      <c r="A702" s="19">
        <f t="shared" si="155"/>
        <v>701</v>
      </c>
      <c r="B702" s="29" t="s">
        <v>219</v>
      </c>
      <c r="C702" s="27">
        <v>7</v>
      </c>
      <c r="D702" s="29" t="s">
        <v>942</v>
      </c>
      <c r="E702" s="29" t="s">
        <v>956</v>
      </c>
      <c r="F702" s="19"/>
      <c r="G702" s="29">
        <v>1.0141</v>
      </c>
      <c r="H702" s="29">
        <v>0.433</v>
      </c>
      <c r="K702" s="29">
        <v>56.32</v>
      </c>
      <c r="L702" s="29"/>
      <c r="M702" s="29"/>
      <c r="N702" s="19">
        <v>2.58</v>
      </c>
      <c r="V702" s="31"/>
      <c r="W702" s="31"/>
      <c r="X702" s="31"/>
      <c r="Y702" s="31"/>
      <c r="Z702" s="31"/>
      <c r="AA702" s="19"/>
      <c r="AI702" s="29"/>
      <c r="AL702" s="29"/>
      <c r="AO702" s="20">
        <v>49</v>
      </c>
    </row>
    <row r="703" spans="1:41">
      <c r="A703" s="19">
        <f t="shared" si="155"/>
        <v>702</v>
      </c>
      <c r="B703" s="29" t="s">
        <v>219</v>
      </c>
      <c r="C703" s="27">
        <v>7</v>
      </c>
      <c r="D703" s="29" t="s">
        <v>942</v>
      </c>
      <c r="E703" s="29" t="s">
        <v>957</v>
      </c>
      <c r="F703" s="19"/>
      <c r="G703" s="29">
        <v>1.0847</v>
      </c>
      <c r="H703" s="29">
        <v>0.48599999999999999</v>
      </c>
      <c r="K703" s="29">
        <v>69.13</v>
      </c>
      <c r="L703" s="29"/>
      <c r="M703" s="29"/>
      <c r="N703" s="19">
        <v>0.99</v>
      </c>
      <c r="V703" s="31"/>
      <c r="W703" s="31"/>
      <c r="X703" s="31"/>
      <c r="Y703" s="31"/>
      <c r="Z703" s="31"/>
      <c r="AA703" s="19"/>
      <c r="AI703" s="29"/>
      <c r="AL703" s="29"/>
      <c r="AO703" s="20">
        <v>49</v>
      </c>
    </row>
    <row r="704" spans="1:41">
      <c r="A704" s="19">
        <f t="shared" si="155"/>
        <v>703</v>
      </c>
      <c r="B704" s="29" t="s">
        <v>219</v>
      </c>
      <c r="C704" s="27">
        <v>7</v>
      </c>
      <c r="D704" s="29" t="s">
        <v>942</v>
      </c>
      <c r="E704" s="29" t="s">
        <v>958</v>
      </c>
      <c r="F704" s="19"/>
      <c r="G704" s="29">
        <v>1.0851999999999999</v>
      </c>
      <c r="H704" s="29">
        <v>0.54800000000000004</v>
      </c>
      <c r="K704" s="29">
        <v>74.650000000000006</v>
      </c>
      <c r="L704" s="29"/>
      <c r="M704" s="29"/>
      <c r="N704" s="19">
        <v>1.31</v>
      </c>
      <c r="V704" s="31"/>
      <c r="W704" s="31"/>
      <c r="X704" s="31"/>
      <c r="Y704" s="31"/>
      <c r="Z704" s="31"/>
      <c r="AA704" s="19"/>
      <c r="AI704" s="29"/>
      <c r="AL704" s="29"/>
      <c r="AO704" s="20">
        <v>49</v>
      </c>
    </row>
    <row r="705" spans="1:41">
      <c r="A705" s="19">
        <f t="shared" si="155"/>
        <v>704</v>
      </c>
      <c r="B705" s="29" t="s">
        <v>219</v>
      </c>
      <c r="C705" s="27">
        <v>7</v>
      </c>
      <c r="D705" s="29" t="s">
        <v>942</v>
      </c>
      <c r="E705" s="29" t="s">
        <v>959</v>
      </c>
      <c r="F705" s="19"/>
      <c r="G705" s="29">
        <v>0.82379999999999998</v>
      </c>
      <c r="H705" s="29">
        <v>0.47599999999999998</v>
      </c>
      <c r="K705" s="29">
        <v>60.6</v>
      </c>
      <c r="L705" s="29"/>
      <c r="M705" s="29"/>
      <c r="N705" s="19">
        <v>4.32</v>
      </c>
      <c r="V705" s="31"/>
      <c r="W705" s="31"/>
      <c r="X705" s="31"/>
      <c r="Y705" s="31"/>
      <c r="Z705" s="31"/>
      <c r="AA705" s="19"/>
      <c r="AI705" s="29"/>
      <c r="AL705" s="29"/>
      <c r="AO705" s="20">
        <v>49</v>
      </c>
    </row>
    <row r="706" spans="1:41">
      <c r="A706" s="19">
        <f t="shared" si="155"/>
        <v>705</v>
      </c>
      <c r="B706" s="29" t="s">
        <v>219</v>
      </c>
      <c r="C706" s="27">
        <v>7</v>
      </c>
      <c r="D706" s="29" t="s">
        <v>942</v>
      </c>
      <c r="E706" s="29" t="s">
        <v>960</v>
      </c>
      <c r="F706" s="19"/>
      <c r="G706" s="29">
        <v>0.97209999999999996</v>
      </c>
      <c r="H706" s="29">
        <v>0.54</v>
      </c>
      <c r="K706" s="29">
        <v>74.23</v>
      </c>
      <c r="L706" s="29"/>
      <c r="M706" s="29"/>
      <c r="N706" s="19">
        <v>1.31</v>
      </c>
      <c r="V706" s="31"/>
      <c r="W706" s="31"/>
      <c r="X706" s="31"/>
      <c r="Y706" s="31"/>
      <c r="Z706" s="31"/>
      <c r="AA706" s="19"/>
      <c r="AI706" s="29"/>
      <c r="AL706" s="29"/>
      <c r="AO706" s="20">
        <v>49</v>
      </c>
    </row>
    <row r="707" spans="1:41">
      <c r="A707" s="19">
        <f t="shared" ref="A707:A770" si="157">A706+1</f>
        <v>706</v>
      </c>
      <c r="B707" s="29" t="s">
        <v>219</v>
      </c>
      <c r="C707" s="27">
        <v>7</v>
      </c>
      <c r="D707" s="29" t="s">
        <v>942</v>
      </c>
      <c r="E707" s="29" t="s">
        <v>961</v>
      </c>
      <c r="F707" s="19"/>
      <c r="G707" s="29">
        <v>1.0330999999999999</v>
      </c>
      <c r="H707" s="29">
        <v>0.57099999999999995</v>
      </c>
      <c r="K707" s="29">
        <v>81.95</v>
      </c>
      <c r="L707" s="29"/>
      <c r="M707" s="29"/>
      <c r="N707" s="19">
        <v>1.29</v>
      </c>
      <c r="V707" s="31"/>
      <c r="W707" s="31"/>
      <c r="X707" s="31"/>
      <c r="Y707" s="31"/>
      <c r="Z707" s="31"/>
      <c r="AA707" s="19"/>
      <c r="AI707" s="29"/>
      <c r="AL707" s="29"/>
      <c r="AO707" s="20">
        <v>49</v>
      </c>
    </row>
    <row r="708" spans="1:41">
      <c r="A708" s="19">
        <f t="shared" si="157"/>
        <v>707</v>
      </c>
      <c r="B708" s="29" t="s">
        <v>219</v>
      </c>
      <c r="C708" s="27">
        <v>7</v>
      </c>
      <c r="D708" s="29" t="s">
        <v>942</v>
      </c>
      <c r="E708" s="29" t="s">
        <v>962</v>
      </c>
      <c r="F708" s="19"/>
      <c r="G708" s="29">
        <v>1.0347999999999999</v>
      </c>
      <c r="H708" s="29">
        <v>0.57099999999999995</v>
      </c>
      <c r="K708" s="29">
        <v>82.48</v>
      </c>
      <c r="L708" s="29"/>
      <c r="M708" s="29"/>
      <c r="N708" s="19">
        <v>2.14</v>
      </c>
      <c r="V708" s="31"/>
      <c r="W708" s="31"/>
      <c r="X708" s="31"/>
      <c r="Y708" s="31"/>
      <c r="Z708" s="31"/>
      <c r="AA708" s="19"/>
      <c r="AI708" s="29"/>
      <c r="AL708" s="29"/>
      <c r="AO708" s="20">
        <v>49</v>
      </c>
    </row>
    <row r="709" spans="1:41">
      <c r="A709" s="19">
        <f t="shared" si="157"/>
        <v>708</v>
      </c>
      <c r="B709" s="29" t="s">
        <v>219</v>
      </c>
      <c r="C709" s="27">
        <v>7</v>
      </c>
      <c r="D709" s="29" t="s">
        <v>942</v>
      </c>
      <c r="E709" s="29" t="s">
        <v>963</v>
      </c>
      <c r="F709" s="19"/>
      <c r="G709" s="29">
        <v>1.0245</v>
      </c>
      <c r="H709" s="29">
        <v>0.58399999999999996</v>
      </c>
      <c r="K709" s="29">
        <v>86.81</v>
      </c>
      <c r="L709" s="29"/>
      <c r="M709" s="29"/>
      <c r="N709" s="19">
        <v>0.3</v>
      </c>
      <c r="V709" s="31"/>
      <c r="W709" s="31"/>
      <c r="X709" s="31"/>
      <c r="Y709" s="31"/>
      <c r="Z709" s="31"/>
      <c r="AA709" s="19"/>
      <c r="AI709" s="29"/>
      <c r="AL709" s="29"/>
      <c r="AO709" s="20">
        <v>49</v>
      </c>
    </row>
    <row r="710" spans="1:41">
      <c r="A710" s="19">
        <f t="shared" si="157"/>
        <v>709</v>
      </c>
      <c r="B710" s="29" t="s">
        <v>197</v>
      </c>
      <c r="C710" s="27">
        <v>7</v>
      </c>
      <c r="D710" s="29" t="s">
        <v>942</v>
      </c>
      <c r="E710" s="29" t="s">
        <v>964</v>
      </c>
      <c r="F710" s="19"/>
      <c r="G710" s="29"/>
      <c r="H710" s="29"/>
      <c r="I710" s="19">
        <v>2.4</v>
      </c>
      <c r="K710" s="29">
        <v>17.940000000000001</v>
      </c>
      <c r="L710" s="29"/>
      <c r="M710" s="29"/>
      <c r="N710" s="19">
        <v>0.04</v>
      </c>
      <c r="V710" s="29"/>
      <c r="W710" s="29"/>
      <c r="X710" s="29"/>
      <c r="Y710" s="29"/>
      <c r="Z710" s="29"/>
      <c r="AA710" s="19"/>
      <c r="AI710" s="29"/>
      <c r="AL710" s="29"/>
      <c r="AO710" s="20">
        <v>3</v>
      </c>
    </row>
    <row r="711" spans="1:41">
      <c r="A711" s="19">
        <f t="shared" si="157"/>
        <v>710</v>
      </c>
      <c r="B711" s="29" t="s">
        <v>197</v>
      </c>
      <c r="C711" s="27">
        <v>7</v>
      </c>
      <c r="D711" s="29" t="s">
        <v>942</v>
      </c>
      <c r="E711" s="29" t="s">
        <v>965</v>
      </c>
      <c r="F711" s="19"/>
      <c r="G711" s="29"/>
      <c r="H711" s="29"/>
      <c r="I711" s="19">
        <v>3.1</v>
      </c>
      <c r="K711" s="29">
        <v>51.8</v>
      </c>
      <c r="N711" s="20">
        <v>3.68</v>
      </c>
      <c r="V711" s="29"/>
      <c r="W711" s="29"/>
      <c r="X711" s="29"/>
      <c r="Y711" s="29"/>
      <c r="Z711" s="29"/>
      <c r="AA711" s="19"/>
      <c r="AI711" s="29"/>
      <c r="AL711" s="29"/>
      <c r="AO711" s="20">
        <v>3</v>
      </c>
    </row>
    <row r="712" spans="1:41">
      <c r="A712" s="19">
        <f t="shared" si="157"/>
        <v>711</v>
      </c>
      <c r="B712" s="29" t="s">
        <v>197</v>
      </c>
      <c r="C712" s="27">
        <v>7</v>
      </c>
      <c r="D712" s="29" t="s">
        <v>942</v>
      </c>
      <c r="E712" s="29" t="s">
        <v>966</v>
      </c>
      <c r="F712" s="19"/>
      <c r="G712" s="29"/>
      <c r="H712" s="29"/>
      <c r="I712" s="19">
        <v>2.77</v>
      </c>
      <c r="K712" s="29">
        <v>36.75</v>
      </c>
      <c r="N712" s="20">
        <v>3.93</v>
      </c>
      <c r="V712" s="29"/>
      <c r="W712" s="29"/>
      <c r="X712" s="29"/>
      <c r="Y712" s="29"/>
      <c r="Z712" s="29"/>
      <c r="AA712" s="19"/>
      <c r="AI712" s="29"/>
      <c r="AL712" s="29"/>
      <c r="AO712" s="20">
        <v>3</v>
      </c>
    </row>
    <row r="713" spans="1:41">
      <c r="A713" s="19">
        <f t="shared" si="157"/>
        <v>712</v>
      </c>
      <c r="B713" s="29" t="s">
        <v>197</v>
      </c>
      <c r="C713" s="27">
        <v>7</v>
      </c>
      <c r="D713" s="29" t="s">
        <v>942</v>
      </c>
      <c r="E713" s="29" t="s">
        <v>967</v>
      </c>
      <c r="F713" s="19"/>
      <c r="G713" s="29"/>
      <c r="H713" s="29"/>
      <c r="I713" s="19">
        <v>3.73</v>
      </c>
      <c r="K713" s="29">
        <v>79.77</v>
      </c>
      <c r="N713" s="20">
        <v>0.69</v>
      </c>
      <c r="AO713" s="20">
        <v>3</v>
      </c>
    </row>
    <row r="714" spans="1:41">
      <c r="A714" s="19">
        <f t="shared" si="157"/>
        <v>713</v>
      </c>
      <c r="B714" s="29" t="s">
        <v>197</v>
      </c>
      <c r="C714" s="27">
        <v>7</v>
      </c>
      <c r="D714" s="29" t="s">
        <v>942</v>
      </c>
      <c r="E714" s="29" t="s">
        <v>968</v>
      </c>
      <c r="F714" s="19"/>
      <c r="G714" s="29"/>
      <c r="H714" s="29"/>
      <c r="I714" s="19">
        <v>3.16</v>
      </c>
      <c r="K714" s="29">
        <v>53.75</v>
      </c>
      <c r="N714" s="20">
        <v>1.17</v>
      </c>
      <c r="V714" s="29"/>
      <c r="W714" s="29"/>
      <c r="X714" s="29"/>
      <c r="Y714" s="29"/>
      <c r="Z714" s="29"/>
      <c r="AA714" s="19"/>
      <c r="AI714" s="29"/>
      <c r="AL714" s="29"/>
      <c r="AO714" s="20">
        <v>3</v>
      </c>
    </row>
    <row r="715" spans="1:41">
      <c r="A715" s="19">
        <f t="shared" si="157"/>
        <v>714</v>
      </c>
      <c r="B715" s="29" t="s">
        <v>197</v>
      </c>
      <c r="C715" s="27">
        <v>7</v>
      </c>
      <c r="D715" s="29" t="s">
        <v>942</v>
      </c>
      <c r="E715" s="29" t="s">
        <v>969</v>
      </c>
      <c r="F715" s="19"/>
      <c r="G715" s="29"/>
      <c r="H715" s="29"/>
      <c r="I715" s="19">
        <v>2.87</v>
      </c>
      <c r="K715" s="29">
        <v>41.46</v>
      </c>
      <c r="N715" s="20">
        <v>3.94</v>
      </c>
      <c r="V715" s="29"/>
      <c r="W715" s="29"/>
      <c r="X715" s="29"/>
      <c r="Y715" s="29"/>
      <c r="Z715" s="29"/>
      <c r="AA715" s="19"/>
      <c r="AI715" s="29"/>
      <c r="AL715" s="29"/>
      <c r="AO715" s="20">
        <v>3</v>
      </c>
    </row>
    <row r="716" spans="1:41">
      <c r="A716" s="19">
        <f t="shared" si="157"/>
        <v>715</v>
      </c>
      <c r="B716" s="29" t="s">
        <v>197</v>
      </c>
      <c r="C716" s="27">
        <v>7</v>
      </c>
      <c r="D716" s="29" t="s">
        <v>942</v>
      </c>
      <c r="E716" s="29" t="s">
        <v>970</v>
      </c>
      <c r="F716" s="19"/>
      <c r="G716" s="29"/>
      <c r="H716" s="29"/>
      <c r="I716" s="19">
        <v>3.03</v>
      </c>
      <c r="K716" s="29">
        <v>48.42</v>
      </c>
      <c r="N716" s="20">
        <v>3.79</v>
      </c>
      <c r="V716" s="29"/>
      <c r="W716" s="29"/>
      <c r="X716" s="29"/>
      <c r="Y716" s="29"/>
      <c r="Z716" s="29"/>
      <c r="AA716" s="19"/>
      <c r="AI716" s="29"/>
      <c r="AL716" s="29"/>
      <c r="AO716" s="20">
        <v>3</v>
      </c>
    </row>
    <row r="717" spans="1:41">
      <c r="A717" s="19">
        <f t="shared" si="157"/>
        <v>716</v>
      </c>
      <c r="B717" s="29" t="s">
        <v>197</v>
      </c>
      <c r="C717" s="27">
        <v>7</v>
      </c>
      <c r="D717" s="29" t="s">
        <v>942</v>
      </c>
      <c r="E717" s="29" t="s">
        <v>971</v>
      </c>
      <c r="F717" s="19"/>
      <c r="G717" s="29"/>
      <c r="H717" s="29"/>
      <c r="I717" s="19">
        <v>3.15</v>
      </c>
      <c r="K717" s="29">
        <v>54.14</v>
      </c>
      <c r="N717" s="20">
        <v>2.62</v>
      </c>
      <c r="V717" s="29"/>
      <c r="W717" s="29"/>
      <c r="X717" s="29"/>
      <c r="Y717" s="29"/>
      <c r="Z717" s="29"/>
      <c r="AA717" s="19"/>
      <c r="AI717" s="29"/>
      <c r="AL717" s="29"/>
      <c r="AO717" s="20">
        <v>3</v>
      </c>
    </row>
    <row r="718" spans="1:41">
      <c r="A718" s="19">
        <f t="shared" si="157"/>
        <v>717</v>
      </c>
      <c r="B718" s="29" t="s">
        <v>197</v>
      </c>
      <c r="C718" s="27">
        <v>7</v>
      </c>
      <c r="D718" s="29" t="s">
        <v>942</v>
      </c>
      <c r="E718" s="29" t="s">
        <v>972</v>
      </c>
      <c r="F718" s="19"/>
      <c r="G718" s="29"/>
      <c r="H718" s="29"/>
      <c r="I718" s="19">
        <v>2.58</v>
      </c>
      <c r="K718" s="29">
        <v>29.16</v>
      </c>
      <c r="N718" s="20">
        <v>6.04</v>
      </c>
      <c r="P718" s="29"/>
      <c r="Q718" s="29"/>
      <c r="R718" s="29"/>
      <c r="S718" s="19"/>
      <c r="V718" s="29"/>
      <c r="W718" s="29"/>
      <c r="X718" s="29"/>
      <c r="Y718" s="29"/>
      <c r="Z718" s="29"/>
      <c r="AA718" s="19"/>
      <c r="AC718" s="29"/>
      <c r="AD718" s="29"/>
      <c r="AE718" s="29"/>
      <c r="AF718" s="29"/>
      <c r="AG718" s="29"/>
      <c r="AI718" s="29"/>
      <c r="AL718" s="29"/>
      <c r="AO718" s="20">
        <v>3</v>
      </c>
    </row>
    <row r="719" spans="1:41">
      <c r="A719" s="19">
        <f t="shared" si="157"/>
        <v>718</v>
      </c>
      <c r="B719" s="29" t="s">
        <v>197</v>
      </c>
      <c r="C719" s="27">
        <v>7</v>
      </c>
      <c r="D719" s="29" t="s">
        <v>942</v>
      </c>
      <c r="E719" s="29" t="s">
        <v>973</v>
      </c>
      <c r="F719" s="19"/>
      <c r="G719" s="29"/>
      <c r="H719" s="29"/>
      <c r="I719" s="19">
        <v>2.8</v>
      </c>
      <c r="K719" s="29">
        <v>39.159999999999997</v>
      </c>
      <c r="N719" s="20">
        <v>5.84</v>
      </c>
      <c r="V719" s="29"/>
      <c r="W719" s="29"/>
      <c r="X719" s="29"/>
      <c r="Y719" s="29"/>
      <c r="Z719" s="29"/>
      <c r="AA719" s="19"/>
      <c r="AI719" s="29"/>
      <c r="AL719" s="29"/>
      <c r="AO719" s="20">
        <v>3</v>
      </c>
    </row>
    <row r="720" spans="1:41">
      <c r="A720" s="19">
        <f t="shared" si="157"/>
        <v>719</v>
      </c>
      <c r="B720" s="29" t="s">
        <v>197</v>
      </c>
      <c r="C720" s="27">
        <v>7</v>
      </c>
      <c r="D720" s="29" t="s">
        <v>942</v>
      </c>
      <c r="E720" s="29" t="s">
        <v>974</v>
      </c>
      <c r="F720" s="19"/>
      <c r="G720" s="29"/>
      <c r="H720" s="29"/>
      <c r="I720" s="19">
        <v>2.8</v>
      </c>
      <c r="K720" s="29">
        <v>39.380000000000003</v>
      </c>
      <c r="N720" s="20">
        <v>6.44</v>
      </c>
      <c r="V720" s="29"/>
      <c r="W720" s="29"/>
      <c r="X720" s="29"/>
      <c r="Y720" s="29"/>
      <c r="Z720" s="29"/>
      <c r="AA720" s="19"/>
      <c r="AI720" s="29"/>
      <c r="AL720" s="29"/>
      <c r="AO720" s="20">
        <v>3</v>
      </c>
    </row>
    <row r="721" spans="1:41">
      <c r="A721" s="19">
        <f t="shared" si="157"/>
        <v>720</v>
      </c>
      <c r="B721" s="29" t="s">
        <v>197</v>
      </c>
      <c r="C721" s="27">
        <v>7</v>
      </c>
      <c r="D721" s="29" t="s">
        <v>942</v>
      </c>
      <c r="E721" s="29" t="s">
        <v>975</v>
      </c>
      <c r="F721" s="19"/>
      <c r="G721" s="29"/>
      <c r="H721" s="29"/>
      <c r="I721" s="19">
        <v>2.78</v>
      </c>
      <c r="K721" s="29">
        <v>37.21</v>
      </c>
      <c r="N721" s="20">
        <v>3.53</v>
      </c>
      <c r="V721" s="29"/>
      <c r="W721" s="29"/>
      <c r="X721" s="29"/>
      <c r="Y721" s="29"/>
      <c r="Z721" s="29"/>
      <c r="AA721" s="19"/>
      <c r="AI721" s="29"/>
      <c r="AL721" s="29"/>
      <c r="AO721" s="20">
        <v>3</v>
      </c>
    </row>
    <row r="722" spans="1:41">
      <c r="A722" s="19">
        <f t="shared" si="157"/>
        <v>721</v>
      </c>
      <c r="B722" s="29" t="s">
        <v>197</v>
      </c>
      <c r="C722" s="27">
        <v>7</v>
      </c>
      <c r="D722" s="29" t="s">
        <v>942</v>
      </c>
      <c r="E722" s="29" t="s">
        <v>976</v>
      </c>
      <c r="F722" s="19" t="s">
        <v>977</v>
      </c>
      <c r="G722" s="29"/>
      <c r="H722" s="29"/>
      <c r="I722" s="19">
        <v>3.73</v>
      </c>
      <c r="K722" s="29">
        <v>80.569999999999993</v>
      </c>
      <c r="N722" s="20">
        <v>0.67</v>
      </c>
      <c r="V722" s="29"/>
      <c r="W722" s="29"/>
      <c r="X722" s="29"/>
      <c r="Y722" s="29"/>
      <c r="Z722" s="29"/>
      <c r="AA722" s="19"/>
      <c r="AI722" s="29"/>
      <c r="AL722" s="29"/>
      <c r="AO722" s="20">
        <v>3</v>
      </c>
    </row>
    <row r="723" spans="1:41">
      <c r="A723" s="19">
        <f t="shared" si="157"/>
        <v>722</v>
      </c>
      <c r="B723" s="29" t="s">
        <v>197</v>
      </c>
      <c r="C723" s="27">
        <v>7</v>
      </c>
      <c r="D723" s="29" t="s">
        <v>942</v>
      </c>
      <c r="E723" s="29" t="s">
        <v>976</v>
      </c>
      <c r="F723" s="19" t="s">
        <v>978</v>
      </c>
      <c r="G723" s="29"/>
      <c r="H723" s="29"/>
      <c r="I723" s="19">
        <v>3.59</v>
      </c>
      <c r="K723" s="29">
        <v>73.75</v>
      </c>
      <c r="N723" s="20">
        <v>0.57999999999999996</v>
      </c>
      <c r="V723" s="29"/>
      <c r="W723" s="29"/>
      <c r="X723" s="29"/>
      <c r="Y723" s="29"/>
      <c r="Z723" s="29"/>
      <c r="AA723" s="19"/>
      <c r="AI723" s="29"/>
      <c r="AL723" s="29"/>
      <c r="AO723" s="20">
        <v>3</v>
      </c>
    </row>
    <row r="724" spans="1:41">
      <c r="A724" s="19">
        <f t="shared" si="157"/>
        <v>723</v>
      </c>
      <c r="B724" s="29" t="s">
        <v>197</v>
      </c>
      <c r="C724" s="27">
        <v>7</v>
      </c>
      <c r="D724" s="29" t="s">
        <v>942</v>
      </c>
      <c r="E724" s="29" t="s">
        <v>976</v>
      </c>
      <c r="F724" s="19" t="s">
        <v>979</v>
      </c>
      <c r="G724" s="29"/>
      <c r="H724" s="29"/>
      <c r="I724" s="19">
        <v>3.25</v>
      </c>
      <c r="K724" s="29">
        <v>57.71</v>
      </c>
      <c r="N724" s="20">
        <v>0.45</v>
      </c>
      <c r="V724" s="29"/>
      <c r="W724" s="29"/>
      <c r="X724" s="29"/>
      <c r="Y724" s="29"/>
      <c r="Z724" s="29"/>
      <c r="AA724" s="19"/>
      <c r="AI724" s="29"/>
      <c r="AL724" s="29"/>
      <c r="AO724" s="20">
        <v>3</v>
      </c>
    </row>
    <row r="725" spans="1:41">
      <c r="A725" s="19">
        <f t="shared" si="157"/>
        <v>724</v>
      </c>
      <c r="B725" s="29" t="s">
        <v>197</v>
      </c>
      <c r="C725" s="27">
        <v>7</v>
      </c>
      <c r="D725" s="29" t="s">
        <v>942</v>
      </c>
      <c r="E725" s="29" t="s">
        <v>980</v>
      </c>
      <c r="F725" s="19" t="s">
        <v>981</v>
      </c>
      <c r="G725" s="29"/>
      <c r="H725" s="29"/>
      <c r="I725" s="19">
        <v>3.11</v>
      </c>
      <c r="K725" s="29">
        <v>55.7</v>
      </c>
      <c r="N725" s="20">
        <v>1</v>
      </c>
      <c r="V725" s="29"/>
      <c r="W725" s="29"/>
      <c r="X725" s="29"/>
      <c r="Y725" s="29"/>
      <c r="Z725" s="29"/>
      <c r="AA725" s="19"/>
      <c r="AI725" s="29"/>
      <c r="AL725" s="29"/>
      <c r="AO725" s="20">
        <v>3</v>
      </c>
    </row>
    <row r="726" spans="1:41">
      <c r="A726" s="19">
        <f t="shared" si="157"/>
        <v>725</v>
      </c>
      <c r="B726" s="29" t="s">
        <v>197</v>
      </c>
      <c r="C726" s="27">
        <v>7</v>
      </c>
      <c r="D726" s="29" t="s">
        <v>942</v>
      </c>
      <c r="E726" s="29" t="s">
        <v>980</v>
      </c>
      <c r="F726" s="19" t="s">
        <v>982</v>
      </c>
      <c r="G726" s="29"/>
      <c r="H726" s="29"/>
      <c r="I726" s="19">
        <v>3.19</v>
      </c>
      <c r="K726" s="29">
        <v>60</v>
      </c>
      <c r="N726" s="20">
        <v>0.7</v>
      </c>
      <c r="AO726" s="20">
        <v>3</v>
      </c>
    </row>
    <row r="727" spans="1:41">
      <c r="A727" s="19">
        <f t="shared" si="157"/>
        <v>726</v>
      </c>
      <c r="B727" s="29" t="s">
        <v>197</v>
      </c>
      <c r="C727" s="27">
        <v>7</v>
      </c>
      <c r="D727" s="29" t="s">
        <v>942</v>
      </c>
      <c r="E727" s="29" t="s">
        <v>980</v>
      </c>
      <c r="F727" s="19" t="s">
        <v>983</v>
      </c>
      <c r="G727" s="29"/>
      <c r="H727" s="29"/>
      <c r="I727" s="19">
        <v>3.22</v>
      </c>
      <c r="K727" s="29">
        <v>61</v>
      </c>
      <c r="N727" s="20">
        <v>0.9</v>
      </c>
      <c r="V727" s="29"/>
      <c r="W727" s="29"/>
      <c r="X727" s="29"/>
      <c r="Y727" s="29"/>
      <c r="Z727" s="29"/>
      <c r="AA727" s="19"/>
      <c r="AI727" s="29"/>
      <c r="AL727" s="29"/>
      <c r="AO727" s="20">
        <v>3</v>
      </c>
    </row>
    <row r="728" spans="1:41">
      <c r="A728" s="19">
        <f t="shared" si="157"/>
        <v>727</v>
      </c>
      <c r="B728" s="29" t="s">
        <v>219</v>
      </c>
      <c r="C728" s="27">
        <v>7</v>
      </c>
      <c r="D728" s="29" t="s">
        <v>942</v>
      </c>
      <c r="E728" s="27" t="s">
        <v>992</v>
      </c>
      <c r="G728" s="27">
        <v>0.91100000000000003</v>
      </c>
      <c r="AO728" s="20">
        <v>4</v>
      </c>
    </row>
    <row r="729" spans="1:41">
      <c r="A729" s="19">
        <f t="shared" si="157"/>
        <v>728</v>
      </c>
      <c r="B729" s="29" t="s">
        <v>219</v>
      </c>
      <c r="C729" s="27">
        <v>7</v>
      </c>
      <c r="D729" s="27" t="s">
        <v>942</v>
      </c>
      <c r="E729" s="27" t="s">
        <v>993</v>
      </c>
      <c r="G729" s="27">
        <v>0.96</v>
      </c>
      <c r="AO729" s="20">
        <v>4</v>
      </c>
    </row>
    <row r="730" spans="1:41">
      <c r="A730" s="19">
        <f t="shared" si="157"/>
        <v>729</v>
      </c>
      <c r="B730" s="29" t="s">
        <v>219</v>
      </c>
      <c r="C730" s="27">
        <v>7</v>
      </c>
      <c r="D730" s="27" t="s">
        <v>942</v>
      </c>
      <c r="E730" s="27" t="s">
        <v>994</v>
      </c>
      <c r="G730" s="27">
        <v>0.5</v>
      </c>
      <c r="AO730" s="20">
        <v>4</v>
      </c>
    </row>
    <row r="731" spans="1:41">
      <c r="A731" s="19">
        <f t="shared" si="157"/>
        <v>730</v>
      </c>
      <c r="B731" s="29" t="s">
        <v>219</v>
      </c>
      <c r="C731" s="27">
        <v>7</v>
      </c>
      <c r="D731" s="27" t="s">
        <v>942</v>
      </c>
      <c r="E731" s="27" t="s">
        <v>995</v>
      </c>
      <c r="G731" s="27">
        <v>0.57999999999999996</v>
      </c>
      <c r="AO731" s="20">
        <v>4</v>
      </c>
    </row>
    <row r="732" spans="1:41">
      <c r="A732" s="19">
        <f t="shared" si="157"/>
        <v>731</v>
      </c>
      <c r="B732" s="29" t="s">
        <v>219</v>
      </c>
      <c r="C732" s="27">
        <v>7</v>
      </c>
      <c r="D732" s="27" t="s">
        <v>942</v>
      </c>
      <c r="E732" s="27" t="s">
        <v>996</v>
      </c>
      <c r="G732" s="27">
        <v>0.34</v>
      </c>
      <c r="AO732" s="20">
        <v>4</v>
      </c>
    </row>
    <row r="733" spans="1:41">
      <c r="A733" s="19">
        <f t="shared" si="157"/>
        <v>732</v>
      </c>
      <c r="B733" s="29" t="s">
        <v>219</v>
      </c>
      <c r="C733" s="27">
        <v>7</v>
      </c>
      <c r="D733" s="27" t="s">
        <v>942</v>
      </c>
      <c r="E733" s="27" t="s">
        <v>997</v>
      </c>
      <c r="G733" s="27">
        <v>1.0129999999999999</v>
      </c>
      <c r="AO733" s="20">
        <v>4</v>
      </c>
    </row>
    <row r="734" spans="1:41">
      <c r="A734" s="19">
        <f t="shared" si="157"/>
        <v>733</v>
      </c>
      <c r="B734" s="29" t="s">
        <v>219</v>
      </c>
      <c r="C734" s="27">
        <v>7</v>
      </c>
      <c r="D734" s="27" t="s">
        <v>942</v>
      </c>
      <c r="E734" s="27" t="s">
        <v>998</v>
      </c>
      <c r="G734" s="27">
        <v>0.98399999999999999</v>
      </c>
      <c r="AO734" s="20">
        <v>4</v>
      </c>
    </row>
    <row r="735" spans="1:41">
      <c r="A735" s="19">
        <f t="shared" si="157"/>
        <v>734</v>
      </c>
      <c r="B735" s="29" t="s">
        <v>219</v>
      </c>
      <c r="C735" s="27">
        <v>7</v>
      </c>
      <c r="D735" s="27" t="s">
        <v>942</v>
      </c>
      <c r="E735" s="27" t="s">
        <v>999</v>
      </c>
      <c r="G735" s="27">
        <v>1.0169999999999999</v>
      </c>
      <c r="AO735" s="20">
        <v>4</v>
      </c>
    </row>
    <row r="736" spans="1:41">
      <c r="A736" s="19">
        <f t="shared" si="157"/>
        <v>735</v>
      </c>
      <c r="B736" s="29" t="s">
        <v>219</v>
      </c>
      <c r="C736" s="27">
        <v>7</v>
      </c>
      <c r="D736" s="27" t="s">
        <v>942</v>
      </c>
      <c r="E736" s="27" t="s">
        <v>1000</v>
      </c>
      <c r="G736" s="27">
        <v>0.99399999999999999</v>
      </c>
      <c r="AO736" s="20">
        <v>4</v>
      </c>
    </row>
    <row r="737" spans="1:41">
      <c r="A737" s="19">
        <f t="shared" si="157"/>
        <v>736</v>
      </c>
      <c r="B737" s="29" t="s">
        <v>219</v>
      </c>
      <c r="C737" s="27">
        <v>7</v>
      </c>
      <c r="D737" s="27" t="s">
        <v>942</v>
      </c>
      <c r="E737" s="27" t="s">
        <v>1001</v>
      </c>
      <c r="G737" s="27">
        <v>1.012</v>
      </c>
      <c r="AO737" s="20">
        <v>4</v>
      </c>
    </row>
    <row r="738" spans="1:41">
      <c r="A738" s="19">
        <f t="shared" si="157"/>
        <v>737</v>
      </c>
      <c r="B738" s="29" t="s">
        <v>219</v>
      </c>
      <c r="C738" s="27">
        <v>7</v>
      </c>
      <c r="D738" s="27" t="s">
        <v>942</v>
      </c>
      <c r="E738" s="27" t="s">
        <v>1002</v>
      </c>
      <c r="G738" s="27">
        <v>1.0049999999999999</v>
      </c>
      <c r="AO738" s="20">
        <v>4</v>
      </c>
    </row>
    <row r="739" spans="1:41">
      <c r="A739" s="19">
        <f t="shared" si="157"/>
        <v>738</v>
      </c>
      <c r="B739" s="29" t="s">
        <v>219</v>
      </c>
      <c r="C739" s="27">
        <v>7</v>
      </c>
      <c r="D739" s="27" t="s">
        <v>942</v>
      </c>
      <c r="E739" s="27" t="s">
        <v>1003</v>
      </c>
      <c r="G739" s="27">
        <v>0.97799999999999998</v>
      </c>
      <c r="AO739" s="20">
        <v>4</v>
      </c>
    </row>
    <row r="740" spans="1:41">
      <c r="A740" s="19">
        <f t="shared" si="157"/>
        <v>739</v>
      </c>
      <c r="B740" s="29" t="s">
        <v>219</v>
      </c>
      <c r="C740" s="27">
        <v>7</v>
      </c>
      <c r="D740" s="27" t="s">
        <v>942</v>
      </c>
      <c r="E740" s="27" t="s">
        <v>1004</v>
      </c>
      <c r="G740" s="27">
        <v>0.96</v>
      </c>
      <c r="AO740" s="20">
        <v>4</v>
      </c>
    </row>
    <row r="741" spans="1:41">
      <c r="A741" s="19">
        <f t="shared" si="157"/>
        <v>740</v>
      </c>
      <c r="B741" s="29" t="s">
        <v>219</v>
      </c>
      <c r="C741" s="27">
        <v>7</v>
      </c>
      <c r="D741" s="27" t="s">
        <v>942</v>
      </c>
      <c r="E741" s="27" t="s">
        <v>1005</v>
      </c>
      <c r="G741" s="27">
        <v>0.55400000000000005</v>
      </c>
      <c r="AO741" s="20">
        <v>4</v>
      </c>
    </row>
    <row r="742" spans="1:41">
      <c r="A742" s="19">
        <f t="shared" si="157"/>
        <v>741</v>
      </c>
      <c r="B742" s="29" t="s">
        <v>219</v>
      </c>
      <c r="C742" s="27">
        <v>7</v>
      </c>
      <c r="D742" s="27" t="s">
        <v>942</v>
      </c>
      <c r="E742" s="27" t="s">
        <v>1006</v>
      </c>
      <c r="G742" s="27">
        <v>0.61</v>
      </c>
      <c r="AO742" s="20">
        <v>4</v>
      </c>
    </row>
    <row r="743" spans="1:41">
      <c r="A743" s="19">
        <f t="shared" si="157"/>
        <v>742</v>
      </c>
      <c r="B743" s="29" t="s">
        <v>219</v>
      </c>
      <c r="C743" s="27">
        <v>7</v>
      </c>
      <c r="D743" s="27" t="s">
        <v>942</v>
      </c>
      <c r="E743" s="27" t="s">
        <v>1007</v>
      </c>
      <c r="G743" s="27">
        <v>0.56000000000000005</v>
      </c>
      <c r="AO743" s="20">
        <v>4</v>
      </c>
    </row>
    <row r="744" spans="1:41">
      <c r="A744" s="19">
        <f t="shared" si="157"/>
        <v>743</v>
      </c>
      <c r="B744" s="29" t="s">
        <v>219</v>
      </c>
      <c r="C744" s="27">
        <v>7</v>
      </c>
      <c r="D744" s="27" t="s">
        <v>942</v>
      </c>
      <c r="E744" s="27" t="s">
        <v>1008</v>
      </c>
      <c r="G744" s="27">
        <v>0.57999999999999996</v>
      </c>
      <c r="AO744" s="20">
        <v>4</v>
      </c>
    </row>
    <row r="745" spans="1:41">
      <c r="A745" s="19">
        <f t="shared" si="157"/>
        <v>744</v>
      </c>
      <c r="B745" s="29" t="s">
        <v>219</v>
      </c>
      <c r="C745" s="27">
        <v>7</v>
      </c>
      <c r="D745" s="27" t="s">
        <v>942</v>
      </c>
      <c r="E745" s="27" t="s">
        <v>1009</v>
      </c>
      <c r="G745" s="27">
        <v>0.54</v>
      </c>
      <c r="AO745" s="20">
        <v>4</v>
      </c>
    </row>
    <row r="746" spans="1:41">
      <c r="A746" s="19">
        <f t="shared" si="157"/>
        <v>745</v>
      </c>
      <c r="B746" s="29" t="s">
        <v>219</v>
      </c>
      <c r="C746" s="27">
        <v>7</v>
      </c>
      <c r="D746" s="27" t="s">
        <v>942</v>
      </c>
      <c r="E746" s="27" t="s">
        <v>1010</v>
      </c>
      <c r="G746" s="27">
        <v>0.56000000000000005</v>
      </c>
      <c r="AO746" s="20">
        <v>4</v>
      </c>
    </row>
    <row r="747" spans="1:41">
      <c r="A747" s="19">
        <f t="shared" si="157"/>
        <v>746</v>
      </c>
      <c r="B747" s="29" t="s">
        <v>219</v>
      </c>
      <c r="C747" s="27">
        <v>7</v>
      </c>
      <c r="D747" s="27" t="s">
        <v>942</v>
      </c>
      <c r="E747" s="27" t="s">
        <v>1011</v>
      </c>
      <c r="G747" s="27">
        <v>0.62</v>
      </c>
      <c r="AO747" s="20">
        <v>4</v>
      </c>
    </row>
    <row r="748" spans="1:41">
      <c r="A748" s="19">
        <f t="shared" si="157"/>
        <v>747</v>
      </c>
      <c r="B748" s="29" t="s">
        <v>219</v>
      </c>
      <c r="C748" s="27">
        <v>7</v>
      </c>
      <c r="D748" s="27" t="s">
        <v>942</v>
      </c>
      <c r="E748" s="27" t="s">
        <v>1012</v>
      </c>
      <c r="G748" s="27">
        <v>0.98</v>
      </c>
      <c r="AO748" s="20">
        <v>4</v>
      </c>
    </row>
    <row r="749" spans="1:41">
      <c r="A749" s="19">
        <f t="shared" si="157"/>
        <v>748</v>
      </c>
      <c r="B749" s="29" t="s">
        <v>219</v>
      </c>
      <c r="C749" s="27">
        <v>7</v>
      </c>
      <c r="D749" s="27" t="s">
        <v>942</v>
      </c>
      <c r="E749" s="27" t="s">
        <v>1013</v>
      </c>
      <c r="G749" s="27">
        <v>1.06</v>
      </c>
      <c r="AO749" s="20">
        <v>4</v>
      </c>
    </row>
    <row r="750" spans="1:41">
      <c r="A750" s="19">
        <f t="shared" si="157"/>
        <v>749</v>
      </c>
      <c r="B750" s="29" t="s">
        <v>219</v>
      </c>
      <c r="C750" s="27">
        <v>7</v>
      </c>
      <c r="D750" s="27" t="s">
        <v>942</v>
      </c>
      <c r="E750" s="27" t="s">
        <v>1014</v>
      </c>
      <c r="G750" s="27">
        <v>1.052</v>
      </c>
      <c r="AO750" s="20">
        <v>4</v>
      </c>
    </row>
    <row r="751" spans="1:41">
      <c r="A751" s="19">
        <f t="shared" si="157"/>
        <v>750</v>
      </c>
      <c r="B751" s="29" t="s">
        <v>219</v>
      </c>
      <c r="C751" s="27">
        <v>7</v>
      </c>
      <c r="D751" s="27" t="s">
        <v>942</v>
      </c>
      <c r="E751" s="27" t="s">
        <v>1015</v>
      </c>
      <c r="G751" s="27">
        <v>1.08</v>
      </c>
      <c r="AO751" s="20">
        <v>4</v>
      </c>
    </row>
    <row r="752" spans="1:41">
      <c r="A752" s="19">
        <f t="shared" si="157"/>
        <v>751</v>
      </c>
      <c r="B752" s="29" t="s">
        <v>219</v>
      </c>
      <c r="C752" s="27">
        <v>7</v>
      </c>
      <c r="D752" s="27" t="s">
        <v>942</v>
      </c>
      <c r="E752" s="27" t="s">
        <v>1016</v>
      </c>
      <c r="G752" s="27">
        <v>1.06</v>
      </c>
      <c r="AO752" s="20">
        <v>4</v>
      </c>
    </row>
    <row r="753" spans="1:41">
      <c r="A753" s="19">
        <f t="shared" si="157"/>
        <v>752</v>
      </c>
      <c r="B753" s="29" t="s">
        <v>219</v>
      </c>
      <c r="C753" s="27">
        <v>7</v>
      </c>
      <c r="D753" s="27" t="s">
        <v>942</v>
      </c>
      <c r="E753" s="27" t="s">
        <v>1016</v>
      </c>
      <c r="G753" s="27">
        <v>1.0309999999999999</v>
      </c>
      <c r="AO753" s="20">
        <v>4</v>
      </c>
    </row>
    <row r="754" spans="1:41" s="18" customFormat="1">
      <c r="A754" s="19">
        <f t="shared" si="157"/>
        <v>753</v>
      </c>
      <c r="B754" s="24" t="s">
        <v>219</v>
      </c>
      <c r="C754" s="27">
        <v>7</v>
      </c>
      <c r="D754" s="18" t="s">
        <v>942</v>
      </c>
      <c r="E754" s="18" t="s">
        <v>1017</v>
      </c>
      <c r="F754" s="23"/>
      <c r="G754" s="18">
        <v>1.08</v>
      </c>
      <c r="I754" s="23"/>
      <c r="J754" s="23"/>
      <c r="N754" s="23"/>
      <c r="O754" s="23"/>
      <c r="S754" s="23"/>
      <c r="T754" s="23"/>
      <c r="U754" s="23"/>
      <c r="AA754" s="23"/>
      <c r="AB754" s="23"/>
      <c r="AH754" s="23"/>
      <c r="AK754" s="23"/>
      <c r="AN754" s="23"/>
      <c r="AO754" s="23">
        <v>4</v>
      </c>
    </row>
    <row r="755" spans="1:41">
      <c r="A755" s="102">
        <f t="shared" si="157"/>
        <v>754</v>
      </c>
      <c r="B755" s="29" t="s">
        <v>197</v>
      </c>
      <c r="C755" s="103">
        <v>8</v>
      </c>
      <c r="D755" s="29" t="s">
        <v>940</v>
      </c>
      <c r="E755" s="29" t="s">
        <v>360</v>
      </c>
      <c r="F755" s="19" t="s">
        <v>414</v>
      </c>
      <c r="G755" s="29"/>
      <c r="H755" s="29"/>
      <c r="I755" s="19">
        <v>3.87</v>
      </c>
      <c r="K755" s="29">
        <v>87.93</v>
      </c>
      <c r="L755" s="29"/>
      <c r="M755" s="29"/>
      <c r="N755" s="19">
        <v>0.22</v>
      </c>
      <c r="AO755" s="20">
        <v>3</v>
      </c>
    </row>
    <row r="756" spans="1:41">
      <c r="A756" s="19">
        <f t="shared" si="157"/>
        <v>755</v>
      </c>
      <c r="B756" s="29" t="s">
        <v>197</v>
      </c>
      <c r="C756" s="29">
        <v>8</v>
      </c>
      <c r="D756" s="29" t="s">
        <v>337</v>
      </c>
      <c r="E756" s="29" t="s">
        <v>338</v>
      </c>
      <c r="F756" s="19" t="s">
        <v>413</v>
      </c>
      <c r="G756" s="29"/>
      <c r="H756" s="29"/>
      <c r="I756" s="19">
        <v>3.85</v>
      </c>
      <c r="K756" s="29">
        <v>87.38</v>
      </c>
      <c r="L756" s="29"/>
      <c r="N756" s="20">
        <v>0.82</v>
      </c>
      <c r="AO756" s="20">
        <v>3</v>
      </c>
    </row>
    <row r="757" spans="1:41">
      <c r="A757" s="19">
        <f t="shared" si="157"/>
        <v>756</v>
      </c>
      <c r="B757" s="29" t="s">
        <v>197</v>
      </c>
      <c r="C757" s="29">
        <v>8</v>
      </c>
      <c r="D757" s="29" t="s">
        <v>337</v>
      </c>
      <c r="E757" s="29" t="s">
        <v>339</v>
      </c>
      <c r="F757" s="19" t="s">
        <v>414</v>
      </c>
      <c r="G757" s="29"/>
      <c r="H757" s="29"/>
      <c r="I757" s="19">
        <v>3.77</v>
      </c>
      <c r="K757" s="29">
        <v>84.12</v>
      </c>
      <c r="L757" s="29"/>
      <c r="N757" s="20">
        <v>0.28999999999999998</v>
      </c>
      <c r="AO757" s="20">
        <v>3</v>
      </c>
    </row>
    <row r="758" spans="1:41">
      <c r="A758" s="19">
        <f t="shared" si="157"/>
        <v>757</v>
      </c>
      <c r="B758" s="29" t="s">
        <v>197</v>
      </c>
      <c r="C758" s="29">
        <v>8</v>
      </c>
      <c r="D758" s="29" t="s">
        <v>337</v>
      </c>
      <c r="E758" s="29" t="s">
        <v>340</v>
      </c>
      <c r="F758" s="19"/>
      <c r="G758" s="29"/>
      <c r="H758" s="29"/>
      <c r="I758" s="19">
        <v>3.99</v>
      </c>
      <c r="K758" s="29">
        <v>92.46</v>
      </c>
      <c r="L758" s="29"/>
      <c r="N758" s="20">
        <v>0.36</v>
      </c>
      <c r="AO758" s="20">
        <v>3</v>
      </c>
    </row>
    <row r="759" spans="1:41">
      <c r="A759" s="19">
        <f t="shared" si="157"/>
        <v>758</v>
      </c>
      <c r="B759" s="29" t="s">
        <v>197</v>
      </c>
      <c r="C759" s="29">
        <v>8</v>
      </c>
      <c r="D759" s="29" t="s">
        <v>337</v>
      </c>
      <c r="E759" s="29" t="s">
        <v>341</v>
      </c>
      <c r="F759" s="19" t="s">
        <v>414</v>
      </c>
      <c r="G759" s="29"/>
      <c r="H759" s="29"/>
      <c r="I759" s="19">
        <v>3.99</v>
      </c>
      <c r="K759" s="29">
        <v>92.52</v>
      </c>
      <c r="L759" s="29"/>
      <c r="N759" s="20">
        <v>0.31</v>
      </c>
      <c r="AO759" s="20">
        <v>3</v>
      </c>
    </row>
    <row r="760" spans="1:41">
      <c r="A760" s="19">
        <f t="shared" si="157"/>
        <v>759</v>
      </c>
      <c r="B760" s="29" t="s">
        <v>197</v>
      </c>
      <c r="C760" s="29">
        <v>8</v>
      </c>
      <c r="D760" s="29" t="s">
        <v>337</v>
      </c>
      <c r="E760" s="29" t="s">
        <v>342</v>
      </c>
      <c r="F760" s="19"/>
      <c r="G760" s="29"/>
      <c r="H760" s="29"/>
      <c r="I760" s="19">
        <v>3.9</v>
      </c>
      <c r="K760" s="29">
        <v>89.01</v>
      </c>
      <c r="L760" s="29"/>
      <c r="N760" s="20">
        <v>0.41</v>
      </c>
      <c r="AO760" s="20">
        <v>3</v>
      </c>
    </row>
    <row r="761" spans="1:41">
      <c r="A761" s="19">
        <f t="shared" si="157"/>
        <v>760</v>
      </c>
      <c r="B761" s="29" t="s">
        <v>197</v>
      </c>
      <c r="C761" s="29">
        <v>8</v>
      </c>
      <c r="D761" s="29" t="s">
        <v>337</v>
      </c>
      <c r="E761" s="29" t="s">
        <v>343</v>
      </c>
      <c r="F761" s="19" t="s">
        <v>414</v>
      </c>
      <c r="G761" s="29"/>
      <c r="H761" s="29"/>
      <c r="I761" s="19">
        <v>3.81</v>
      </c>
      <c r="K761" s="29">
        <v>85.53</v>
      </c>
      <c r="L761" s="29"/>
      <c r="N761" s="20">
        <v>0.3</v>
      </c>
      <c r="AO761" s="20">
        <v>3</v>
      </c>
    </row>
    <row r="762" spans="1:41">
      <c r="A762" s="19">
        <f t="shared" si="157"/>
        <v>761</v>
      </c>
      <c r="B762" s="29" t="s">
        <v>197</v>
      </c>
      <c r="C762" s="29">
        <v>8</v>
      </c>
      <c r="D762" s="29" t="s">
        <v>337</v>
      </c>
      <c r="E762" s="29" t="s">
        <v>344</v>
      </c>
      <c r="F762" s="19"/>
      <c r="G762" s="29"/>
      <c r="H762" s="29"/>
      <c r="I762" s="19">
        <v>3.71</v>
      </c>
      <c r="K762" s="29">
        <v>81.239999999999995</v>
      </c>
      <c r="L762" s="29"/>
      <c r="N762" s="20">
        <v>0.68</v>
      </c>
      <c r="AO762" s="20">
        <v>3</v>
      </c>
    </row>
    <row r="763" spans="1:41">
      <c r="A763" s="19">
        <f t="shared" si="157"/>
        <v>762</v>
      </c>
      <c r="B763" s="29" t="s">
        <v>197</v>
      </c>
      <c r="C763" s="29">
        <v>8</v>
      </c>
      <c r="D763" s="29" t="s">
        <v>337</v>
      </c>
      <c r="E763" s="29" t="s">
        <v>345</v>
      </c>
      <c r="F763" s="19"/>
      <c r="G763" s="29"/>
      <c r="H763" s="29"/>
      <c r="I763" s="19">
        <v>4.03</v>
      </c>
      <c r="K763" s="29">
        <v>93.9</v>
      </c>
      <c r="L763" s="29"/>
      <c r="N763" s="20">
        <v>1.05</v>
      </c>
      <c r="AO763" s="20">
        <v>3</v>
      </c>
    </row>
    <row r="764" spans="1:41">
      <c r="A764" s="19">
        <f t="shared" si="157"/>
        <v>763</v>
      </c>
      <c r="B764" s="29" t="s">
        <v>197</v>
      </c>
      <c r="C764" s="29">
        <v>8</v>
      </c>
      <c r="D764" s="29" t="s">
        <v>337</v>
      </c>
      <c r="E764" s="29" t="s">
        <v>346</v>
      </c>
      <c r="F764" s="19"/>
      <c r="G764" s="29"/>
      <c r="H764" s="29"/>
      <c r="I764" s="19">
        <v>3.73</v>
      </c>
      <c r="K764" s="29">
        <v>82.8</v>
      </c>
      <c r="L764" s="29"/>
      <c r="N764" s="20">
        <v>0</v>
      </c>
      <c r="AO764" s="20">
        <v>3</v>
      </c>
    </row>
    <row r="765" spans="1:41">
      <c r="A765" s="19">
        <f t="shared" si="157"/>
        <v>764</v>
      </c>
      <c r="B765" s="29" t="s">
        <v>197</v>
      </c>
      <c r="C765" s="29">
        <v>8</v>
      </c>
      <c r="D765" s="29" t="s">
        <v>337</v>
      </c>
      <c r="E765" s="29" t="s">
        <v>347</v>
      </c>
      <c r="F765" s="19"/>
      <c r="G765" s="29"/>
      <c r="H765" s="29"/>
      <c r="I765" s="19">
        <v>3.81</v>
      </c>
      <c r="K765" s="29">
        <v>85.6</v>
      </c>
      <c r="L765" s="29"/>
      <c r="N765" s="20">
        <v>0.1</v>
      </c>
      <c r="AO765" s="20">
        <v>3</v>
      </c>
    </row>
    <row r="766" spans="1:41">
      <c r="A766" s="19">
        <f t="shared" si="157"/>
        <v>765</v>
      </c>
      <c r="B766" s="29" t="s">
        <v>197</v>
      </c>
      <c r="C766" s="29">
        <v>8</v>
      </c>
      <c r="D766" s="29" t="s">
        <v>337</v>
      </c>
      <c r="E766" s="29" t="s">
        <v>348</v>
      </c>
      <c r="F766" s="19"/>
      <c r="G766" s="29"/>
      <c r="H766" s="29"/>
      <c r="I766" s="19">
        <v>3.87</v>
      </c>
      <c r="K766" s="29">
        <v>88</v>
      </c>
      <c r="L766" s="29"/>
      <c r="N766" s="20">
        <v>0.1</v>
      </c>
      <c r="AO766" s="20">
        <v>3</v>
      </c>
    </row>
    <row r="767" spans="1:41">
      <c r="A767" s="19">
        <f t="shared" si="157"/>
        <v>766</v>
      </c>
      <c r="B767" s="29" t="s">
        <v>197</v>
      </c>
      <c r="C767" s="29">
        <v>8</v>
      </c>
      <c r="D767" s="29" t="s">
        <v>337</v>
      </c>
      <c r="E767" s="29" t="s">
        <v>349</v>
      </c>
      <c r="F767" s="19"/>
      <c r="G767" s="29"/>
      <c r="H767" s="29"/>
      <c r="I767" s="19">
        <v>4.17</v>
      </c>
      <c r="K767" s="29">
        <v>99.9</v>
      </c>
      <c r="L767" s="29"/>
      <c r="N767" s="20">
        <v>0.1</v>
      </c>
      <c r="AO767" s="20">
        <v>3</v>
      </c>
    </row>
    <row r="768" spans="1:41">
      <c r="A768" s="19">
        <f t="shared" si="157"/>
        <v>767</v>
      </c>
      <c r="B768" s="29" t="s">
        <v>197</v>
      </c>
      <c r="C768" s="29">
        <v>8</v>
      </c>
      <c r="D768" s="29" t="s">
        <v>337</v>
      </c>
      <c r="E768" s="29" t="s">
        <v>350</v>
      </c>
      <c r="F768" s="19"/>
      <c r="G768" s="29"/>
      <c r="H768" s="29"/>
      <c r="I768" s="19">
        <v>3.9</v>
      </c>
      <c r="K768" s="29">
        <v>89.4</v>
      </c>
      <c r="L768" s="29"/>
      <c r="N768" s="20">
        <v>0.1</v>
      </c>
      <c r="AO768" s="20">
        <v>3</v>
      </c>
    </row>
    <row r="769" spans="1:41">
      <c r="A769" s="19">
        <f t="shared" si="157"/>
        <v>768</v>
      </c>
      <c r="B769" s="29" t="s">
        <v>197</v>
      </c>
      <c r="C769" s="29">
        <v>8</v>
      </c>
      <c r="D769" s="29" t="s">
        <v>337</v>
      </c>
      <c r="E769" s="29" t="s">
        <v>351</v>
      </c>
      <c r="F769" s="19"/>
      <c r="G769" s="29"/>
      <c r="H769" s="29"/>
      <c r="I769" s="19">
        <v>3.83</v>
      </c>
      <c r="K769" s="29">
        <v>86.7</v>
      </c>
      <c r="L769" s="29"/>
      <c r="N769" s="20">
        <v>0.1</v>
      </c>
      <c r="AO769" s="20">
        <v>3</v>
      </c>
    </row>
    <row r="770" spans="1:41">
      <c r="A770" s="19">
        <f t="shared" si="157"/>
        <v>769</v>
      </c>
      <c r="B770" s="29" t="s">
        <v>197</v>
      </c>
      <c r="C770" s="29">
        <v>8</v>
      </c>
      <c r="D770" s="29" t="s">
        <v>337</v>
      </c>
      <c r="E770" s="29" t="s">
        <v>352</v>
      </c>
      <c r="F770" s="19"/>
      <c r="G770" s="29"/>
      <c r="H770" s="29"/>
      <c r="I770" s="19">
        <v>3.95</v>
      </c>
      <c r="K770" s="29">
        <v>91.2</v>
      </c>
      <c r="L770" s="29"/>
      <c r="N770" s="20">
        <v>0</v>
      </c>
      <c r="AO770" s="20">
        <v>3</v>
      </c>
    </row>
    <row r="771" spans="1:41">
      <c r="A771" s="19">
        <f t="shared" ref="A771:A834" si="158">A770+1</f>
        <v>770</v>
      </c>
      <c r="B771" s="29" t="s">
        <v>197</v>
      </c>
      <c r="C771" s="29">
        <v>8</v>
      </c>
      <c r="D771" s="29" t="s">
        <v>337</v>
      </c>
      <c r="E771" s="29" t="s">
        <v>353</v>
      </c>
      <c r="F771" s="19"/>
      <c r="G771" s="29"/>
      <c r="H771" s="29"/>
      <c r="I771" s="19">
        <v>3.89</v>
      </c>
      <c r="K771" s="29">
        <v>88.8</v>
      </c>
      <c r="L771" s="29"/>
      <c r="N771" s="20">
        <v>0.1</v>
      </c>
      <c r="AO771" s="20">
        <v>3</v>
      </c>
    </row>
    <row r="772" spans="1:41">
      <c r="A772" s="19">
        <f t="shared" si="158"/>
        <v>771</v>
      </c>
      <c r="B772" s="29" t="s">
        <v>197</v>
      </c>
      <c r="C772" s="29">
        <v>8</v>
      </c>
      <c r="D772" s="29" t="s">
        <v>337</v>
      </c>
      <c r="E772" s="29" t="s">
        <v>354</v>
      </c>
      <c r="F772" s="19"/>
      <c r="G772" s="29"/>
      <c r="H772" s="29"/>
      <c r="I772" s="19">
        <v>3.9</v>
      </c>
      <c r="K772" s="29">
        <v>89.5</v>
      </c>
      <c r="L772" s="29"/>
      <c r="N772" s="20">
        <v>0.1</v>
      </c>
      <c r="AO772" s="20">
        <v>3</v>
      </c>
    </row>
    <row r="773" spans="1:41">
      <c r="A773" s="19">
        <f t="shared" si="158"/>
        <v>772</v>
      </c>
      <c r="B773" s="29" t="s">
        <v>197</v>
      </c>
      <c r="C773" s="29">
        <v>8</v>
      </c>
      <c r="D773" s="29" t="s">
        <v>337</v>
      </c>
      <c r="E773" s="29" t="s">
        <v>355</v>
      </c>
      <c r="F773" s="19"/>
      <c r="G773" s="29"/>
      <c r="H773" s="29"/>
      <c r="I773" s="19">
        <v>3.86</v>
      </c>
      <c r="K773" s="29">
        <v>87.6</v>
      </c>
      <c r="L773" s="29"/>
      <c r="N773" s="20">
        <v>0.1</v>
      </c>
      <c r="AO773" s="20">
        <v>3</v>
      </c>
    </row>
    <row r="774" spans="1:41">
      <c r="A774" s="19">
        <f t="shared" si="158"/>
        <v>773</v>
      </c>
      <c r="B774" s="29" t="s">
        <v>197</v>
      </c>
      <c r="C774" s="29">
        <v>8</v>
      </c>
      <c r="D774" s="29" t="s">
        <v>337</v>
      </c>
      <c r="E774" s="29" t="s">
        <v>356</v>
      </c>
      <c r="F774" s="19"/>
      <c r="G774" s="29"/>
      <c r="H774" s="29"/>
      <c r="I774" s="19">
        <v>3.9</v>
      </c>
      <c r="K774" s="29">
        <v>89.3</v>
      </c>
      <c r="L774" s="29"/>
      <c r="N774" s="20">
        <v>0.81</v>
      </c>
      <c r="AO774" s="20">
        <v>3</v>
      </c>
    </row>
    <row r="775" spans="1:41">
      <c r="A775" s="19">
        <f t="shared" si="158"/>
        <v>774</v>
      </c>
      <c r="B775" s="29" t="s">
        <v>197</v>
      </c>
      <c r="C775" s="29">
        <v>8</v>
      </c>
      <c r="D775" s="29" t="s">
        <v>337</v>
      </c>
      <c r="E775" s="29" t="s">
        <v>357</v>
      </c>
      <c r="F775" s="19"/>
      <c r="G775" s="29"/>
      <c r="H775" s="29"/>
      <c r="I775" s="19">
        <v>2.0299999999999998</v>
      </c>
      <c r="K775" s="29">
        <v>17.100000000000001</v>
      </c>
      <c r="N775" s="20">
        <v>2.0299999999999998</v>
      </c>
      <c r="AO775" s="20">
        <v>3</v>
      </c>
    </row>
    <row r="776" spans="1:41">
      <c r="A776" s="19">
        <f t="shared" si="158"/>
        <v>775</v>
      </c>
      <c r="B776" s="29" t="s">
        <v>197</v>
      </c>
      <c r="C776" s="29">
        <v>8</v>
      </c>
      <c r="D776" s="29" t="s">
        <v>337</v>
      </c>
      <c r="E776" s="29" t="s">
        <v>358</v>
      </c>
      <c r="F776" s="19"/>
      <c r="G776" s="29"/>
      <c r="H776" s="29"/>
      <c r="I776" s="19">
        <v>2.41</v>
      </c>
      <c r="K776" s="29">
        <v>32</v>
      </c>
      <c r="M776" s="29"/>
      <c r="N776" s="19">
        <v>2.41</v>
      </c>
      <c r="AO776" s="20">
        <v>3</v>
      </c>
    </row>
    <row r="777" spans="1:41">
      <c r="A777" s="19">
        <f t="shared" si="158"/>
        <v>776</v>
      </c>
      <c r="B777" s="29" t="s">
        <v>197</v>
      </c>
      <c r="C777" s="29">
        <v>8</v>
      </c>
      <c r="D777" s="27" t="s">
        <v>940</v>
      </c>
      <c r="E777" s="27" t="s">
        <v>572</v>
      </c>
      <c r="F777" s="20" t="s">
        <v>622</v>
      </c>
      <c r="H777" s="27">
        <v>0.57999999999999996</v>
      </c>
      <c r="K777" s="27">
        <v>90</v>
      </c>
      <c r="AO777" s="20">
        <v>3</v>
      </c>
    </row>
    <row r="778" spans="1:41">
      <c r="A778" s="19">
        <f t="shared" si="158"/>
        <v>777</v>
      </c>
      <c r="B778" s="29" t="s">
        <v>197</v>
      </c>
      <c r="C778" s="29">
        <v>8</v>
      </c>
      <c r="D778" s="27" t="s">
        <v>940</v>
      </c>
      <c r="E778" s="27" t="s">
        <v>572</v>
      </c>
      <c r="F778" s="20" t="s">
        <v>623</v>
      </c>
      <c r="H778" s="27">
        <v>0.52200000000000002</v>
      </c>
      <c r="K778" s="27">
        <v>83</v>
      </c>
      <c r="AO778" s="20">
        <v>3</v>
      </c>
    </row>
    <row r="779" spans="1:41">
      <c r="A779" s="19">
        <f t="shared" si="158"/>
        <v>778</v>
      </c>
      <c r="B779" s="29" t="s">
        <v>197</v>
      </c>
      <c r="C779" s="29">
        <v>8</v>
      </c>
      <c r="D779" s="27" t="s">
        <v>940</v>
      </c>
      <c r="E779" s="27" t="s">
        <v>572</v>
      </c>
      <c r="F779" s="20" t="s">
        <v>624</v>
      </c>
      <c r="H779" s="27">
        <v>0.55000000000000004</v>
      </c>
      <c r="K779" s="27">
        <v>83</v>
      </c>
      <c r="AO779" s="20">
        <v>3</v>
      </c>
    </row>
    <row r="780" spans="1:41">
      <c r="A780" s="19">
        <f t="shared" si="158"/>
        <v>779</v>
      </c>
      <c r="B780" s="29" t="s">
        <v>197</v>
      </c>
      <c r="C780" s="29">
        <v>8</v>
      </c>
      <c r="D780" s="27" t="s">
        <v>940</v>
      </c>
      <c r="E780" s="27" t="s">
        <v>572</v>
      </c>
      <c r="F780" s="20" t="s">
        <v>625</v>
      </c>
      <c r="H780" s="27">
        <v>0.58599999999999997</v>
      </c>
      <c r="K780" s="27">
        <v>83</v>
      </c>
      <c r="AO780" s="20">
        <v>3</v>
      </c>
    </row>
    <row r="781" spans="1:41">
      <c r="A781" s="19">
        <f t="shared" si="158"/>
        <v>780</v>
      </c>
      <c r="B781" s="29" t="s">
        <v>197</v>
      </c>
      <c r="C781" s="29">
        <v>8</v>
      </c>
      <c r="D781" s="27" t="s">
        <v>940</v>
      </c>
      <c r="E781" s="27" t="s">
        <v>572</v>
      </c>
      <c r="F781" s="20" t="s">
        <v>626</v>
      </c>
      <c r="H781" s="27">
        <v>0.61399999999999999</v>
      </c>
      <c r="K781" s="27">
        <v>83</v>
      </c>
      <c r="AO781" s="20">
        <v>3</v>
      </c>
    </row>
    <row r="782" spans="1:41">
      <c r="A782" s="19">
        <f t="shared" si="158"/>
        <v>781</v>
      </c>
      <c r="B782" s="29" t="s">
        <v>197</v>
      </c>
      <c r="C782" s="29">
        <v>8</v>
      </c>
      <c r="D782" s="27" t="s">
        <v>940</v>
      </c>
      <c r="E782" s="27" t="s">
        <v>572</v>
      </c>
      <c r="F782" s="20" t="s">
        <v>627</v>
      </c>
      <c r="H782" s="27">
        <v>0.53800000000000003</v>
      </c>
      <c r="K782" s="27">
        <v>90</v>
      </c>
      <c r="AO782" s="20">
        <v>3</v>
      </c>
    </row>
    <row r="783" spans="1:41">
      <c r="A783" s="19">
        <f t="shared" si="158"/>
        <v>782</v>
      </c>
      <c r="B783" s="29" t="s">
        <v>197</v>
      </c>
      <c r="C783" s="29">
        <v>8</v>
      </c>
      <c r="D783" s="27" t="s">
        <v>940</v>
      </c>
      <c r="E783" s="27" t="s">
        <v>572</v>
      </c>
      <c r="F783" s="20" t="s">
        <v>628</v>
      </c>
      <c r="H783" s="27">
        <v>0.56599999999999995</v>
      </c>
      <c r="K783" s="27">
        <v>90</v>
      </c>
      <c r="AO783" s="20">
        <v>3</v>
      </c>
    </row>
    <row r="784" spans="1:41">
      <c r="A784" s="19">
        <f t="shared" si="158"/>
        <v>783</v>
      </c>
      <c r="B784" s="29" t="s">
        <v>197</v>
      </c>
      <c r="C784" s="29">
        <v>8</v>
      </c>
      <c r="D784" s="27" t="s">
        <v>940</v>
      </c>
      <c r="E784" s="27" t="s">
        <v>572</v>
      </c>
      <c r="F784" s="20" t="s">
        <v>629</v>
      </c>
      <c r="H784" s="27">
        <v>0.60599999999999998</v>
      </c>
      <c r="K784" s="27">
        <v>90</v>
      </c>
      <c r="AO784" s="20">
        <v>3</v>
      </c>
    </row>
    <row r="785" spans="1:41">
      <c r="A785" s="19">
        <f t="shared" si="158"/>
        <v>784</v>
      </c>
      <c r="B785" s="29" t="s">
        <v>197</v>
      </c>
      <c r="C785" s="29">
        <v>8</v>
      </c>
      <c r="D785" s="27" t="s">
        <v>940</v>
      </c>
      <c r="E785" s="27" t="s">
        <v>572</v>
      </c>
      <c r="F785" s="20" t="s">
        <v>630</v>
      </c>
      <c r="H785" s="27">
        <v>0.63500000000000001</v>
      </c>
      <c r="K785" s="27">
        <v>90</v>
      </c>
      <c r="AO785" s="20">
        <v>3</v>
      </c>
    </row>
    <row r="786" spans="1:41">
      <c r="A786" s="19">
        <f t="shared" si="158"/>
        <v>785</v>
      </c>
      <c r="B786" s="29" t="s">
        <v>197</v>
      </c>
      <c r="C786" s="29">
        <v>8</v>
      </c>
      <c r="D786" s="27" t="s">
        <v>940</v>
      </c>
      <c r="E786" s="27" t="s">
        <v>572</v>
      </c>
      <c r="F786" s="20" t="s">
        <v>631</v>
      </c>
      <c r="H786" s="27">
        <v>0.48599999999999999</v>
      </c>
      <c r="K786" s="27">
        <v>72</v>
      </c>
      <c r="AO786" s="20">
        <v>3</v>
      </c>
    </row>
    <row r="787" spans="1:41">
      <c r="A787" s="19">
        <f t="shared" si="158"/>
        <v>786</v>
      </c>
      <c r="B787" s="29" t="s">
        <v>197</v>
      </c>
      <c r="C787" s="29">
        <v>8</v>
      </c>
      <c r="D787" s="27" t="s">
        <v>940</v>
      </c>
      <c r="E787" s="27" t="s">
        <v>572</v>
      </c>
      <c r="F787" s="20" t="s">
        <v>632</v>
      </c>
      <c r="H787" s="27">
        <v>0.504</v>
      </c>
      <c r="K787" s="27">
        <v>72</v>
      </c>
      <c r="AO787" s="20">
        <v>3</v>
      </c>
    </row>
    <row r="788" spans="1:41">
      <c r="A788" s="19">
        <f t="shared" si="158"/>
        <v>787</v>
      </c>
      <c r="B788" s="29" t="s">
        <v>197</v>
      </c>
      <c r="C788" s="29">
        <v>8</v>
      </c>
      <c r="D788" s="27" t="s">
        <v>940</v>
      </c>
      <c r="E788" s="27" t="s">
        <v>572</v>
      </c>
      <c r="F788" s="20" t="s">
        <v>633</v>
      </c>
      <c r="H788" s="27">
        <v>0.54200000000000004</v>
      </c>
      <c r="K788" s="27">
        <v>72</v>
      </c>
      <c r="AO788" s="20">
        <v>3</v>
      </c>
    </row>
    <row r="789" spans="1:41">
      <c r="A789" s="19">
        <f t="shared" si="158"/>
        <v>788</v>
      </c>
      <c r="B789" s="29" t="s">
        <v>197</v>
      </c>
      <c r="C789" s="29">
        <v>8</v>
      </c>
      <c r="D789" s="27" t="s">
        <v>940</v>
      </c>
      <c r="E789" s="27" t="s">
        <v>572</v>
      </c>
      <c r="F789" s="20" t="s">
        <v>634</v>
      </c>
      <c r="H789" s="27">
        <v>0.56499999999999995</v>
      </c>
      <c r="K789" s="27">
        <v>72</v>
      </c>
      <c r="AO789" s="20">
        <v>3</v>
      </c>
    </row>
    <row r="790" spans="1:41">
      <c r="A790" s="19">
        <f t="shared" si="158"/>
        <v>789</v>
      </c>
      <c r="B790" s="29" t="s">
        <v>197</v>
      </c>
      <c r="C790" s="29">
        <v>8</v>
      </c>
      <c r="D790" s="27" t="s">
        <v>940</v>
      </c>
      <c r="E790" s="27" t="s">
        <v>572</v>
      </c>
      <c r="F790" s="20" t="s">
        <v>631</v>
      </c>
      <c r="G790" s="34"/>
      <c r="H790" s="27">
        <v>0.45600000000000002</v>
      </c>
      <c r="K790" s="27">
        <v>62</v>
      </c>
      <c r="AO790" s="20">
        <v>3</v>
      </c>
    </row>
    <row r="791" spans="1:41">
      <c r="A791" s="19">
        <f t="shared" si="158"/>
        <v>790</v>
      </c>
      <c r="B791" s="29" t="s">
        <v>197</v>
      </c>
      <c r="C791" s="29">
        <v>8</v>
      </c>
      <c r="D791" s="27" t="s">
        <v>940</v>
      </c>
      <c r="E791" s="27" t="s">
        <v>572</v>
      </c>
      <c r="F791" s="20" t="s">
        <v>632</v>
      </c>
      <c r="H791" s="27">
        <v>0.47199999999999998</v>
      </c>
      <c r="K791" s="27">
        <v>62</v>
      </c>
      <c r="AO791" s="20">
        <v>3</v>
      </c>
    </row>
    <row r="792" spans="1:41">
      <c r="A792" s="19">
        <f t="shared" si="158"/>
        <v>791</v>
      </c>
      <c r="B792" s="29" t="s">
        <v>197</v>
      </c>
      <c r="C792" s="29">
        <v>8</v>
      </c>
      <c r="D792" s="27" t="s">
        <v>940</v>
      </c>
      <c r="E792" s="27" t="s">
        <v>572</v>
      </c>
      <c r="F792" s="20" t="s">
        <v>633</v>
      </c>
      <c r="H792" s="27">
        <v>0.51</v>
      </c>
      <c r="K792" s="27">
        <v>62</v>
      </c>
      <c r="AO792" s="20">
        <v>3</v>
      </c>
    </row>
    <row r="793" spans="1:41">
      <c r="A793" s="19">
        <f t="shared" si="158"/>
        <v>792</v>
      </c>
      <c r="B793" s="29" t="s">
        <v>197</v>
      </c>
      <c r="C793" s="29">
        <v>8</v>
      </c>
      <c r="D793" s="27" t="s">
        <v>940</v>
      </c>
      <c r="E793" s="27" t="s">
        <v>572</v>
      </c>
      <c r="F793" s="20" t="s">
        <v>634</v>
      </c>
      <c r="H793" s="27">
        <v>0.53100000000000003</v>
      </c>
      <c r="K793" s="27">
        <v>62</v>
      </c>
      <c r="AO793" s="20">
        <v>3</v>
      </c>
    </row>
    <row r="794" spans="1:41">
      <c r="A794" s="19">
        <f t="shared" si="158"/>
        <v>793</v>
      </c>
      <c r="B794" s="29" t="s">
        <v>197</v>
      </c>
      <c r="C794" s="29">
        <v>8</v>
      </c>
      <c r="D794" s="27" t="s">
        <v>940</v>
      </c>
      <c r="E794" s="27" t="s">
        <v>572</v>
      </c>
      <c r="F794" s="20" t="s">
        <v>635</v>
      </c>
      <c r="G794" s="35"/>
      <c r="H794" s="27">
        <v>0.47199999999999998</v>
      </c>
      <c r="K794" s="27">
        <v>67</v>
      </c>
      <c r="AO794" s="20">
        <v>3</v>
      </c>
    </row>
    <row r="795" spans="1:41">
      <c r="A795" s="19">
        <f t="shared" si="158"/>
        <v>794</v>
      </c>
      <c r="B795" s="29" t="s">
        <v>197</v>
      </c>
      <c r="C795" s="29">
        <v>8</v>
      </c>
      <c r="D795" s="27" t="s">
        <v>940</v>
      </c>
      <c r="E795" s="27" t="s">
        <v>572</v>
      </c>
      <c r="F795" s="20" t="s">
        <v>636</v>
      </c>
      <c r="H795" s="27">
        <v>0.504</v>
      </c>
      <c r="K795" s="27">
        <v>67</v>
      </c>
      <c r="AO795" s="20">
        <v>3</v>
      </c>
    </row>
    <row r="796" spans="1:41">
      <c r="A796" s="19">
        <f t="shared" si="158"/>
        <v>795</v>
      </c>
      <c r="B796" s="29" t="s">
        <v>197</v>
      </c>
      <c r="C796" s="29">
        <v>8</v>
      </c>
      <c r="D796" s="27" t="s">
        <v>940</v>
      </c>
      <c r="E796" s="27" t="s">
        <v>572</v>
      </c>
      <c r="F796" s="20" t="s">
        <v>637</v>
      </c>
      <c r="H796" s="27">
        <v>0.51600000000000001</v>
      </c>
      <c r="K796" s="27">
        <v>67</v>
      </c>
      <c r="AO796" s="20">
        <v>3</v>
      </c>
    </row>
    <row r="797" spans="1:41">
      <c r="A797" s="19">
        <f t="shared" si="158"/>
        <v>796</v>
      </c>
      <c r="B797" s="29" t="s">
        <v>197</v>
      </c>
      <c r="C797" s="29">
        <v>8</v>
      </c>
      <c r="D797" s="27" t="s">
        <v>940</v>
      </c>
      <c r="E797" s="27" t="s">
        <v>572</v>
      </c>
      <c r="F797" s="20" t="s">
        <v>638</v>
      </c>
      <c r="H797" s="27">
        <v>0.52700000000000002</v>
      </c>
      <c r="K797" s="27">
        <v>67</v>
      </c>
      <c r="AO797" s="20">
        <v>3</v>
      </c>
    </row>
    <row r="798" spans="1:41">
      <c r="A798" s="19">
        <f t="shared" si="158"/>
        <v>797</v>
      </c>
      <c r="B798" s="29" t="s">
        <v>197</v>
      </c>
      <c r="C798" s="29">
        <v>8</v>
      </c>
      <c r="D798" s="27" t="s">
        <v>940</v>
      </c>
      <c r="E798" s="27" t="s">
        <v>572</v>
      </c>
      <c r="F798" s="20" t="s">
        <v>639</v>
      </c>
      <c r="G798" s="35"/>
      <c r="H798" s="27">
        <v>0.32400000000000001</v>
      </c>
      <c r="K798" s="27">
        <v>50</v>
      </c>
      <c r="AO798" s="20">
        <v>3</v>
      </c>
    </row>
    <row r="799" spans="1:41">
      <c r="A799" s="19">
        <f t="shared" si="158"/>
        <v>798</v>
      </c>
      <c r="B799" s="29" t="s">
        <v>197</v>
      </c>
      <c r="C799" s="29">
        <v>8</v>
      </c>
      <c r="D799" s="27" t="s">
        <v>940</v>
      </c>
      <c r="E799" s="27" t="s">
        <v>572</v>
      </c>
      <c r="F799" s="20" t="s">
        <v>640</v>
      </c>
      <c r="H799" s="27">
        <v>0.34</v>
      </c>
      <c r="K799" s="27">
        <v>50</v>
      </c>
      <c r="AO799" s="20">
        <v>3</v>
      </c>
    </row>
    <row r="800" spans="1:41">
      <c r="A800" s="19">
        <f t="shared" si="158"/>
        <v>799</v>
      </c>
      <c r="B800" s="29" t="s">
        <v>197</v>
      </c>
      <c r="C800" s="29">
        <v>8</v>
      </c>
      <c r="D800" s="27" t="s">
        <v>940</v>
      </c>
      <c r="E800" s="27" t="s">
        <v>572</v>
      </c>
      <c r="F800" s="20" t="s">
        <v>641</v>
      </c>
      <c r="H800" s="27">
        <v>0.35699999999999998</v>
      </c>
      <c r="K800" s="27">
        <v>50</v>
      </c>
      <c r="AO800" s="20">
        <v>3</v>
      </c>
    </row>
    <row r="801" spans="1:41">
      <c r="A801" s="19">
        <f t="shared" si="158"/>
        <v>800</v>
      </c>
      <c r="B801" s="29" t="s">
        <v>197</v>
      </c>
      <c r="C801" s="29">
        <v>8</v>
      </c>
      <c r="D801" s="27" t="s">
        <v>940</v>
      </c>
      <c r="E801" s="27" t="s">
        <v>572</v>
      </c>
      <c r="F801" s="20" t="s">
        <v>638</v>
      </c>
      <c r="H801" s="27">
        <v>0.36399999999999999</v>
      </c>
      <c r="K801" s="27">
        <v>50</v>
      </c>
      <c r="AO801" s="20">
        <v>3</v>
      </c>
    </row>
    <row r="802" spans="1:41">
      <c r="A802" s="19">
        <f t="shared" si="158"/>
        <v>801</v>
      </c>
      <c r="B802" s="29" t="s">
        <v>197</v>
      </c>
      <c r="C802" s="29">
        <v>8</v>
      </c>
      <c r="D802" s="27" t="s">
        <v>940</v>
      </c>
      <c r="E802" s="27" t="s">
        <v>572</v>
      </c>
      <c r="F802" s="20" t="s">
        <v>642</v>
      </c>
      <c r="H802" s="27">
        <v>0.54</v>
      </c>
      <c r="K802" s="27">
        <v>90</v>
      </c>
      <c r="AO802" s="20">
        <v>3</v>
      </c>
    </row>
    <row r="803" spans="1:41">
      <c r="A803" s="19">
        <f t="shared" si="158"/>
        <v>802</v>
      </c>
      <c r="B803" s="29" t="s">
        <v>197</v>
      </c>
      <c r="C803" s="29">
        <v>8</v>
      </c>
      <c r="D803" s="27" t="s">
        <v>940</v>
      </c>
      <c r="E803" s="27" t="s">
        <v>572</v>
      </c>
      <c r="F803" s="20" t="s">
        <v>643</v>
      </c>
      <c r="H803" s="27">
        <v>0.56699999999999995</v>
      </c>
      <c r="K803" s="27">
        <v>90</v>
      </c>
      <c r="AO803" s="20">
        <v>3</v>
      </c>
    </row>
    <row r="804" spans="1:41">
      <c r="A804" s="19">
        <f t="shared" si="158"/>
        <v>803</v>
      </c>
      <c r="B804" s="29" t="s">
        <v>197</v>
      </c>
      <c r="C804" s="29">
        <v>8</v>
      </c>
      <c r="D804" s="27" t="s">
        <v>940</v>
      </c>
      <c r="E804" s="27" t="s">
        <v>572</v>
      </c>
      <c r="F804" s="20" t="s">
        <v>644</v>
      </c>
      <c r="H804" s="27">
        <v>0.63</v>
      </c>
      <c r="K804" s="27">
        <v>90</v>
      </c>
      <c r="AO804" s="20">
        <v>3</v>
      </c>
    </row>
    <row r="805" spans="1:41">
      <c r="A805" s="19">
        <f t="shared" si="158"/>
        <v>804</v>
      </c>
      <c r="B805" s="29" t="s">
        <v>197</v>
      </c>
      <c r="C805" s="29">
        <v>8</v>
      </c>
      <c r="D805" s="27" t="s">
        <v>940</v>
      </c>
      <c r="E805" s="27" t="s">
        <v>572</v>
      </c>
      <c r="F805" s="20" t="s">
        <v>645</v>
      </c>
      <c r="H805" s="27">
        <v>0.64</v>
      </c>
      <c r="K805" s="27">
        <v>90</v>
      </c>
      <c r="AO805" s="20">
        <v>3</v>
      </c>
    </row>
    <row r="806" spans="1:41">
      <c r="A806" s="19">
        <f t="shared" si="158"/>
        <v>805</v>
      </c>
      <c r="B806" s="29" t="s">
        <v>197</v>
      </c>
      <c r="C806" s="29">
        <v>8</v>
      </c>
      <c r="D806" s="27" t="s">
        <v>940</v>
      </c>
      <c r="E806" s="27" t="s">
        <v>357</v>
      </c>
      <c r="F806" s="20" t="s">
        <v>646</v>
      </c>
      <c r="H806" s="27">
        <v>0.502</v>
      </c>
      <c r="K806" s="27">
        <v>80</v>
      </c>
      <c r="AO806" s="20">
        <v>3</v>
      </c>
    </row>
    <row r="807" spans="1:41">
      <c r="A807" s="19">
        <f t="shared" si="158"/>
        <v>806</v>
      </c>
      <c r="B807" s="29" t="s">
        <v>197</v>
      </c>
      <c r="C807" s="29">
        <v>8</v>
      </c>
      <c r="D807" s="27" t="s">
        <v>940</v>
      </c>
      <c r="E807" s="27" t="s">
        <v>357</v>
      </c>
      <c r="F807" s="20" t="s">
        <v>647</v>
      </c>
      <c r="H807" s="27">
        <v>0.41499999999999998</v>
      </c>
      <c r="K807" s="27">
        <v>80</v>
      </c>
      <c r="AO807" s="20">
        <v>3</v>
      </c>
    </row>
    <row r="808" spans="1:41">
      <c r="A808" s="19">
        <f t="shared" si="158"/>
        <v>807</v>
      </c>
      <c r="B808" s="29" t="s">
        <v>197</v>
      </c>
      <c r="C808" s="29">
        <v>8</v>
      </c>
      <c r="D808" s="27" t="s">
        <v>940</v>
      </c>
      <c r="E808" s="27" t="s">
        <v>563</v>
      </c>
      <c r="F808" s="20" t="s">
        <v>648</v>
      </c>
      <c r="H808" s="27">
        <v>0.34599999999999997</v>
      </c>
      <c r="K808" s="27">
        <v>23</v>
      </c>
      <c r="AO808" s="20">
        <v>3</v>
      </c>
    </row>
    <row r="809" spans="1:41">
      <c r="A809" s="19">
        <f t="shared" si="158"/>
        <v>808</v>
      </c>
      <c r="B809" s="29" t="s">
        <v>197</v>
      </c>
      <c r="C809" s="29">
        <v>8</v>
      </c>
      <c r="D809" s="27" t="s">
        <v>940</v>
      </c>
      <c r="E809" s="27" t="s">
        <v>566</v>
      </c>
      <c r="F809" s="20" t="s">
        <v>662</v>
      </c>
      <c r="H809" s="27">
        <v>0.52200000000000002</v>
      </c>
      <c r="K809" s="27">
        <v>94</v>
      </c>
      <c r="AO809" s="20">
        <v>3</v>
      </c>
    </row>
    <row r="810" spans="1:41">
      <c r="A810" s="19">
        <f t="shared" si="158"/>
        <v>809</v>
      </c>
      <c r="B810" s="29" t="s">
        <v>197</v>
      </c>
      <c r="C810" s="29">
        <v>8</v>
      </c>
      <c r="D810" s="27" t="s">
        <v>940</v>
      </c>
      <c r="E810" s="27" t="s">
        <v>568</v>
      </c>
      <c r="F810" s="20" t="s">
        <v>663</v>
      </c>
      <c r="G810" s="27">
        <v>0.92</v>
      </c>
      <c r="H810" s="27">
        <v>0.17599999999999999</v>
      </c>
      <c r="AO810" s="20">
        <v>3</v>
      </c>
    </row>
    <row r="811" spans="1:41">
      <c r="A811" s="19">
        <f t="shared" si="158"/>
        <v>810</v>
      </c>
      <c r="B811" s="29" t="s">
        <v>197</v>
      </c>
      <c r="C811" s="29">
        <v>8</v>
      </c>
      <c r="D811" s="27" t="s">
        <v>940</v>
      </c>
      <c r="E811" s="27" t="s">
        <v>568</v>
      </c>
      <c r="F811" s="20" t="s">
        <v>664</v>
      </c>
      <c r="H811" s="27">
        <v>0.17</v>
      </c>
      <c r="AO811" s="20">
        <v>3</v>
      </c>
    </row>
    <row r="812" spans="1:41">
      <c r="A812" s="19">
        <f t="shared" si="158"/>
        <v>811</v>
      </c>
      <c r="B812" s="29" t="s">
        <v>197</v>
      </c>
      <c r="C812" s="29">
        <v>8</v>
      </c>
      <c r="D812" s="27" t="s">
        <v>940</v>
      </c>
      <c r="E812" s="27" t="s">
        <v>568</v>
      </c>
      <c r="F812" s="20" t="s">
        <v>665</v>
      </c>
      <c r="G812" s="27">
        <v>0.82</v>
      </c>
      <c r="H812" s="27">
        <v>0.156</v>
      </c>
      <c r="AO812" s="20">
        <v>3</v>
      </c>
    </row>
    <row r="813" spans="1:41">
      <c r="A813" s="19">
        <f t="shared" si="158"/>
        <v>812</v>
      </c>
      <c r="B813" s="29" t="s">
        <v>197</v>
      </c>
      <c r="C813" s="29">
        <v>8</v>
      </c>
      <c r="D813" s="27" t="s">
        <v>940</v>
      </c>
      <c r="E813" s="27" t="s">
        <v>568</v>
      </c>
      <c r="F813" s="20" t="s">
        <v>666</v>
      </c>
      <c r="G813" s="27">
        <v>1.02</v>
      </c>
      <c r="H813" s="27">
        <v>0.17</v>
      </c>
      <c r="AO813" s="20">
        <v>3</v>
      </c>
    </row>
    <row r="814" spans="1:41">
      <c r="A814" s="19">
        <f t="shared" si="158"/>
        <v>813</v>
      </c>
      <c r="B814" s="29" t="s">
        <v>197</v>
      </c>
      <c r="C814" s="29">
        <v>8</v>
      </c>
      <c r="D814" s="27" t="s">
        <v>940</v>
      </c>
      <c r="E814" s="27" t="s">
        <v>568</v>
      </c>
      <c r="F814" s="20" t="s">
        <v>667</v>
      </c>
      <c r="G814" s="27">
        <v>0.94</v>
      </c>
      <c r="H814" s="27">
        <v>0.156</v>
      </c>
      <c r="AO814" s="20">
        <v>3</v>
      </c>
    </row>
    <row r="815" spans="1:41">
      <c r="A815" s="19">
        <f t="shared" si="158"/>
        <v>814</v>
      </c>
      <c r="B815" s="29" t="s">
        <v>197</v>
      </c>
      <c r="C815" s="29">
        <v>8</v>
      </c>
      <c r="D815" s="27" t="s">
        <v>940</v>
      </c>
      <c r="E815" s="27" t="s">
        <v>568</v>
      </c>
      <c r="F815" s="20" t="s">
        <v>668</v>
      </c>
      <c r="G815" s="27">
        <v>0.91</v>
      </c>
      <c r="H815" s="27">
        <v>0.17499999999999999</v>
      </c>
      <c r="AO815" s="20">
        <v>3</v>
      </c>
    </row>
    <row r="816" spans="1:41">
      <c r="A816" s="19">
        <f t="shared" si="158"/>
        <v>815</v>
      </c>
      <c r="B816" s="29" t="s">
        <v>197</v>
      </c>
      <c r="C816" s="29">
        <v>8</v>
      </c>
      <c r="D816" s="27" t="s">
        <v>940</v>
      </c>
      <c r="E816" s="27" t="s">
        <v>568</v>
      </c>
      <c r="F816" s="20" t="s">
        <v>669</v>
      </c>
      <c r="G816" s="27">
        <v>0.91</v>
      </c>
      <c r="H816" s="27">
        <v>0.16800000000000001</v>
      </c>
      <c r="AO816" s="20">
        <v>3</v>
      </c>
    </row>
    <row r="817" spans="1:41">
      <c r="A817" s="19">
        <f t="shared" si="158"/>
        <v>816</v>
      </c>
      <c r="B817" s="29" t="s">
        <v>197</v>
      </c>
      <c r="C817" s="29">
        <v>8</v>
      </c>
      <c r="D817" s="27" t="s">
        <v>940</v>
      </c>
      <c r="E817" s="27" t="s">
        <v>568</v>
      </c>
      <c r="F817" s="20" t="s">
        <v>670</v>
      </c>
      <c r="H817" s="27">
        <v>0.16600000000000001</v>
      </c>
      <c r="AO817" s="20">
        <v>3</v>
      </c>
    </row>
    <row r="818" spans="1:41">
      <c r="A818" s="19">
        <f t="shared" si="158"/>
        <v>817</v>
      </c>
      <c r="B818" s="29" t="s">
        <v>197</v>
      </c>
      <c r="C818" s="29">
        <v>8</v>
      </c>
      <c r="D818" s="27" t="s">
        <v>940</v>
      </c>
      <c r="E818" s="27" t="s">
        <v>568</v>
      </c>
      <c r="F818" s="20" t="s">
        <v>671</v>
      </c>
      <c r="H818" s="27">
        <v>0.16</v>
      </c>
      <c r="AO818" s="20">
        <v>3</v>
      </c>
    </row>
    <row r="819" spans="1:41">
      <c r="A819" s="19">
        <f t="shared" si="158"/>
        <v>818</v>
      </c>
      <c r="B819" s="29" t="s">
        <v>197</v>
      </c>
      <c r="C819" s="29">
        <v>8</v>
      </c>
      <c r="D819" s="27" t="s">
        <v>940</v>
      </c>
      <c r="E819" s="27" t="s">
        <v>568</v>
      </c>
      <c r="F819" s="20" t="s">
        <v>672</v>
      </c>
      <c r="H819" s="27">
        <v>0.156</v>
      </c>
      <c r="AO819" s="20">
        <v>3</v>
      </c>
    </row>
    <row r="820" spans="1:41">
      <c r="A820" s="19">
        <f t="shared" si="158"/>
        <v>819</v>
      </c>
      <c r="B820" s="29" t="s">
        <v>197</v>
      </c>
      <c r="C820" s="29">
        <v>8</v>
      </c>
      <c r="D820" s="27" t="s">
        <v>940</v>
      </c>
      <c r="E820" s="27" t="s">
        <v>568</v>
      </c>
      <c r="F820" s="20" t="s">
        <v>673</v>
      </c>
      <c r="G820" s="27">
        <v>0.92</v>
      </c>
      <c r="H820" s="27">
        <v>0.16800000000000001</v>
      </c>
      <c r="AO820" s="20">
        <v>3</v>
      </c>
    </row>
    <row r="821" spans="1:41">
      <c r="A821" s="19">
        <f t="shared" si="158"/>
        <v>820</v>
      </c>
      <c r="B821" s="29" t="s">
        <v>197</v>
      </c>
      <c r="C821" s="29">
        <v>8</v>
      </c>
      <c r="D821" s="27" t="s">
        <v>940</v>
      </c>
      <c r="E821" s="27" t="s">
        <v>568</v>
      </c>
      <c r="F821" s="20" t="s">
        <v>674</v>
      </c>
      <c r="H821" s="27">
        <v>0.16900000000000001</v>
      </c>
      <c r="AO821" s="20">
        <v>3</v>
      </c>
    </row>
    <row r="822" spans="1:41">
      <c r="A822" s="19">
        <f t="shared" si="158"/>
        <v>821</v>
      </c>
      <c r="B822" s="29" t="s">
        <v>197</v>
      </c>
      <c r="C822" s="29">
        <v>8</v>
      </c>
      <c r="D822" s="27" t="s">
        <v>940</v>
      </c>
      <c r="E822" s="27" t="s">
        <v>568</v>
      </c>
      <c r="F822" s="20" t="s">
        <v>675</v>
      </c>
      <c r="G822" s="27">
        <v>0.91</v>
      </c>
      <c r="H822" s="27">
        <v>0.16</v>
      </c>
      <c r="AO822" s="20">
        <v>3</v>
      </c>
    </row>
    <row r="823" spans="1:41">
      <c r="A823" s="19">
        <f t="shared" si="158"/>
        <v>822</v>
      </c>
      <c r="B823" s="29" t="s">
        <v>197</v>
      </c>
      <c r="C823" s="29">
        <v>8</v>
      </c>
      <c r="D823" s="27" t="s">
        <v>940</v>
      </c>
      <c r="E823" s="27" t="s">
        <v>568</v>
      </c>
      <c r="F823" s="20" t="s">
        <v>676</v>
      </c>
      <c r="G823" s="27">
        <v>0.92</v>
      </c>
      <c r="H823" s="27">
        <v>0.17599999999999999</v>
      </c>
      <c r="AO823" s="20">
        <v>3</v>
      </c>
    </row>
    <row r="824" spans="1:41">
      <c r="A824" s="19">
        <f t="shared" si="158"/>
        <v>823</v>
      </c>
      <c r="B824" s="29" t="s">
        <v>219</v>
      </c>
      <c r="C824" s="29">
        <v>8</v>
      </c>
      <c r="D824" s="27" t="s">
        <v>940</v>
      </c>
      <c r="E824" s="27" t="s">
        <v>700</v>
      </c>
      <c r="G824" s="27">
        <v>0.88</v>
      </c>
      <c r="AO824" s="20">
        <v>4</v>
      </c>
    </row>
    <row r="825" spans="1:41">
      <c r="A825" s="19">
        <f t="shared" si="158"/>
        <v>824</v>
      </c>
      <c r="B825" s="29" t="s">
        <v>219</v>
      </c>
      <c r="C825" s="29">
        <v>8</v>
      </c>
      <c r="D825" s="27" t="s">
        <v>940</v>
      </c>
      <c r="E825" s="27" t="s">
        <v>701</v>
      </c>
      <c r="G825" s="27">
        <v>0.88</v>
      </c>
      <c r="AO825" s="20">
        <v>4</v>
      </c>
    </row>
    <row r="826" spans="1:41">
      <c r="A826" s="19">
        <f t="shared" si="158"/>
        <v>825</v>
      </c>
      <c r="B826" s="29" t="s">
        <v>219</v>
      </c>
      <c r="C826" s="29">
        <v>8</v>
      </c>
      <c r="D826" s="27" t="s">
        <v>940</v>
      </c>
      <c r="E826" s="27" t="s">
        <v>702</v>
      </c>
      <c r="G826" s="27">
        <v>0.88</v>
      </c>
      <c r="AO826" s="20">
        <v>4</v>
      </c>
    </row>
    <row r="827" spans="1:41">
      <c r="A827" s="19">
        <f t="shared" si="158"/>
        <v>826</v>
      </c>
      <c r="B827" s="29" t="s">
        <v>219</v>
      </c>
      <c r="C827" s="29">
        <v>8</v>
      </c>
      <c r="D827" s="27" t="s">
        <v>940</v>
      </c>
      <c r="E827" s="27" t="s">
        <v>703</v>
      </c>
      <c r="G827" s="27">
        <v>0.92</v>
      </c>
      <c r="AO827" s="20">
        <v>4</v>
      </c>
    </row>
    <row r="828" spans="1:41">
      <c r="A828" s="19">
        <f t="shared" si="158"/>
        <v>827</v>
      </c>
      <c r="B828" s="29" t="s">
        <v>219</v>
      </c>
      <c r="C828" s="29">
        <v>8</v>
      </c>
      <c r="D828" s="27" t="s">
        <v>940</v>
      </c>
      <c r="E828" s="27" t="s">
        <v>704</v>
      </c>
      <c r="G828" s="27">
        <v>0.89</v>
      </c>
      <c r="AO828" s="20">
        <v>4</v>
      </c>
    </row>
    <row r="829" spans="1:41">
      <c r="A829" s="19">
        <f t="shared" si="158"/>
        <v>828</v>
      </c>
      <c r="B829" s="29" t="s">
        <v>219</v>
      </c>
      <c r="C829" s="29">
        <v>8</v>
      </c>
      <c r="D829" s="27" t="s">
        <v>940</v>
      </c>
      <c r="E829" s="27" t="s">
        <v>705</v>
      </c>
      <c r="G829" s="27">
        <v>0.96</v>
      </c>
      <c r="AO829" s="20">
        <v>4</v>
      </c>
    </row>
    <row r="830" spans="1:41">
      <c r="A830" s="19">
        <f t="shared" si="158"/>
        <v>829</v>
      </c>
      <c r="B830" s="29" t="s">
        <v>219</v>
      </c>
      <c r="C830" s="29">
        <v>8</v>
      </c>
      <c r="D830" s="27" t="s">
        <v>940</v>
      </c>
      <c r="E830" s="27" t="s">
        <v>706</v>
      </c>
      <c r="G830" s="27">
        <v>0.92400000000000004</v>
      </c>
      <c r="AO830" s="20">
        <v>4</v>
      </c>
    </row>
    <row r="831" spans="1:41">
      <c r="A831" s="19">
        <f t="shared" si="158"/>
        <v>830</v>
      </c>
      <c r="B831" s="29" t="s">
        <v>219</v>
      </c>
      <c r="C831" s="29">
        <v>8</v>
      </c>
      <c r="D831" s="27" t="s">
        <v>940</v>
      </c>
      <c r="E831" s="27" t="s">
        <v>707</v>
      </c>
      <c r="G831" s="27">
        <v>0.92200000000000004</v>
      </c>
      <c r="AO831" s="20">
        <v>4</v>
      </c>
    </row>
    <row r="832" spans="1:41">
      <c r="A832" s="19">
        <f t="shared" si="158"/>
        <v>831</v>
      </c>
      <c r="B832" s="29" t="s">
        <v>219</v>
      </c>
      <c r="C832" s="29">
        <v>8</v>
      </c>
      <c r="D832" s="27" t="s">
        <v>940</v>
      </c>
      <c r="E832" s="27" t="s">
        <v>708</v>
      </c>
      <c r="G832" s="27">
        <v>0.91800000000000004</v>
      </c>
      <c r="AO832" s="20">
        <v>4</v>
      </c>
    </row>
    <row r="833" spans="1:41">
      <c r="A833" s="19">
        <f t="shared" si="158"/>
        <v>832</v>
      </c>
      <c r="B833" s="29" t="s">
        <v>219</v>
      </c>
      <c r="C833" s="29">
        <v>8</v>
      </c>
      <c r="D833" s="27" t="s">
        <v>940</v>
      </c>
      <c r="E833" s="27" t="s">
        <v>709</v>
      </c>
      <c r="G833" s="27">
        <v>0.91500000000000004</v>
      </c>
      <c r="AO833" s="20">
        <v>4</v>
      </c>
    </row>
    <row r="834" spans="1:41">
      <c r="A834" s="19">
        <f t="shared" si="158"/>
        <v>833</v>
      </c>
      <c r="B834" s="29" t="s">
        <v>219</v>
      </c>
      <c r="C834" s="29">
        <v>8</v>
      </c>
      <c r="D834" s="27" t="s">
        <v>940</v>
      </c>
      <c r="E834" s="27" t="s">
        <v>710</v>
      </c>
      <c r="G834" s="27">
        <v>0.91400000000000003</v>
      </c>
      <c r="AO834" s="20">
        <v>4</v>
      </c>
    </row>
    <row r="835" spans="1:41">
      <c r="A835" s="19">
        <f t="shared" ref="A835:A843" si="159">A834+1</f>
        <v>834</v>
      </c>
      <c r="B835" s="29" t="s">
        <v>219</v>
      </c>
      <c r="C835" s="29">
        <v>8</v>
      </c>
      <c r="D835" s="27" t="s">
        <v>940</v>
      </c>
      <c r="E835" s="27" t="s">
        <v>711</v>
      </c>
      <c r="G835" s="27">
        <v>0.92700000000000005</v>
      </c>
      <c r="AO835" s="20">
        <v>4</v>
      </c>
    </row>
    <row r="836" spans="1:41">
      <c r="A836" s="19">
        <f t="shared" si="159"/>
        <v>835</v>
      </c>
      <c r="B836" s="29" t="s">
        <v>219</v>
      </c>
      <c r="C836" s="29">
        <v>8</v>
      </c>
      <c r="D836" s="29" t="s">
        <v>940</v>
      </c>
      <c r="E836" s="29" t="s">
        <v>984</v>
      </c>
      <c r="F836" s="19" t="s">
        <v>985</v>
      </c>
      <c r="G836" s="29"/>
      <c r="H836" s="29"/>
      <c r="I836" s="19">
        <v>2.35</v>
      </c>
      <c r="K836" s="29">
        <v>27.16</v>
      </c>
      <c r="N836" s="20">
        <v>1.83</v>
      </c>
      <c r="V836" s="29"/>
      <c r="W836" s="29"/>
      <c r="X836" s="29"/>
      <c r="Y836" s="29"/>
      <c r="Z836" s="29"/>
      <c r="AA836" s="19"/>
      <c r="AI836" s="29"/>
      <c r="AL836" s="29"/>
      <c r="AO836" s="20">
        <v>3</v>
      </c>
    </row>
    <row r="837" spans="1:41">
      <c r="A837" s="19">
        <f t="shared" si="159"/>
        <v>836</v>
      </c>
      <c r="B837" s="29" t="s">
        <v>219</v>
      </c>
      <c r="C837" s="29">
        <v>8</v>
      </c>
      <c r="D837" s="29" t="s">
        <v>940</v>
      </c>
      <c r="E837" s="29" t="s">
        <v>984</v>
      </c>
      <c r="F837" s="19" t="s">
        <v>986</v>
      </c>
      <c r="G837" s="29"/>
      <c r="H837" s="29"/>
      <c r="I837" s="19">
        <v>3.56</v>
      </c>
      <c r="K837" s="29">
        <v>74.040000000000006</v>
      </c>
      <c r="N837" s="20">
        <v>1.55</v>
      </c>
      <c r="V837" s="29"/>
      <c r="W837" s="29"/>
      <c r="X837" s="29"/>
      <c r="Y837" s="29"/>
      <c r="Z837" s="29"/>
      <c r="AA837" s="19"/>
      <c r="AI837" s="29"/>
      <c r="AL837" s="29"/>
      <c r="AO837" s="20">
        <v>3</v>
      </c>
    </row>
    <row r="838" spans="1:41">
      <c r="A838" s="19">
        <f t="shared" si="159"/>
        <v>837</v>
      </c>
      <c r="B838" s="29" t="s">
        <v>219</v>
      </c>
      <c r="C838" s="29">
        <v>8</v>
      </c>
      <c r="D838" s="29" t="s">
        <v>940</v>
      </c>
      <c r="E838" s="29" t="s">
        <v>984</v>
      </c>
      <c r="F838" s="19" t="s">
        <v>987</v>
      </c>
      <c r="G838" s="29"/>
      <c r="H838" s="29"/>
      <c r="I838" s="19">
        <v>3.95</v>
      </c>
      <c r="K838" s="29">
        <v>90.8</v>
      </c>
      <c r="N838" s="20">
        <v>0.76</v>
      </c>
      <c r="V838" s="29"/>
      <c r="W838" s="29"/>
      <c r="X838" s="29"/>
      <c r="Y838" s="29"/>
      <c r="Z838" s="29"/>
      <c r="AA838" s="19"/>
      <c r="AI838" s="29"/>
      <c r="AL838" s="29"/>
      <c r="AO838" s="20">
        <v>3</v>
      </c>
    </row>
    <row r="839" spans="1:41">
      <c r="A839" s="19">
        <f t="shared" si="159"/>
        <v>838</v>
      </c>
      <c r="B839" s="29" t="s">
        <v>219</v>
      </c>
      <c r="C839" s="29">
        <v>8</v>
      </c>
      <c r="D839" s="29" t="s">
        <v>940</v>
      </c>
      <c r="E839" s="29" t="s">
        <v>984</v>
      </c>
      <c r="F839" s="19" t="s">
        <v>988</v>
      </c>
      <c r="G839" s="29"/>
      <c r="H839" s="29"/>
      <c r="I839" s="19">
        <v>1.8</v>
      </c>
      <c r="K839" s="29">
        <v>3.16</v>
      </c>
      <c r="N839" s="20">
        <v>7.93</v>
      </c>
      <c r="V839" s="29"/>
      <c r="W839" s="29"/>
      <c r="X839" s="29"/>
      <c r="Y839" s="29"/>
      <c r="Z839" s="29"/>
      <c r="AA839" s="19"/>
      <c r="AI839" s="29"/>
      <c r="AL839" s="29"/>
      <c r="AO839" s="20">
        <v>3</v>
      </c>
    </row>
    <row r="840" spans="1:41">
      <c r="A840" s="19">
        <f t="shared" si="159"/>
        <v>839</v>
      </c>
      <c r="B840" s="29" t="s">
        <v>219</v>
      </c>
      <c r="C840" s="29">
        <v>8</v>
      </c>
      <c r="D840" s="29" t="s">
        <v>940</v>
      </c>
      <c r="E840" s="29" t="s">
        <v>984</v>
      </c>
      <c r="F840" s="19" t="s">
        <v>989</v>
      </c>
      <c r="G840" s="29"/>
      <c r="H840" s="29"/>
      <c r="I840" s="19">
        <v>3.89</v>
      </c>
      <c r="K840" s="29">
        <v>87.69</v>
      </c>
      <c r="N840" s="20">
        <v>0.72</v>
      </c>
      <c r="V840" s="29"/>
      <c r="W840" s="29"/>
      <c r="X840" s="29"/>
      <c r="Y840" s="29"/>
      <c r="Z840" s="29"/>
      <c r="AA840" s="19"/>
      <c r="AI840" s="29"/>
      <c r="AL840" s="29"/>
      <c r="AO840" s="20">
        <v>3</v>
      </c>
    </row>
    <row r="841" spans="1:41">
      <c r="A841" s="19">
        <f t="shared" si="159"/>
        <v>840</v>
      </c>
      <c r="B841" s="29" t="s">
        <v>219</v>
      </c>
      <c r="C841" s="29">
        <v>8</v>
      </c>
      <c r="D841" s="29" t="s">
        <v>940</v>
      </c>
      <c r="E841" s="29" t="s">
        <v>984</v>
      </c>
      <c r="F841" s="19" t="s">
        <v>394</v>
      </c>
      <c r="G841" s="29"/>
      <c r="H841" s="29"/>
      <c r="I841" s="19">
        <v>1.85</v>
      </c>
      <c r="K841" s="29">
        <v>2.4700000000000002</v>
      </c>
      <c r="N841" s="20">
        <v>6.08</v>
      </c>
      <c r="AO841" s="20">
        <v>3</v>
      </c>
    </row>
    <row r="842" spans="1:41">
      <c r="A842" s="19">
        <f t="shared" si="159"/>
        <v>841</v>
      </c>
      <c r="B842" s="29" t="s">
        <v>219</v>
      </c>
      <c r="C842" s="29">
        <v>8</v>
      </c>
      <c r="D842" s="29" t="s">
        <v>940</v>
      </c>
      <c r="E842" s="29" t="s">
        <v>984</v>
      </c>
      <c r="F842" s="19" t="s">
        <v>990</v>
      </c>
      <c r="G842" s="29"/>
      <c r="H842" s="29"/>
      <c r="I842" s="19">
        <v>1.68</v>
      </c>
      <c r="K842" s="29">
        <v>3.51</v>
      </c>
      <c r="N842" s="20">
        <v>10.77</v>
      </c>
      <c r="V842" s="29"/>
      <c r="W842" s="29"/>
      <c r="X842" s="29"/>
      <c r="Y842" s="29"/>
      <c r="Z842" s="29"/>
      <c r="AA842" s="19"/>
      <c r="AI842" s="29"/>
      <c r="AL842" s="29"/>
      <c r="AO842" s="20">
        <v>3</v>
      </c>
    </row>
    <row r="843" spans="1:41" s="18" customFormat="1">
      <c r="A843" s="19">
        <f t="shared" si="159"/>
        <v>842</v>
      </c>
      <c r="B843" s="24" t="s">
        <v>219</v>
      </c>
      <c r="C843" s="29">
        <v>8</v>
      </c>
      <c r="D843" s="24" t="s">
        <v>940</v>
      </c>
      <c r="E843" s="24" t="s">
        <v>984</v>
      </c>
      <c r="F843" s="25" t="s">
        <v>991</v>
      </c>
      <c r="G843" s="24"/>
      <c r="H843" s="24"/>
      <c r="I843" s="25">
        <v>1.69</v>
      </c>
      <c r="J843" s="23"/>
      <c r="K843" s="24">
        <v>3.19</v>
      </c>
      <c r="N843" s="23">
        <v>8.35</v>
      </c>
      <c r="O843" s="23"/>
      <c r="S843" s="23"/>
      <c r="T843" s="23"/>
      <c r="U843" s="23"/>
      <c r="V843" s="24"/>
      <c r="W843" s="24"/>
      <c r="X843" s="24"/>
      <c r="Y843" s="24"/>
      <c r="Z843" s="24"/>
      <c r="AA843" s="25"/>
      <c r="AB843" s="23"/>
      <c r="AH843" s="23"/>
      <c r="AI843" s="24"/>
      <c r="AK843" s="23"/>
      <c r="AL843" s="24"/>
      <c r="AN843" s="23"/>
      <c r="AO843" s="23">
        <v>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B610-0954-45AC-AF52-35040260731D}">
  <dimension ref="A1:AN272"/>
  <sheetViews>
    <sheetView topLeftCell="A233" zoomScale="85" zoomScaleNormal="85" workbookViewId="0">
      <selection activeCell="B242" sqref="B241:C242"/>
    </sheetView>
  </sheetViews>
  <sheetFormatPr baseColWidth="10" defaultColWidth="8.88671875" defaultRowHeight="15.05"/>
  <cols>
    <col min="2" max="2" width="8.88671875" style="8"/>
    <col min="4" max="4" width="25.33203125" customWidth="1"/>
    <col min="6" max="6" width="28" customWidth="1"/>
    <col min="7" max="7" width="12.33203125" style="8" customWidth="1"/>
    <col min="8" max="8" width="11.33203125" customWidth="1"/>
    <col min="9" max="9" width="12.6640625" customWidth="1"/>
    <col min="10" max="10" width="12" style="153" customWidth="1"/>
    <col min="11" max="11" width="8.88671875" style="8"/>
    <col min="12" max="12" width="11.6640625" customWidth="1"/>
    <col min="15" max="15" width="8.88671875" style="12"/>
    <col min="20" max="20" width="15.33203125" style="154" customWidth="1"/>
    <col min="21" max="21" width="11.33203125" customWidth="1"/>
    <col min="22" max="22" width="11.6640625" customWidth="1"/>
    <col min="23" max="23" width="10.6640625" customWidth="1"/>
    <col min="24" max="24" width="11" customWidth="1"/>
    <col min="25" max="26" width="8.88671875" customWidth="1"/>
    <col min="27" max="27" width="8.88671875" style="12" customWidth="1"/>
    <col min="28" max="29" width="12.109375" customWidth="1"/>
    <col min="30" max="32" width="11" customWidth="1"/>
    <col min="33" max="33" width="11" style="3" customWidth="1"/>
    <col min="36" max="36" width="8.88671875" style="3"/>
    <col min="39" max="40" width="8.88671875" style="3"/>
  </cols>
  <sheetData>
    <row r="1" spans="1:40" s="149" customFormat="1" ht="37.6" customHeight="1">
      <c r="A1" s="147" t="s">
        <v>28</v>
      </c>
      <c r="B1" s="148" t="s">
        <v>29</v>
      </c>
      <c r="C1" s="149" t="s">
        <v>30</v>
      </c>
      <c r="D1" s="149" t="s">
        <v>1018</v>
      </c>
      <c r="E1" s="149" t="s">
        <v>1019</v>
      </c>
      <c r="F1" s="79" t="s">
        <v>31</v>
      </c>
      <c r="G1" s="148" t="s">
        <v>1020</v>
      </c>
      <c r="H1" s="149" t="s">
        <v>1021</v>
      </c>
      <c r="I1" s="149" t="s">
        <v>1022</v>
      </c>
      <c r="J1" s="148" t="s">
        <v>1023</v>
      </c>
      <c r="K1" s="148" t="s">
        <v>64</v>
      </c>
      <c r="L1" s="149" t="s">
        <v>1024</v>
      </c>
      <c r="M1" s="149" t="s">
        <v>66</v>
      </c>
      <c r="N1" s="149" t="s">
        <v>65</v>
      </c>
      <c r="O1" s="150" t="s">
        <v>1025</v>
      </c>
      <c r="P1" s="75" t="s">
        <v>115</v>
      </c>
      <c r="Q1" s="75" t="s">
        <v>116</v>
      </c>
      <c r="R1" s="75" t="s">
        <v>117</v>
      </c>
      <c r="S1" s="75" t="s">
        <v>118</v>
      </c>
      <c r="T1" s="150" t="s">
        <v>1023</v>
      </c>
      <c r="U1" s="149" t="s">
        <v>58</v>
      </c>
      <c r="V1" s="149" t="s">
        <v>59</v>
      </c>
      <c r="W1" s="149" t="s">
        <v>60</v>
      </c>
      <c r="X1" s="149" t="s">
        <v>61</v>
      </c>
      <c r="Y1" s="149" t="s">
        <v>57</v>
      </c>
      <c r="Z1" s="149" t="s">
        <v>1026</v>
      </c>
      <c r="AA1" s="150" t="s">
        <v>1025</v>
      </c>
      <c r="AB1" s="111" t="s">
        <v>1217</v>
      </c>
      <c r="AC1" s="111" t="s">
        <v>1218</v>
      </c>
      <c r="AD1" s="111" t="s">
        <v>1219</v>
      </c>
      <c r="AE1" s="111" t="s">
        <v>1220</v>
      </c>
      <c r="AF1" s="111" t="s">
        <v>1222</v>
      </c>
      <c r="AG1" s="116" t="s">
        <v>1221</v>
      </c>
      <c r="AH1" s="111" t="s">
        <v>120</v>
      </c>
      <c r="AI1" s="111" t="s">
        <v>151</v>
      </c>
      <c r="AJ1" s="113" t="s">
        <v>155</v>
      </c>
      <c r="AK1" s="115" t="s">
        <v>1225</v>
      </c>
      <c r="AL1" s="115" t="s">
        <v>1224</v>
      </c>
      <c r="AM1" s="116" t="s">
        <v>1223</v>
      </c>
      <c r="AN1" s="151" t="s">
        <v>1027</v>
      </c>
    </row>
    <row r="2" spans="1:40" s="152" customFormat="1">
      <c r="A2" s="152">
        <v>1</v>
      </c>
      <c r="B2" s="153" t="s">
        <v>1028</v>
      </c>
      <c r="C2" s="152">
        <v>1</v>
      </c>
      <c r="D2" s="152" t="s">
        <v>1029</v>
      </c>
      <c r="E2" s="152" t="s">
        <v>1030</v>
      </c>
      <c r="G2" s="153"/>
      <c r="H2" s="152">
        <v>0.48499999999999999</v>
      </c>
      <c r="I2" s="152">
        <v>1.9</v>
      </c>
      <c r="J2" s="153"/>
      <c r="K2" s="153"/>
      <c r="O2" s="154"/>
      <c r="T2" s="154"/>
      <c r="AA2" s="154"/>
      <c r="AG2" s="155"/>
      <c r="AH2"/>
      <c r="AI2"/>
      <c r="AJ2" s="3"/>
      <c r="AK2"/>
      <c r="AL2"/>
      <c r="AM2" s="155"/>
      <c r="AN2" s="158">
        <v>74</v>
      </c>
    </row>
    <row r="3" spans="1:40" s="152" customFormat="1">
      <c r="A3" s="152">
        <f t="shared" ref="A3:A70" si="0">A2+1</f>
        <v>2</v>
      </c>
      <c r="B3" s="153" t="s">
        <v>1028</v>
      </c>
      <c r="C3" s="152">
        <v>1</v>
      </c>
      <c r="D3" s="152" t="s">
        <v>1029</v>
      </c>
      <c r="E3" s="152" t="s">
        <v>1030</v>
      </c>
      <c r="F3" s="152" t="s">
        <v>1203</v>
      </c>
      <c r="G3" s="153">
        <v>0.89</v>
      </c>
      <c r="J3" s="153"/>
      <c r="K3" s="153"/>
      <c r="O3" s="154"/>
      <c r="T3" s="154"/>
      <c r="AA3" s="154"/>
      <c r="AG3" s="155"/>
      <c r="AH3"/>
      <c r="AI3"/>
      <c r="AJ3" s="3"/>
      <c r="AK3"/>
      <c r="AL3"/>
      <c r="AM3" s="3"/>
      <c r="AN3" s="156">
        <v>93</v>
      </c>
    </row>
    <row r="4" spans="1:40" s="152" customFormat="1">
      <c r="A4" s="152">
        <f t="shared" si="0"/>
        <v>3</v>
      </c>
      <c r="B4" s="153" t="s">
        <v>1028</v>
      </c>
      <c r="C4" s="152">
        <v>1</v>
      </c>
      <c r="D4" s="152" t="s">
        <v>1029</v>
      </c>
      <c r="E4" s="152" t="s">
        <v>1030</v>
      </c>
      <c r="F4" s="152" t="s">
        <v>1185</v>
      </c>
      <c r="G4" s="153"/>
      <c r="H4" s="152">
        <v>0.46</v>
      </c>
      <c r="J4" s="153"/>
      <c r="K4" s="153"/>
      <c r="O4" s="154"/>
      <c r="T4" s="154"/>
      <c r="AA4" s="154"/>
      <c r="AG4" s="155"/>
      <c r="AH4"/>
      <c r="AI4"/>
      <c r="AJ4" s="3"/>
      <c r="AK4"/>
      <c r="AL4"/>
      <c r="AM4" s="3"/>
      <c r="AN4" s="157">
        <v>132</v>
      </c>
    </row>
    <row r="5" spans="1:40" s="152" customFormat="1">
      <c r="A5" s="152">
        <f t="shared" si="0"/>
        <v>4</v>
      </c>
      <c r="B5" s="153" t="s">
        <v>1028</v>
      </c>
      <c r="C5" s="152">
        <v>1</v>
      </c>
      <c r="D5" s="152" t="s">
        <v>1029</v>
      </c>
      <c r="E5" s="152" t="s">
        <v>1030</v>
      </c>
      <c r="F5" s="152" t="s">
        <v>1186</v>
      </c>
      <c r="G5" s="153"/>
      <c r="H5" s="152">
        <v>0.44</v>
      </c>
      <c r="J5" s="153"/>
      <c r="K5" s="153"/>
      <c r="O5" s="154"/>
      <c r="T5" s="154"/>
      <c r="AA5" s="154"/>
      <c r="AG5" s="155"/>
      <c r="AH5"/>
      <c r="AI5"/>
      <c r="AJ5" s="3"/>
      <c r="AK5"/>
      <c r="AL5"/>
      <c r="AM5" s="3"/>
      <c r="AN5" s="157">
        <v>131</v>
      </c>
    </row>
    <row r="6" spans="1:40" s="152" customFormat="1">
      <c r="A6" s="152">
        <f t="shared" si="0"/>
        <v>5</v>
      </c>
      <c r="B6" s="153" t="s">
        <v>1028</v>
      </c>
      <c r="C6" s="152">
        <v>1</v>
      </c>
      <c r="D6" s="152" t="s">
        <v>1029</v>
      </c>
      <c r="E6" s="152" t="s">
        <v>1030</v>
      </c>
      <c r="F6" s="152" t="s">
        <v>1207</v>
      </c>
      <c r="G6" s="153"/>
      <c r="H6" s="152">
        <v>0.48499999999999999</v>
      </c>
      <c r="I6" s="152">
        <v>1.9</v>
      </c>
      <c r="J6" s="153"/>
      <c r="K6" s="153"/>
      <c r="O6" s="154"/>
      <c r="T6" s="154"/>
      <c r="AA6" s="154"/>
      <c r="AG6" s="155"/>
      <c r="AH6"/>
      <c r="AI6"/>
      <c r="AJ6" s="3"/>
      <c r="AK6"/>
      <c r="AL6"/>
      <c r="AM6" s="3"/>
      <c r="AN6" s="158">
        <v>98</v>
      </c>
    </row>
    <row r="7" spans="1:40" s="152" customFormat="1">
      <c r="A7" s="152">
        <f t="shared" si="0"/>
        <v>6</v>
      </c>
      <c r="B7" s="153" t="s">
        <v>1028</v>
      </c>
      <c r="C7" s="152">
        <v>1</v>
      </c>
      <c r="D7" s="152" t="s">
        <v>1029</v>
      </c>
      <c r="E7" s="152" t="s">
        <v>1030</v>
      </c>
      <c r="F7" s="152" t="s">
        <v>1208</v>
      </c>
      <c r="G7" s="153">
        <v>0.95799999999999996</v>
      </c>
      <c r="H7" s="152">
        <v>0.54</v>
      </c>
      <c r="I7" s="152">
        <v>1.76</v>
      </c>
      <c r="J7" s="153"/>
      <c r="K7" s="153"/>
      <c r="O7" s="154"/>
      <c r="T7" s="154"/>
      <c r="AA7" s="154"/>
      <c r="AG7" s="155"/>
      <c r="AH7"/>
      <c r="AI7"/>
      <c r="AJ7" s="3"/>
      <c r="AK7"/>
      <c r="AL7"/>
      <c r="AM7" s="3"/>
      <c r="AN7" s="158">
        <v>115</v>
      </c>
    </row>
    <row r="8" spans="1:40" s="152" customFormat="1">
      <c r="A8" s="152">
        <f t="shared" si="0"/>
        <v>7</v>
      </c>
      <c r="B8" s="153" t="s">
        <v>1028</v>
      </c>
      <c r="C8" s="152">
        <v>1</v>
      </c>
      <c r="D8" s="152" t="s">
        <v>1029</v>
      </c>
      <c r="E8" s="152" t="s">
        <v>1030</v>
      </c>
      <c r="G8" s="153">
        <v>0.96099999999999997</v>
      </c>
      <c r="J8" s="153"/>
      <c r="K8" s="153"/>
      <c r="O8" s="154"/>
      <c r="T8" s="154" t="s">
        <v>1031</v>
      </c>
      <c r="U8" s="159">
        <v>86.09</v>
      </c>
      <c r="V8" s="159">
        <v>12.99</v>
      </c>
      <c r="W8" s="159">
        <v>0</v>
      </c>
      <c r="X8" s="159">
        <v>0.28000000000000003</v>
      </c>
      <c r="Y8" s="159">
        <v>0</v>
      </c>
      <c r="Z8" s="152">
        <v>0</v>
      </c>
      <c r="AA8" s="154">
        <f t="shared" ref="AA8:AA56" si="1">Z8+Y8+X8+W8+V8+U8</f>
        <v>99.36</v>
      </c>
      <c r="AB8" s="152">
        <f t="shared" ref="AB8:AB30" si="2">U8*(100/AA8)</f>
        <v>86.644524959742355</v>
      </c>
      <c r="AC8" s="152">
        <f t="shared" ref="AC8:AC30" si="3">V8*(100/AA8)</f>
        <v>13.073671497584542</v>
      </c>
      <c r="AD8" s="152">
        <f t="shared" ref="AD8:AD30" si="4">W8*(100/AA8)</f>
        <v>0</v>
      </c>
      <c r="AE8" s="152">
        <f t="shared" ref="AE8:AE30" si="5">X8*(100/AA8)</f>
        <v>0.28180354267310792</v>
      </c>
      <c r="AF8" s="152">
        <f t="shared" ref="AF8:AF30" si="6">Y8*(100/AA8)</f>
        <v>0</v>
      </c>
      <c r="AG8" s="155">
        <f t="shared" ref="AG8:AG29" si="7">Z8*(100/AA8)</f>
        <v>0</v>
      </c>
      <c r="AH8"/>
      <c r="AI8"/>
      <c r="AJ8" s="3"/>
      <c r="AK8"/>
      <c r="AL8"/>
      <c r="AM8" s="3"/>
      <c r="AN8" s="156">
        <v>82</v>
      </c>
    </row>
    <row r="9" spans="1:40" s="152" customFormat="1">
      <c r="A9" s="152">
        <f t="shared" si="0"/>
        <v>8</v>
      </c>
      <c r="B9" s="153" t="s">
        <v>1028</v>
      </c>
      <c r="C9" s="152">
        <v>1</v>
      </c>
      <c r="D9" s="152" t="s">
        <v>1029</v>
      </c>
      <c r="E9" s="152" t="s">
        <v>1030</v>
      </c>
      <c r="G9" s="153"/>
      <c r="J9" s="153" t="s">
        <v>1032</v>
      </c>
      <c r="K9" s="153">
        <v>0.03</v>
      </c>
      <c r="L9" s="152">
        <v>99.4</v>
      </c>
      <c r="M9" s="152">
        <v>0</v>
      </c>
      <c r="N9" s="152">
        <v>0</v>
      </c>
      <c r="O9" s="154">
        <f t="shared" ref="O9:O30" si="8">SUM(K9:N9)</f>
        <v>99.43</v>
      </c>
      <c r="P9" s="152">
        <f>K9*(100/O9)</f>
        <v>3.0171980287639542E-2</v>
      </c>
      <c r="Q9" s="152">
        <f t="shared" ref="Q9:Q35" si="9">L9*(100/O9)</f>
        <v>99.969828019712367</v>
      </c>
      <c r="R9" s="152">
        <f t="shared" ref="R9:R35" si="10">M9*(100/O9)</f>
        <v>0</v>
      </c>
      <c r="S9" s="152">
        <f t="shared" ref="S9:S35" si="11">N9*(100/O9)</f>
        <v>0</v>
      </c>
      <c r="T9" s="154" t="s">
        <v>1033</v>
      </c>
      <c r="U9" s="152">
        <v>82.37</v>
      </c>
      <c r="V9" s="152">
        <v>14.54</v>
      </c>
      <c r="W9" s="152">
        <v>0</v>
      </c>
      <c r="X9" s="152">
        <v>0</v>
      </c>
      <c r="Y9" s="152">
        <v>0.21</v>
      </c>
      <c r="AA9" s="154">
        <f t="shared" si="1"/>
        <v>97.12</v>
      </c>
      <c r="AB9" s="152">
        <f t="shared" si="2"/>
        <v>84.812602965403627</v>
      </c>
      <c r="AC9" s="152">
        <f t="shared" si="3"/>
        <v>14.971169686985171</v>
      </c>
      <c r="AD9" s="152">
        <f t="shared" si="4"/>
        <v>0</v>
      </c>
      <c r="AE9" s="152">
        <f t="shared" si="5"/>
        <v>0</v>
      </c>
      <c r="AF9" s="152">
        <f t="shared" si="6"/>
        <v>0.2162273476112026</v>
      </c>
      <c r="AG9" s="155"/>
      <c r="AH9"/>
      <c r="AI9"/>
      <c r="AJ9" s="3">
        <v>44.84</v>
      </c>
      <c r="AK9">
        <f>AL9*(Q9+R9+S9)/(Q9+R9)</f>
        <v>44.853533199195169</v>
      </c>
      <c r="AL9">
        <f>AM9*(P9+Q9+R9+S9)/(Q9+R9+S9)</f>
        <v>44.853533199195169</v>
      </c>
      <c r="AM9" s="3">
        <v>44.84</v>
      </c>
      <c r="AN9" s="156">
        <v>91</v>
      </c>
    </row>
    <row r="10" spans="1:40" s="152" customFormat="1">
      <c r="A10" s="152">
        <f t="shared" si="0"/>
        <v>9</v>
      </c>
      <c r="B10" s="153" t="s">
        <v>1028</v>
      </c>
      <c r="C10" s="152">
        <v>1</v>
      </c>
      <c r="D10" s="152" t="s">
        <v>1029</v>
      </c>
      <c r="E10" s="152" t="s">
        <v>1030</v>
      </c>
      <c r="G10" s="153"/>
      <c r="J10" s="153" t="s">
        <v>1032</v>
      </c>
      <c r="K10" s="153">
        <v>0</v>
      </c>
      <c r="L10" s="152">
        <v>99.924999999999997</v>
      </c>
      <c r="M10" s="152">
        <v>0</v>
      </c>
      <c r="N10" s="152">
        <v>0</v>
      </c>
      <c r="O10" s="154">
        <f t="shared" si="8"/>
        <v>99.924999999999997</v>
      </c>
      <c r="P10" s="152">
        <v>0</v>
      </c>
      <c r="Q10" s="152">
        <f t="shared" si="9"/>
        <v>100.00000000000001</v>
      </c>
      <c r="R10" s="152">
        <f t="shared" si="10"/>
        <v>0</v>
      </c>
      <c r="S10" s="152">
        <f t="shared" si="11"/>
        <v>0</v>
      </c>
      <c r="T10" s="154" t="s">
        <v>1033</v>
      </c>
      <c r="U10" s="152">
        <v>84.57</v>
      </c>
      <c r="V10" s="152">
        <v>13.95</v>
      </c>
      <c r="W10" s="152">
        <v>0.45</v>
      </c>
      <c r="X10" s="152">
        <v>0</v>
      </c>
      <c r="Y10" s="152">
        <v>0</v>
      </c>
      <c r="AA10" s="154">
        <f t="shared" si="1"/>
        <v>98.97</v>
      </c>
      <c r="AB10" s="152">
        <f t="shared" si="2"/>
        <v>85.450136404971204</v>
      </c>
      <c r="AC10" s="152">
        <f t="shared" si="3"/>
        <v>14.095180357684148</v>
      </c>
      <c r="AD10" s="152">
        <f t="shared" si="4"/>
        <v>0.45468323734464994</v>
      </c>
      <c r="AE10" s="152">
        <f t="shared" si="5"/>
        <v>0</v>
      </c>
      <c r="AF10" s="152">
        <f t="shared" si="6"/>
        <v>0</v>
      </c>
      <c r="AG10" s="155"/>
      <c r="AH10"/>
      <c r="AI10"/>
      <c r="AJ10" s="3"/>
      <c r="AK10"/>
      <c r="AL10"/>
      <c r="AM10" s="3"/>
      <c r="AN10" s="156">
        <v>84</v>
      </c>
    </row>
    <row r="11" spans="1:40" s="152" customFormat="1">
      <c r="A11" s="152">
        <f t="shared" si="0"/>
        <v>10</v>
      </c>
      <c r="B11" s="153" t="s">
        <v>1028</v>
      </c>
      <c r="C11" s="152">
        <v>1</v>
      </c>
      <c r="D11" s="152" t="s">
        <v>1029</v>
      </c>
      <c r="E11" s="152" t="s">
        <v>1035</v>
      </c>
      <c r="G11" s="153"/>
      <c r="J11" s="153" t="s">
        <v>1036</v>
      </c>
      <c r="K11" s="153">
        <v>0</v>
      </c>
      <c r="L11" s="152">
        <v>100</v>
      </c>
      <c r="M11" s="152">
        <v>0</v>
      </c>
      <c r="N11" s="152">
        <v>0</v>
      </c>
      <c r="O11" s="154">
        <f t="shared" si="8"/>
        <v>100</v>
      </c>
      <c r="P11" s="152">
        <v>0</v>
      </c>
      <c r="Q11" s="152">
        <f t="shared" si="9"/>
        <v>100</v>
      </c>
      <c r="R11" s="152">
        <f t="shared" si="10"/>
        <v>0</v>
      </c>
      <c r="S11" s="152">
        <f t="shared" si="11"/>
        <v>0</v>
      </c>
      <c r="T11" s="154" t="s">
        <v>1031</v>
      </c>
      <c r="U11" s="152">
        <v>85.73</v>
      </c>
      <c r="V11" s="152">
        <v>14.27</v>
      </c>
      <c r="W11" s="152">
        <v>0</v>
      </c>
      <c r="X11" s="152">
        <v>0</v>
      </c>
      <c r="Y11" s="152">
        <v>0</v>
      </c>
      <c r="AA11" s="154">
        <f t="shared" si="1"/>
        <v>100</v>
      </c>
      <c r="AB11" s="152">
        <f t="shared" si="2"/>
        <v>85.73</v>
      </c>
      <c r="AC11" s="152">
        <f t="shared" si="3"/>
        <v>14.27</v>
      </c>
      <c r="AD11" s="152">
        <f t="shared" si="4"/>
        <v>0</v>
      </c>
      <c r="AE11" s="152">
        <f t="shared" si="5"/>
        <v>0</v>
      </c>
      <c r="AF11" s="152">
        <f t="shared" si="6"/>
        <v>0</v>
      </c>
      <c r="AG11" s="155"/>
      <c r="AH11"/>
      <c r="AI11"/>
      <c r="AJ11" s="3"/>
      <c r="AK11"/>
      <c r="AL11"/>
      <c r="AM11" s="3"/>
      <c r="AN11" s="156">
        <v>79</v>
      </c>
    </row>
    <row r="12" spans="1:40" s="152" customFormat="1">
      <c r="A12" s="152">
        <f t="shared" si="0"/>
        <v>11</v>
      </c>
      <c r="B12" s="153" t="s">
        <v>1028</v>
      </c>
      <c r="C12" s="152">
        <v>1</v>
      </c>
      <c r="D12" s="152" t="s">
        <v>1029</v>
      </c>
      <c r="E12" s="152" t="s">
        <v>1030</v>
      </c>
      <c r="G12" s="153"/>
      <c r="J12" s="153" t="s">
        <v>1036</v>
      </c>
      <c r="K12" s="153">
        <v>0</v>
      </c>
      <c r="L12" s="152">
        <v>99.98</v>
      </c>
      <c r="M12" s="152">
        <v>0.02</v>
      </c>
      <c r="N12" s="152">
        <v>0</v>
      </c>
      <c r="O12" s="154">
        <f t="shared" si="8"/>
        <v>100</v>
      </c>
      <c r="P12" s="152">
        <v>0</v>
      </c>
      <c r="Q12" s="152">
        <f t="shared" si="9"/>
        <v>99.98</v>
      </c>
      <c r="R12" s="152">
        <f t="shared" si="10"/>
        <v>0.02</v>
      </c>
      <c r="S12" s="152">
        <f t="shared" si="11"/>
        <v>0</v>
      </c>
      <c r="T12" s="154" t="s">
        <v>1036</v>
      </c>
      <c r="U12" s="152">
        <v>85.08</v>
      </c>
      <c r="V12" s="152">
        <v>14.92</v>
      </c>
      <c r="W12" s="152">
        <v>0</v>
      </c>
      <c r="X12" s="152">
        <v>0</v>
      </c>
      <c r="Y12" s="152">
        <v>0</v>
      </c>
      <c r="AA12" s="154">
        <f t="shared" si="1"/>
        <v>100</v>
      </c>
      <c r="AB12" s="152">
        <f t="shared" si="2"/>
        <v>85.08</v>
      </c>
      <c r="AC12" s="152">
        <f t="shared" si="3"/>
        <v>14.92</v>
      </c>
      <c r="AD12" s="152">
        <f t="shared" si="4"/>
        <v>0</v>
      </c>
      <c r="AE12" s="152">
        <f t="shared" si="5"/>
        <v>0</v>
      </c>
      <c r="AF12" s="152">
        <f t="shared" si="6"/>
        <v>0</v>
      </c>
      <c r="AG12" s="155"/>
      <c r="AH12"/>
      <c r="AI12"/>
      <c r="AJ12" s="3"/>
      <c r="AK12"/>
      <c r="AL12"/>
      <c r="AM12" s="3"/>
      <c r="AN12" s="156">
        <v>80</v>
      </c>
    </row>
    <row r="13" spans="1:40" s="152" customFormat="1">
      <c r="A13" s="152">
        <f t="shared" si="0"/>
        <v>12</v>
      </c>
      <c r="B13" s="153" t="s">
        <v>1028</v>
      </c>
      <c r="C13" s="152">
        <v>1</v>
      </c>
      <c r="D13" s="152" t="s">
        <v>1029</v>
      </c>
      <c r="E13" s="152" t="s">
        <v>1030</v>
      </c>
      <c r="G13" s="153"/>
      <c r="J13" s="153" t="s">
        <v>1036</v>
      </c>
      <c r="K13" s="153">
        <v>0</v>
      </c>
      <c r="L13" s="152">
        <v>100</v>
      </c>
      <c r="M13" s="152">
        <v>0</v>
      </c>
      <c r="N13" s="152">
        <v>0</v>
      </c>
      <c r="O13" s="154">
        <f t="shared" si="8"/>
        <v>100</v>
      </c>
      <c r="P13" s="152">
        <v>0</v>
      </c>
      <c r="Q13" s="152">
        <f t="shared" si="9"/>
        <v>100</v>
      </c>
      <c r="R13" s="152">
        <f t="shared" si="10"/>
        <v>0</v>
      </c>
      <c r="S13" s="152">
        <f t="shared" si="11"/>
        <v>0</v>
      </c>
      <c r="T13" s="154" t="s">
        <v>1031</v>
      </c>
      <c r="U13" s="152">
        <v>86.1</v>
      </c>
      <c r="V13" s="152">
        <v>13</v>
      </c>
      <c r="W13" s="152">
        <v>0</v>
      </c>
      <c r="X13" s="152">
        <v>0</v>
      </c>
      <c r="Y13" s="152">
        <v>0.9</v>
      </c>
      <c r="Z13" s="152">
        <v>0</v>
      </c>
      <c r="AA13" s="154">
        <f t="shared" si="1"/>
        <v>100</v>
      </c>
      <c r="AB13" s="152">
        <f t="shared" si="2"/>
        <v>86.1</v>
      </c>
      <c r="AC13" s="152">
        <f t="shared" si="3"/>
        <v>13</v>
      </c>
      <c r="AD13" s="152">
        <f t="shared" si="4"/>
        <v>0</v>
      </c>
      <c r="AE13" s="152">
        <f t="shared" si="5"/>
        <v>0</v>
      </c>
      <c r="AF13" s="152">
        <f t="shared" si="6"/>
        <v>0.9</v>
      </c>
      <c r="AG13" s="155">
        <f t="shared" si="7"/>
        <v>0</v>
      </c>
      <c r="AH13"/>
      <c r="AI13"/>
      <c r="AJ13" s="3">
        <v>46.4</v>
      </c>
      <c r="AK13">
        <f>AL13*(Q13+R13+S13)/(Q13+R13)</f>
        <v>46.4</v>
      </c>
      <c r="AL13">
        <f>AM13*(P13+Q13+R13+S13)/(Q13+R13+S13)</f>
        <v>46.4</v>
      </c>
      <c r="AM13" s="3">
        <v>46.4</v>
      </c>
      <c r="AN13" s="156">
        <v>88</v>
      </c>
    </row>
    <row r="14" spans="1:40" s="152" customFormat="1">
      <c r="A14" s="152">
        <f t="shared" si="0"/>
        <v>13</v>
      </c>
      <c r="B14" s="153" t="s">
        <v>1028</v>
      </c>
      <c r="C14" s="152">
        <v>1</v>
      </c>
      <c r="D14" s="152" t="s">
        <v>1029</v>
      </c>
      <c r="E14" s="152" t="s">
        <v>1030</v>
      </c>
      <c r="G14" s="153">
        <v>0.95</v>
      </c>
      <c r="H14" s="152">
        <v>0.4</v>
      </c>
      <c r="I14" s="152">
        <v>2.25</v>
      </c>
      <c r="J14" s="153" t="s">
        <v>1036</v>
      </c>
      <c r="K14" s="153">
        <v>0</v>
      </c>
      <c r="L14" s="152">
        <v>100</v>
      </c>
      <c r="M14" s="152">
        <v>0</v>
      </c>
      <c r="N14" s="152">
        <v>0</v>
      </c>
      <c r="O14" s="154">
        <f t="shared" si="8"/>
        <v>100</v>
      </c>
      <c r="P14" s="152">
        <v>0</v>
      </c>
      <c r="Q14" s="152">
        <f t="shared" si="9"/>
        <v>100</v>
      </c>
      <c r="R14" s="152">
        <f t="shared" si="10"/>
        <v>0</v>
      </c>
      <c r="S14" s="152">
        <f t="shared" si="11"/>
        <v>0</v>
      </c>
      <c r="T14" s="154" t="s">
        <v>1031</v>
      </c>
      <c r="U14" s="152">
        <v>82.9</v>
      </c>
      <c r="V14" s="152">
        <v>15.47</v>
      </c>
      <c r="W14" s="152">
        <v>0</v>
      </c>
      <c r="X14" s="152">
        <v>0</v>
      </c>
      <c r="Y14" s="152">
        <v>1.63</v>
      </c>
      <c r="AA14" s="154">
        <f t="shared" si="1"/>
        <v>100</v>
      </c>
      <c r="AB14" s="152">
        <f t="shared" si="2"/>
        <v>82.9</v>
      </c>
      <c r="AC14" s="152">
        <f t="shared" si="3"/>
        <v>15.47</v>
      </c>
      <c r="AD14" s="152">
        <f t="shared" si="4"/>
        <v>0</v>
      </c>
      <c r="AE14" s="152">
        <f t="shared" si="5"/>
        <v>0</v>
      </c>
      <c r="AF14" s="152">
        <f t="shared" si="6"/>
        <v>1.63</v>
      </c>
      <c r="AG14" s="155"/>
      <c r="AH14"/>
      <c r="AI14"/>
      <c r="AJ14" s="3"/>
      <c r="AK14"/>
      <c r="AL14"/>
      <c r="AM14" s="3"/>
      <c r="AN14" s="157">
        <v>11</v>
      </c>
    </row>
    <row r="15" spans="1:40">
      <c r="A15">
        <f t="shared" si="0"/>
        <v>14</v>
      </c>
      <c r="B15" s="153" t="s">
        <v>1028</v>
      </c>
      <c r="C15" s="152">
        <v>1</v>
      </c>
      <c r="D15" s="152" t="s">
        <v>1029</v>
      </c>
      <c r="E15" t="s">
        <v>1030</v>
      </c>
      <c r="G15" s="8">
        <v>0.95350000000000001</v>
      </c>
      <c r="H15">
        <v>0.52</v>
      </c>
      <c r="AN15" s="181">
        <v>130</v>
      </c>
    </row>
    <row r="16" spans="1:40" s="152" customFormat="1">
      <c r="A16" s="152">
        <f t="shared" si="0"/>
        <v>15</v>
      </c>
      <c r="B16" s="153" t="s">
        <v>1028</v>
      </c>
      <c r="C16" s="152">
        <v>1</v>
      </c>
      <c r="D16" s="152" t="s">
        <v>1029</v>
      </c>
      <c r="E16" s="152" t="s">
        <v>1030</v>
      </c>
      <c r="G16" s="153"/>
      <c r="J16" s="153" t="s">
        <v>1036</v>
      </c>
      <c r="K16" s="153">
        <v>0</v>
      </c>
      <c r="L16" s="152">
        <v>100</v>
      </c>
      <c r="M16" s="152">
        <v>0</v>
      </c>
      <c r="N16" s="152">
        <v>0</v>
      </c>
      <c r="O16" s="154">
        <f t="shared" si="8"/>
        <v>100</v>
      </c>
      <c r="P16" s="152">
        <v>0</v>
      </c>
      <c r="Q16" s="152">
        <f t="shared" si="9"/>
        <v>100</v>
      </c>
      <c r="R16" s="152">
        <f t="shared" si="10"/>
        <v>0</v>
      </c>
      <c r="S16" s="152">
        <f t="shared" si="11"/>
        <v>0</v>
      </c>
      <c r="T16" s="154" t="s">
        <v>1031</v>
      </c>
      <c r="U16" s="152">
        <v>85.11</v>
      </c>
      <c r="V16" s="152">
        <v>14.57</v>
      </c>
      <c r="W16" s="152">
        <v>0.32</v>
      </c>
      <c r="X16" s="152">
        <v>0</v>
      </c>
      <c r="Y16" s="152">
        <v>0</v>
      </c>
      <c r="AA16" s="154">
        <f t="shared" si="1"/>
        <v>100</v>
      </c>
      <c r="AB16" s="152">
        <f t="shared" si="2"/>
        <v>85.11</v>
      </c>
      <c r="AC16" s="152">
        <f t="shared" si="3"/>
        <v>14.57</v>
      </c>
      <c r="AD16" s="152">
        <f t="shared" si="4"/>
        <v>0.32</v>
      </c>
      <c r="AE16" s="152">
        <f t="shared" si="5"/>
        <v>0</v>
      </c>
      <c r="AF16" s="152">
        <f t="shared" si="6"/>
        <v>0</v>
      </c>
      <c r="AG16" s="155"/>
      <c r="AH16"/>
      <c r="AI16"/>
      <c r="AJ16" s="3"/>
      <c r="AK16"/>
      <c r="AL16"/>
      <c r="AM16" s="3"/>
      <c r="AN16" s="156">
        <v>103</v>
      </c>
    </row>
    <row r="17" spans="1:40" s="152" customFormat="1">
      <c r="A17" s="152">
        <f t="shared" si="0"/>
        <v>16</v>
      </c>
      <c r="B17" s="153" t="s">
        <v>1028</v>
      </c>
      <c r="C17" s="152">
        <v>1</v>
      </c>
      <c r="D17" s="152" t="s">
        <v>1029</v>
      </c>
      <c r="E17" s="152" t="s">
        <v>1030</v>
      </c>
      <c r="G17" s="153">
        <v>0.91800000000000004</v>
      </c>
      <c r="J17" s="153" t="s">
        <v>1036</v>
      </c>
      <c r="K17" s="153">
        <v>0</v>
      </c>
      <c r="L17" s="152">
        <v>100</v>
      </c>
      <c r="M17" s="152">
        <v>0</v>
      </c>
      <c r="N17" s="152">
        <v>0</v>
      </c>
      <c r="O17" s="154">
        <f t="shared" si="8"/>
        <v>100</v>
      </c>
      <c r="P17" s="152">
        <v>0</v>
      </c>
      <c r="Q17" s="152">
        <f t="shared" si="9"/>
        <v>100</v>
      </c>
      <c r="R17" s="152">
        <f t="shared" si="10"/>
        <v>0</v>
      </c>
      <c r="S17" s="152">
        <f t="shared" si="11"/>
        <v>0</v>
      </c>
      <c r="T17" s="154" t="s">
        <v>1031</v>
      </c>
      <c r="U17" s="152">
        <v>84.95</v>
      </c>
      <c r="V17" s="152">
        <v>14.3</v>
      </c>
      <c r="W17" s="152">
        <v>0.55000000000000004</v>
      </c>
      <c r="X17" s="152">
        <v>0</v>
      </c>
      <c r="Y17" s="152">
        <v>0.2</v>
      </c>
      <c r="Z17" s="152">
        <v>0</v>
      </c>
      <c r="AA17" s="154">
        <f t="shared" si="1"/>
        <v>100</v>
      </c>
      <c r="AB17" s="152">
        <f t="shared" si="2"/>
        <v>84.95</v>
      </c>
      <c r="AC17" s="152">
        <f t="shared" si="3"/>
        <v>14.3</v>
      </c>
      <c r="AD17" s="152">
        <f t="shared" si="4"/>
        <v>0.55000000000000004</v>
      </c>
      <c r="AE17" s="152">
        <f t="shared" si="5"/>
        <v>0</v>
      </c>
      <c r="AF17" s="152">
        <f t="shared" si="6"/>
        <v>0.2</v>
      </c>
      <c r="AG17" s="155">
        <f t="shared" si="7"/>
        <v>0</v>
      </c>
      <c r="AH17"/>
      <c r="AI17"/>
      <c r="AJ17" s="3"/>
      <c r="AK17"/>
      <c r="AL17"/>
      <c r="AM17" s="3"/>
      <c r="AN17" s="156">
        <v>113</v>
      </c>
    </row>
    <row r="18" spans="1:40">
      <c r="A18">
        <f t="shared" si="0"/>
        <v>17</v>
      </c>
      <c r="B18" s="153" t="s">
        <v>1028</v>
      </c>
      <c r="C18" s="152">
        <v>1</v>
      </c>
      <c r="D18" s="152" t="s">
        <v>1029</v>
      </c>
      <c r="E18" t="s">
        <v>1030</v>
      </c>
      <c r="H18">
        <v>0.47499999999999998</v>
      </c>
      <c r="AN18" s="181">
        <v>135</v>
      </c>
    </row>
    <row r="19" spans="1:40" s="152" customFormat="1">
      <c r="A19" s="152">
        <f t="shared" si="0"/>
        <v>18</v>
      </c>
      <c r="B19" s="153" t="s">
        <v>1028</v>
      </c>
      <c r="C19" s="152">
        <v>1</v>
      </c>
      <c r="D19" s="152" t="s">
        <v>1029</v>
      </c>
      <c r="E19" s="152" t="s">
        <v>1030</v>
      </c>
      <c r="G19" s="153"/>
      <c r="J19" s="153" t="s">
        <v>1036</v>
      </c>
      <c r="K19" s="153">
        <v>0</v>
      </c>
      <c r="L19" s="152">
        <v>100</v>
      </c>
      <c r="M19" s="152">
        <v>0</v>
      </c>
      <c r="N19" s="152">
        <v>0</v>
      </c>
      <c r="O19" s="154">
        <f t="shared" si="8"/>
        <v>100</v>
      </c>
      <c r="P19" s="152">
        <v>0</v>
      </c>
      <c r="Q19" s="152">
        <f t="shared" si="9"/>
        <v>100</v>
      </c>
      <c r="R19" s="152">
        <f t="shared" si="10"/>
        <v>0</v>
      </c>
      <c r="S19" s="152">
        <f t="shared" si="11"/>
        <v>0</v>
      </c>
      <c r="T19" s="154" t="s">
        <v>1033</v>
      </c>
      <c r="U19" s="152">
        <v>80.58</v>
      </c>
      <c r="V19" s="152">
        <v>13.98</v>
      </c>
      <c r="W19" s="152">
        <v>0.6</v>
      </c>
      <c r="X19" s="152">
        <v>0.08</v>
      </c>
      <c r="Y19" s="152">
        <v>5.19</v>
      </c>
      <c r="Z19" s="152">
        <v>0</v>
      </c>
      <c r="AA19" s="154">
        <f t="shared" si="1"/>
        <v>100.43</v>
      </c>
      <c r="AB19" s="152">
        <f t="shared" si="2"/>
        <v>80.234989544956676</v>
      </c>
      <c r="AC19" s="152">
        <f t="shared" si="3"/>
        <v>13.92014338345116</v>
      </c>
      <c r="AD19" s="152">
        <f t="shared" si="4"/>
        <v>0.59743104650004974</v>
      </c>
      <c r="AE19" s="152">
        <f t="shared" si="5"/>
        <v>7.965747286667331E-2</v>
      </c>
      <c r="AF19" s="152">
        <f t="shared" si="6"/>
        <v>5.1677785522254309</v>
      </c>
      <c r="AG19" s="155">
        <f t="shared" si="7"/>
        <v>0</v>
      </c>
      <c r="AH19"/>
      <c r="AI19"/>
      <c r="AJ19" s="3">
        <v>45.78</v>
      </c>
      <c r="AK19">
        <f>AL19*(Q19+R19+S19)/(Q19+R19)</f>
        <v>45.78</v>
      </c>
      <c r="AL19">
        <f>AM19*(P19+Q19+R19+S19)/(Q19+R19+S19)</f>
        <v>45.78</v>
      </c>
      <c r="AM19" s="3">
        <v>45.78</v>
      </c>
      <c r="AN19" s="156">
        <v>97</v>
      </c>
    </row>
    <row r="20" spans="1:40" s="152" customFormat="1">
      <c r="A20" s="152">
        <f t="shared" si="0"/>
        <v>19</v>
      </c>
      <c r="B20" s="153" t="s">
        <v>1028</v>
      </c>
      <c r="C20" s="152">
        <v>1</v>
      </c>
      <c r="D20" s="152" t="s">
        <v>1029</v>
      </c>
      <c r="E20" s="152" t="s">
        <v>1030</v>
      </c>
      <c r="G20" s="153"/>
      <c r="J20" s="153" t="s">
        <v>1036</v>
      </c>
      <c r="K20" s="153">
        <v>0</v>
      </c>
      <c r="L20" s="152">
        <v>99.99</v>
      </c>
      <c r="M20" s="152">
        <v>0</v>
      </c>
      <c r="N20" s="152">
        <v>0.01</v>
      </c>
      <c r="O20" s="154">
        <f t="shared" si="8"/>
        <v>100</v>
      </c>
      <c r="P20" s="152">
        <v>0</v>
      </c>
      <c r="Q20" s="152">
        <f t="shared" si="9"/>
        <v>99.99</v>
      </c>
      <c r="R20" s="152">
        <f t="shared" si="10"/>
        <v>0</v>
      </c>
      <c r="S20" s="152">
        <f t="shared" si="11"/>
        <v>0.01</v>
      </c>
      <c r="T20" s="154" t="s">
        <v>1033</v>
      </c>
      <c r="U20" s="152">
        <v>85.09</v>
      </c>
      <c r="V20" s="152">
        <v>14.04</v>
      </c>
      <c r="W20" s="152">
        <v>0</v>
      </c>
      <c r="X20" s="152">
        <v>0</v>
      </c>
      <c r="Y20" s="152">
        <v>0.86</v>
      </c>
      <c r="AA20" s="154">
        <f t="shared" si="1"/>
        <v>99.990000000000009</v>
      </c>
      <c r="AB20" s="152">
        <f t="shared" si="2"/>
        <v>85.098509850985096</v>
      </c>
      <c r="AC20" s="152">
        <f t="shared" si="3"/>
        <v>14.04140414041404</v>
      </c>
      <c r="AD20" s="152">
        <f t="shared" si="4"/>
        <v>0</v>
      </c>
      <c r="AE20" s="152">
        <f t="shared" si="5"/>
        <v>0</v>
      </c>
      <c r="AF20" s="152">
        <f t="shared" si="6"/>
        <v>0.86008600860086004</v>
      </c>
      <c r="AG20" s="155"/>
      <c r="AH20"/>
      <c r="AI20"/>
      <c r="AJ20" s="3"/>
      <c r="AK20"/>
      <c r="AL20"/>
      <c r="AM20" s="3"/>
      <c r="AN20" s="156">
        <v>116</v>
      </c>
    </row>
    <row r="21" spans="1:40" s="152" customFormat="1">
      <c r="A21" s="152">
        <f t="shared" si="0"/>
        <v>20</v>
      </c>
      <c r="B21" s="153" t="s">
        <v>1028</v>
      </c>
      <c r="C21" s="152">
        <v>1</v>
      </c>
      <c r="D21" s="152" t="s">
        <v>1029</v>
      </c>
      <c r="E21" s="152" t="s">
        <v>1030</v>
      </c>
      <c r="G21" s="153"/>
      <c r="J21" s="153" t="s">
        <v>1032</v>
      </c>
      <c r="K21" s="153">
        <v>0</v>
      </c>
      <c r="L21" s="152">
        <v>99.92</v>
      </c>
      <c r="M21" s="152">
        <v>0</v>
      </c>
      <c r="N21" s="152">
        <v>0.08</v>
      </c>
      <c r="O21" s="154">
        <f t="shared" si="8"/>
        <v>100</v>
      </c>
      <c r="P21" s="152">
        <v>0</v>
      </c>
      <c r="Q21" s="152">
        <f t="shared" si="9"/>
        <v>99.92</v>
      </c>
      <c r="R21" s="152">
        <f t="shared" si="10"/>
        <v>0</v>
      </c>
      <c r="S21" s="152">
        <f t="shared" si="11"/>
        <v>0.08</v>
      </c>
      <c r="T21" s="154" t="s">
        <v>1033</v>
      </c>
      <c r="U21" s="152">
        <v>83.29</v>
      </c>
      <c r="V21" s="152">
        <v>13.93</v>
      </c>
      <c r="W21" s="152">
        <v>0.2</v>
      </c>
      <c r="X21" s="152">
        <v>7.0000000000000007E-2</v>
      </c>
      <c r="Y21" s="152">
        <v>2.5099999999999998</v>
      </c>
      <c r="Z21" s="152">
        <v>0</v>
      </c>
      <c r="AA21" s="154">
        <f t="shared" si="1"/>
        <v>100</v>
      </c>
      <c r="AB21" s="152">
        <f t="shared" si="2"/>
        <v>83.29</v>
      </c>
      <c r="AC21" s="152">
        <f t="shared" si="3"/>
        <v>13.93</v>
      </c>
      <c r="AD21" s="152">
        <f t="shared" si="4"/>
        <v>0.2</v>
      </c>
      <c r="AE21" s="152">
        <f t="shared" si="5"/>
        <v>7.0000000000000007E-2</v>
      </c>
      <c r="AF21" s="152">
        <f t="shared" si="6"/>
        <v>2.5099999999999998</v>
      </c>
      <c r="AG21" s="155">
        <f t="shared" si="7"/>
        <v>0</v>
      </c>
      <c r="AH21"/>
      <c r="AI21"/>
      <c r="AJ21" s="3">
        <v>47.64</v>
      </c>
      <c r="AK21">
        <f>AL21*(Q21+R21+S21)/(Q21+R21)</f>
        <v>47.678142514011206</v>
      </c>
      <c r="AL21">
        <f>AM21*(P21+Q21+R21+S21)/(Q21+R21+S21)</f>
        <v>47.64</v>
      </c>
      <c r="AM21" s="3">
        <v>47.64</v>
      </c>
      <c r="AN21" s="156">
        <v>120</v>
      </c>
    </row>
    <row r="22" spans="1:40" s="152" customFormat="1">
      <c r="A22" s="152">
        <f t="shared" si="0"/>
        <v>21</v>
      </c>
      <c r="B22" s="153" t="s">
        <v>1028</v>
      </c>
      <c r="C22" s="152">
        <v>1</v>
      </c>
      <c r="D22" s="152" t="s">
        <v>1029</v>
      </c>
      <c r="E22" s="152" t="s">
        <v>1030</v>
      </c>
      <c r="G22" s="153"/>
      <c r="J22" s="153" t="s">
        <v>1032</v>
      </c>
      <c r="K22" s="153">
        <v>15</v>
      </c>
      <c r="L22" s="152">
        <v>84.9</v>
      </c>
      <c r="M22" s="152">
        <v>0.02</v>
      </c>
      <c r="N22" s="152">
        <v>0.08</v>
      </c>
      <c r="O22" s="154">
        <f t="shared" si="8"/>
        <v>100</v>
      </c>
      <c r="P22" s="152">
        <v>15</v>
      </c>
      <c r="Q22" s="152">
        <f t="shared" si="9"/>
        <v>84.9</v>
      </c>
      <c r="R22" s="152">
        <f t="shared" si="10"/>
        <v>0.02</v>
      </c>
      <c r="S22" s="152">
        <f t="shared" si="11"/>
        <v>0.08</v>
      </c>
      <c r="T22" s="154" t="s">
        <v>1033</v>
      </c>
      <c r="U22" s="152">
        <v>84.74</v>
      </c>
      <c r="V22" s="152">
        <v>11.95</v>
      </c>
      <c r="W22" s="152">
        <v>0.02</v>
      </c>
      <c r="X22" s="152">
        <v>0.66</v>
      </c>
      <c r="Y22" s="152">
        <v>2.63</v>
      </c>
      <c r="AA22" s="154">
        <f t="shared" si="1"/>
        <v>100</v>
      </c>
      <c r="AB22" s="152">
        <f t="shared" si="2"/>
        <v>84.74</v>
      </c>
      <c r="AC22" s="152">
        <f t="shared" si="3"/>
        <v>11.95</v>
      </c>
      <c r="AD22" s="152">
        <f t="shared" si="4"/>
        <v>0.02</v>
      </c>
      <c r="AE22" s="152">
        <f t="shared" si="5"/>
        <v>0.66</v>
      </c>
      <c r="AF22" s="152">
        <f t="shared" si="6"/>
        <v>2.63</v>
      </c>
      <c r="AG22" s="155"/>
      <c r="AH22"/>
      <c r="AI22"/>
      <c r="AJ22" s="3"/>
      <c r="AK22"/>
      <c r="AL22"/>
      <c r="AM22" s="3"/>
      <c r="AN22" s="156">
        <v>122</v>
      </c>
    </row>
    <row r="23" spans="1:40" s="152" customFormat="1">
      <c r="A23" s="152">
        <f t="shared" si="0"/>
        <v>22</v>
      </c>
      <c r="B23" s="153" t="s">
        <v>1028</v>
      </c>
      <c r="C23" s="152">
        <v>1</v>
      </c>
      <c r="D23" s="152" t="s">
        <v>1029</v>
      </c>
      <c r="E23" s="152" t="s">
        <v>1030</v>
      </c>
      <c r="G23" s="153"/>
      <c r="J23" s="153" t="s">
        <v>1037</v>
      </c>
      <c r="K23" s="153">
        <v>0.1</v>
      </c>
      <c r="L23" s="152">
        <v>97.3</v>
      </c>
      <c r="M23" s="152">
        <v>2.5</v>
      </c>
      <c r="N23" s="152">
        <v>0.1</v>
      </c>
      <c r="O23" s="154">
        <f t="shared" si="8"/>
        <v>99.999999999999986</v>
      </c>
      <c r="P23" s="152">
        <v>0.1</v>
      </c>
      <c r="Q23" s="152">
        <f t="shared" si="9"/>
        <v>97.300000000000026</v>
      </c>
      <c r="R23" s="152">
        <f t="shared" si="10"/>
        <v>2.5000000000000004</v>
      </c>
      <c r="S23" s="152">
        <f t="shared" si="11"/>
        <v>0.10000000000000003</v>
      </c>
      <c r="T23" s="154" t="s">
        <v>1036</v>
      </c>
      <c r="U23" s="152">
        <v>85.4</v>
      </c>
      <c r="V23" s="152">
        <v>11.37</v>
      </c>
      <c r="W23" s="152">
        <v>0.09</v>
      </c>
      <c r="X23" s="152">
        <v>0</v>
      </c>
      <c r="Y23" s="152">
        <v>0</v>
      </c>
      <c r="AA23" s="154">
        <f t="shared" si="1"/>
        <v>96.86</v>
      </c>
      <c r="AB23" s="152">
        <f t="shared" si="2"/>
        <v>88.168490604996904</v>
      </c>
      <c r="AC23" s="152">
        <f t="shared" si="3"/>
        <v>11.738591781953334</v>
      </c>
      <c r="AD23" s="152">
        <f t="shared" si="4"/>
        <v>9.2917613049762537E-2</v>
      </c>
      <c r="AE23" s="152">
        <f t="shared" si="5"/>
        <v>0</v>
      </c>
      <c r="AF23" s="152">
        <f t="shared" si="6"/>
        <v>0</v>
      </c>
      <c r="AG23" s="155"/>
      <c r="AH23"/>
      <c r="AI23"/>
      <c r="AJ23" s="3">
        <v>45.15</v>
      </c>
      <c r="AK23">
        <f>AL23*(Q23+R23+S23)/(Q23+R23)</f>
        <v>45.240480961923843</v>
      </c>
      <c r="AL23">
        <f>AM23*(P23+Q23+R23+S23)/(Q23+R23+S23)</f>
        <v>45.195195195195197</v>
      </c>
      <c r="AM23" s="3">
        <v>45.15</v>
      </c>
      <c r="AN23" s="157">
        <v>32</v>
      </c>
    </row>
    <row r="24" spans="1:40" s="152" customFormat="1">
      <c r="A24" s="152">
        <f t="shared" si="0"/>
        <v>23</v>
      </c>
      <c r="B24" s="153" t="s">
        <v>1028</v>
      </c>
      <c r="C24" s="152">
        <v>1</v>
      </c>
      <c r="D24" s="152" t="s">
        <v>1029</v>
      </c>
      <c r="E24" s="152" t="s">
        <v>1030</v>
      </c>
      <c r="G24" s="153"/>
      <c r="J24" s="153" t="s">
        <v>1036</v>
      </c>
      <c r="K24" s="153">
        <v>0</v>
      </c>
      <c r="L24" s="152">
        <v>99.57</v>
      </c>
      <c r="M24" s="152">
        <v>0.25</v>
      </c>
      <c r="N24" s="152">
        <v>0.18</v>
      </c>
      <c r="O24" s="154">
        <f t="shared" si="8"/>
        <v>100</v>
      </c>
      <c r="P24" s="152">
        <v>0</v>
      </c>
      <c r="Q24" s="152">
        <f t="shared" si="9"/>
        <v>99.57</v>
      </c>
      <c r="R24" s="152">
        <f t="shared" si="10"/>
        <v>0.25</v>
      </c>
      <c r="S24" s="152">
        <f t="shared" si="11"/>
        <v>0.18</v>
      </c>
      <c r="T24" s="154" t="s">
        <v>1031</v>
      </c>
      <c r="U24" s="152">
        <v>85.35</v>
      </c>
      <c r="V24" s="152">
        <v>12.7</v>
      </c>
      <c r="W24" s="152">
        <v>0.05</v>
      </c>
      <c r="X24" s="152">
        <v>0.14000000000000001</v>
      </c>
      <c r="Y24" s="152">
        <v>1.9</v>
      </c>
      <c r="AA24" s="154">
        <f t="shared" si="1"/>
        <v>100.13999999999999</v>
      </c>
      <c r="AB24" s="152">
        <f t="shared" si="2"/>
        <v>85.230677052127021</v>
      </c>
      <c r="AC24" s="152">
        <f t="shared" si="3"/>
        <v>12.682244857199921</v>
      </c>
      <c r="AD24" s="152">
        <f t="shared" si="4"/>
        <v>4.9930097862991824E-2</v>
      </c>
      <c r="AE24" s="152">
        <f t="shared" si="5"/>
        <v>0.1398042740163771</v>
      </c>
      <c r="AF24" s="152">
        <f t="shared" si="6"/>
        <v>1.897343718793689</v>
      </c>
      <c r="AG24" s="155"/>
      <c r="AH24"/>
      <c r="AI24">
        <v>46.36</v>
      </c>
      <c r="AJ24" s="3"/>
      <c r="AK24">
        <f>AL24*(Q24+R24+S24)/(Q24+R24)</f>
        <v>46.443598477259073</v>
      </c>
      <c r="AL24">
        <v>46.36</v>
      </c>
      <c r="AM24">
        <f>AL24*(Q24+R24+S24)/(P24+Q24+R24+S24)</f>
        <v>46.36</v>
      </c>
      <c r="AN24" s="157">
        <v>42</v>
      </c>
    </row>
    <row r="25" spans="1:40" s="152" customFormat="1">
      <c r="A25" s="152">
        <f t="shared" si="0"/>
        <v>24</v>
      </c>
      <c r="B25" s="153" t="s">
        <v>1028</v>
      </c>
      <c r="C25" s="152">
        <v>1</v>
      </c>
      <c r="D25" s="152" t="s">
        <v>1029</v>
      </c>
      <c r="E25" s="152" t="s">
        <v>1034</v>
      </c>
      <c r="G25" s="153"/>
      <c r="J25" s="153" t="s">
        <v>1032</v>
      </c>
      <c r="K25" s="153">
        <v>0.40500000000000003</v>
      </c>
      <c r="L25" s="152">
        <v>99.376999999999995</v>
      </c>
      <c r="M25" s="152">
        <v>0</v>
      </c>
      <c r="N25" s="152">
        <v>0.218</v>
      </c>
      <c r="O25" s="154">
        <f t="shared" si="8"/>
        <v>100</v>
      </c>
      <c r="P25" s="152">
        <v>0.40500000000000003</v>
      </c>
      <c r="Q25" s="152">
        <f t="shared" si="9"/>
        <v>99.376999999999995</v>
      </c>
      <c r="R25" s="152">
        <f t="shared" si="10"/>
        <v>0</v>
      </c>
      <c r="S25" s="152">
        <f t="shared" si="11"/>
        <v>0.218</v>
      </c>
      <c r="T25" s="154" t="s">
        <v>1033</v>
      </c>
      <c r="U25" s="152">
        <v>82.77</v>
      </c>
      <c r="V25" s="152">
        <v>16.920000000000002</v>
      </c>
      <c r="W25" s="152">
        <v>0</v>
      </c>
      <c r="X25" s="152">
        <v>0.28999999999999998</v>
      </c>
      <c r="Y25" s="152">
        <v>0</v>
      </c>
      <c r="AA25" s="154">
        <f t="shared" si="1"/>
        <v>99.97999999999999</v>
      </c>
      <c r="AB25" s="152">
        <f t="shared" si="2"/>
        <v>82.786557311462303</v>
      </c>
      <c r="AC25" s="152">
        <f t="shared" si="3"/>
        <v>16.923384676935392</v>
      </c>
      <c r="AD25" s="152">
        <f t="shared" si="4"/>
        <v>0</v>
      </c>
      <c r="AE25" s="152">
        <f t="shared" si="5"/>
        <v>0.29005801160232048</v>
      </c>
      <c r="AF25" s="152">
        <f t="shared" si="6"/>
        <v>0</v>
      </c>
      <c r="AG25" s="155"/>
      <c r="AH25"/>
      <c r="AI25"/>
      <c r="AJ25" s="3"/>
      <c r="AK25"/>
      <c r="AL25"/>
      <c r="AM25" s="3"/>
      <c r="AN25" s="156">
        <v>92</v>
      </c>
    </row>
    <row r="26" spans="1:40" s="152" customFormat="1">
      <c r="A26" s="152">
        <f t="shared" si="0"/>
        <v>25</v>
      </c>
      <c r="B26" s="153" t="s">
        <v>1028</v>
      </c>
      <c r="C26" s="152">
        <v>1</v>
      </c>
      <c r="D26" s="152" t="s">
        <v>1029</v>
      </c>
      <c r="E26" s="152" t="s">
        <v>1030</v>
      </c>
      <c r="G26" s="153"/>
      <c r="J26" s="153" t="s">
        <v>1037</v>
      </c>
      <c r="K26" s="153">
        <v>0.72</v>
      </c>
      <c r="L26" s="152">
        <v>99.27</v>
      </c>
      <c r="M26" s="152">
        <v>0</v>
      </c>
      <c r="N26" s="152">
        <v>0.38</v>
      </c>
      <c r="O26" s="154">
        <f t="shared" si="8"/>
        <v>100.36999999999999</v>
      </c>
      <c r="P26" s="152">
        <f>K26*(100/O26)</f>
        <v>0.71734582046428219</v>
      </c>
      <c r="Q26" s="152">
        <f t="shared" si="9"/>
        <v>98.904054996512912</v>
      </c>
      <c r="R26" s="152">
        <f t="shared" si="10"/>
        <v>0</v>
      </c>
      <c r="S26" s="152">
        <f t="shared" si="11"/>
        <v>0.37859918302281564</v>
      </c>
      <c r="T26" s="154" t="s">
        <v>1031</v>
      </c>
      <c r="U26" s="152">
        <v>85.39</v>
      </c>
      <c r="V26" s="152">
        <v>14.23</v>
      </c>
      <c r="W26" s="152">
        <v>0.02</v>
      </c>
      <c r="X26" s="152">
        <v>0.23</v>
      </c>
      <c r="Y26" s="152">
        <v>0.37</v>
      </c>
      <c r="AA26" s="154">
        <f t="shared" si="1"/>
        <v>100.24</v>
      </c>
      <c r="AB26" s="152">
        <f t="shared" si="2"/>
        <v>85.185554668794907</v>
      </c>
      <c r="AC26" s="152">
        <f t="shared" si="3"/>
        <v>14.195929768555468</v>
      </c>
      <c r="AD26" s="152">
        <f t="shared" si="4"/>
        <v>1.9952114924181967E-2</v>
      </c>
      <c r="AE26" s="152">
        <f t="shared" si="5"/>
        <v>0.22944932162809262</v>
      </c>
      <c r="AF26" s="152">
        <f t="shared" si="6"/>
        <v>0.36911412609736632</v>
      </c>
      <c r="AG26" s="155"/>
      <c r="AH26"/>
      <c r="AI26"/>
      <c r="AJ26" s="3"/>
      <c r="AK26"/>
      <c r="AL26"/>
      <c r="AM26" s="3"/>
      <c r="AN26" s="156">
        <v>65</v>
      </c>
    </row>
    <row r="27" spans="1:40" s="152" customFormat="1">
      <c r="A27" s="152">
        <f t="shared" si="0"/>
        <v>26</v>
      </c>
      <c r="B27" s="153" t="s">
        <v>1028</v>
      </c>
      <c r="C27" s="152">
        <v>1</v>
      </c>
      <c r="D27" s="152" t="s">
        <v>1029</v>
      </c>
      <c r="E27" s="152" t="s">
        <v>1030</v>
      </c>
      <c r="G27" s="153"/>
      <c r="J27" s="153" t="s">
        <v>221</v>
      </c>
      <c r="K27" s="153">
        <v>0</v>
      </c>
      <c r="L27" s="152">
        <v>99.42</v>
      </c>
      <c r="M27" s="152">
        <v>0</v>
      </c>
      <c r="N27" s="152">
        <v>0.57999999999999996</v>
      </c>
      <c r="O27" s="154">
        <f t="shared" si="8"/>
        <v>100</v>
      </c>
      <c r="P27" s="152">
        <v>0</v>
      </c>
      <c r="Q27" s="152">
        <f t="shared" si="9"/>
        <v>99.42</v>
      </c>
      <c r="R27" s="152">
        <f t="shared" si="10"/>
        <v>0</v>
      </c>
      <c r="S27" s="152">
        <f t="shared" si="11"/>
        <v>0.57999999999999996</v>
      </c>
      <c r="T27" s="154" t="s">
        <v>1031</v>
      </c>
      <c r="U27" s="152">
        <v>85.44</v>
      </c>
      <c r="V27" s="152">
        <v>14.24</v>
      </c>
      <c r="W27" s="152">
        <v>0</v>
      </c>
      <c r="X27" s="152">
        <v>0</v>
      </c>
      <c r="Y27" s="152">
        <v>0.32</v>
      </c>
      <c r="Z27" s="152">
        <v>0</v>
      </c>
      <c r="AA27" s="154">
        <f t="shared" si="1"/>
        <v>100</v>
      </c>
      <c r="AB27" s="152">
        <f t="shared" si="2"/>
        <v>85.44</v>
      </c>
      <c r="AC27" s="152">
        <f t="shared" si="3"/>
        <v>14.24</v>
      </c>
      <c r="AD27" s="152">
        <f t="shared" si="4"/>
        <v>0</v>
      </c>
      <c r="AE27" s="152">
        <f t="shared" si="5"/>
        <v>0</v>
      </c>
      <c r="AF27" s="152">
        <f t="shared" si="6"/>
        <v>0.32</v>
      </c>
      <c r="AG27" s="155">
        <f t="shared" si="7"/>
        <v>0</v>
      </c>
      <c r="AH27"/>
      <c r="AI27"/>
      <c r="AJ27" s="3"/>
      <c r="AK27"/>
      <c r="AL27"/>
      <c r="AM27" s="3"/>
      <c r="AN27" s="157">
        <v>31</v>
      </c>
    </row>
    <row r="28" spans="1:40" s="152" customFormat="1">
      <c r="A28" s="152">
        <f t="shared" si="0"/>
        <v>27</v>
      </c>
      <c r="B28" s="153" t="s">
        <v>1028</v>
      </c>
      <c r="C28" s="152">
        <v>1</v>
      </c>
      <c r="D28" s="152" t="s">
        <v>1029</v>
      </c>
      <c r="E28" s="152" t="s">
        <v>1030</v>
      </c>
      <c r="G28" s="153"/>
      <c r="J28" s="153" t="s">
        <v>221</v>
      </c>
      <c r="K28" s="153">
        <v>0</v>
      </c>
      <c r="L28" s="152">
        <v>99.4</v>
      </c>
      <c r="M28" s="152">
        <v>0</v>
      </c>
      <c r="N28" s="152">
        <v>0.6</v>
      </c>
      <c r="O28" s="154">
        <f t="shared" si="8"/>
        <v>100</v>
      </c>
      <c r="P28" s="152">
        <v>0</v>
      </c>
      <c r="Q28" s="152">
        <f t="shared" si="9"/>
        <v>99.4</v>
      </c>
      <c r="R28" s="152">
        <f t="shared" si="10"/>
        <v>0</v>
      </c>
      <c r="S28" s="152">
        <f t="shared" si="11"/>
        <v>0.6</v>
      </c>
      <c r="T28" s="154" t="s">
        <v>1031</v>
      </c>
      <c r="U28" s="152">
        <v>85.5</v>
      </c>
      <c r="V28" s="152">
        <v>14.2</v>
      </c>
      <c r="W28" s="152">
        <v>0</v>
      </c>
      <c r="X28" s="152">
        <v>0.3</v>
      </c>
      <c r="Y28" s="152">
        <v>0</v>
      </c>
      <c r="Z28" s="152">
        <v>0</v>
      </c>
      <c r="AA28" s="154">
        <f t="shared" si="1"/>
        <v>100</v>
      </c>
      <c r="AB28" s="152">
        <f t="shared" si="2"/>
        <v>85.5</v>
      </c>
      <c r="AC28" s="152">
        <f t="shared" si="3"/>
        <v>14.2</v>
      </c>
      <c r="AD28" s="152">
        <f t="shared" si="4"/>
        <v>0</v>
      </c>
      <c r="AE28" s="152">
        <f t="shared" si="5"/>
        <v>0.3</v>
      </c>
      <c r="AF28" s="152">
        <f t="shared" si="6"/>
        <v>0</v>
      </c>
      <c r="AG28" s="155">
        <f t="shared" si="7"/>
        <v>0</v>
      </c>
      <c r="AH28"/>
      <c r="AI28"/>
      <c r="AJ28" s="3"/>
      <c r="AK28"/>
      <c r="AL28"/>
      <c r="AM28" s="3"/>
      <c r="AN28" s="157">
        <v>31</v>
      </c>
    </row>
    <row r="29" spans="1:40" s="152" customFormat="1">
      <c r="A29" s="152">
        <f t="shared" si="0"/>
        <v>28</v>
      </c>
      <c r="B29" s="153" t="s">
        <v>1028</v>
      </c>
      <c r="C29" s="152">
        <v>1</v>
      </c>
      <c r="D29" s="152" t="s">
        <v>1029</v>
      </c>
      <c r="E29" s="152" t="s">
        <v>1030</v>
      </c>
      <c r="G29" s="153"/>
      <c r="J29" s="153" t="s">
        <v>1036</v>
      </c>
      <c r="K29" s="153">
        <v>0</v>
      </c>
      <c r="L29" s="152">
        <v>99.4</v>
      </c>
      <c r="M29" s="152">
        <v>0</v>
      </c>
      <c r="N29" s="152">
        <v>0.6</v>
      </c>
      <c r="O29" s="154">
        <f t="shared" si="8"/>
        <v>100</v>
      </c>
      <c r="P29" s="152">
        <v>0</v>
      </c>
      <c r="Q29" s="152">
        <f t="shared" si="9"/>
        <v>99.4</v>
      </c>
      <c r="R29" s="152">
        <f t="shared" si="10"/>
        <v>0</v>
      </c>
      <c r="S29" s="152">
        <f t="shared" si="11"/>
        <v>0.6</v>
      </c>
      <c r="T29" s="154" t="s">
        <v>1031</v>
      </c>
      <c r="U29" s="152">
        <v>85.5</v>
      </c>
      <c r="V29" s="152">
        <v>14.2</v>
      </c>
      <c r="W29" s="152">
        <v>0</v>
      </c>
      <c r="X29" s="152">
        <v>0.3</v>
      </c>
      <c r="Y29" s="152">
        <v>0</v>
      </c>
      <c r="Z29" s="152">
        <v>0</v>
      </c>
      <c r="AA29" s="154">
        <f t="shared" si="1"/>
        <v>100</v>
      </c>
      <c r="AB29" s="152">
        <f t="shared" si="2"/>
        <v>85.5</v>
      </c>
      <c r="AC29" s="152">
        <f t="shared" si="3"/>
        <v>14.2</v>
      </c>
      <c r="AD29" s="152">
        <f t="shared" si="4"/>
        <v>0</v>
      </c>
      <c r="AE29" s="152">
        <f t="shared" si="5"/>
        <v>0.3</v>
      </c>
      <c r="AF29" s="152">
        <f t="shared" si="6"/>
        <v>0</v>
      </c>
      <c r="AG29" s="155">
        <f t="shared" si="7"/>
        <v>0</v>
      </c>
      <c r="AH29"/>
      <c r="AI29"/>
      <c r="AJ29" s="3"/>
      <c r="AK29"/>
      <c r="AL29"/>
      <c r="AM29" s="3"/>
      <c r="AN29" s="156">
        <v>111</v>
      </c>
    </row>
    <row r="30" spans="1:40" s="152" customFormat="1">
      <c r="A30" s="152">
        <f t="shared" si="0"/>
        <v>29</v>
      </c>
      <c r="B30" s="153" t="s">
        <v>1028</v>
      </c>
      <c r="C30" s="152">
        <v>1</v>
      </c>
      <c r="D30" s="152" t="s">
        <v>1029</v>
      </c>
      <c r="E30" s="152" t="s">
        <v>1030</v>
      </c>
      <c r="G30" s="153"/>
      <c r="J30" s="153" t="s">
        <v>1036</v>
      </c>
      <c r="K30" s="153">
        <v>0</v>
      </c>
      <c r="L30" s="152">
        <v>85.3</v>
      </c>
      <c r="M30" s="152">
        <v>14.1</v>
      </c>
      <c r="N30" s="152">
        <v>0.6</v>
      </c>
      <c r="O30" s="154">
        <f t="shared" si="8"/>
        <v>99.999999999999986</v>
      </c>
      <c r="P30" s="152">
        <v>0</v>
      </c>
      <c r="Q30" s="152">
        <f t="shared" si="9"/>
        <v>85.300000000000011</v>
      </c>
      <c r="R30" s="152">
        <f t="shared" si="10"/>
        <v>14.100000000000003</v>
      </c>
      <c r="S30" s="152">
        <f t="shared" si="11"/>
        <v>0.60000000000000009</v>
      </c>
      <c r="T30" s="154" t="s">
        <v>1031</v>
      </c>
      <c r="U30" s="152">
        <v>85.5</v>
      </c>
      <c r="V30" s="152">
        <v>14.2</v>
      </c>
      <c r="W30" s="152">
        <v>0</v>
      </c>
      <c r="X30" s="152">
        <v>0.3</v>
      </c>
      <c r="Y30" s="152">
        <v>0</v>
      </c>
      <c r="AA30" s="154">
        <f t="shared" si="1"/>
        <v>100</v>
      </c>
      <c r="AB30" s="152">
        <f t="shared" si="2"/>
        <v>85.5</v>
      </c>
      <c r="AC30" s="152">
        <f t="shared" si="3"/>
        <v>14.2</v>
      </c>
      <c r="AD30" s="152">
        <f t="shared" si="4"/>
        <v>0</v>
      </c>
      <c r="AE30" s="152">
        <f t="shared" si="5"/>
        <v>0.3</v>
      </c>
      <c r="AF30" s="152">
        <f t="shared" si="6"/>
        <v>0</v>
      </c>
      <c r="AG30" s="155"/>
      <c r="AH30"/>
      <c r="AI30"/>
      <c r="AJ30" s="3"/>
      <c r="AK30"/>
      <c r="AL30"/>
      <c r="AM30" s="3"/>
      <c r="AN30" s="156">
        <v>117</v>
      </c>
    </row>
    <row r="31" spans="1:40" s="152" customFormat="1">
      <c r="A31" s="152">
        <f t="shared" si="0"/>
        <v>30</v>
      </c>
      <c r="B31" s="153" t="s">
        <v>1028</v>
      </c>
      <c r="C31" s="152">
        <v>1</v>
      </c>
      <c r="D31" s="152" t="s">
        <v>1029</v>
      </c>
      <c r="E31" s="152" t="s">
        <v>1030</v>
      </c>
      <c r="G31" s="153"/>
      <c r="J31" s="153" t="s">
        <v>1036</v>
      </c>
      <c r="K31" s="153">
        <v>0</v>
      </c>
      <c r="L31" s="152">
        <v>99.19</v>
      </c>
      <c r="M31" s="152">
        <v>0.02</v>
      </c>
      <c r="N31" s="152">
        <v>0.79</v>
      </c>
      <c r="O31" s="154">
        <f>SUM(K31:N31)</f>
        <v>100</v>
      </c>
      <c r="P31" s="152">
        <v>0</v>
      </c>
      <c r="Q31" s="152">
        <f t="shared" si="9"/>
        <v>99.19</v>
      </c>
      <c r="R31" s="152">
        <f t="shared" si="10"/>
        <v>0.02</v>
      </c>
      <c r="S31" s="152">
        <f t="shared" si="11"/>
        <v>0.79</v>
      </c>
      <c r="T31" s="154"/>
      <c r="AA31" s="154"/>
      <c r="AG31" s="155"/>
      <c r="AH31"/>
      <c r="AI31"/>
      <c r="AJ31" s="3"/>
      <c r="AK31"/>
      <c r="AL31"/>
      <c r="AM31" s="3"/>
      <c r="AN31" s="158">
        <v>57</v>
      </c>
    </row>
    <row r="32" spans="1:40" s="152" customFormat="1">
      <c r="A32" s="152">
        <f t="shared" si="0"/>
        <v>31</v>
      </c>
      <c r="B32" s="153" t="s">
        <v>1028</v>
      </c>
      <c r="C32" s="152">
        <v>1</v>
      </c>
      <c r="D32" s="152" t="s">
        <v>1029</v>
      </c>
      <c r="E32" s="152" t="s">
        <v>1030</v>
      </c>
      <c r="G32" s="153"/>
      <c r="J32" s="153" t="s">
        <v>1036</v>
      </c>
      <c r="K32" s="153">
        <v>0</v>
      </c>
      <c r="L32" s="152">
        <v>98.57</v>
      </c>
      <c r="M32" s="152">
        <v>0.03</v>
      </c>
      <c r="N32" s="152">
        <v>1.4</v>
      </c>
      <c r="O32" s="154">
        <f>SUM(K32:N32)</f>
        <v>100</v>
      </c>
      <c r="P32" s="152">
        <v>0</v>
      </c>
      <c r="Q32" s="152">
        <f t="shared" si="9"/>
        <v>98.57</v>
      </c>
      <c r="R32" s="152">
        <f t="shared" si="10"/>
        <v>0.03</v>
      </c>
      <c r="S32" s="152">
        <f t="shared" si="11"/>
        <v>1.4</v>
      </c>
      <c r="T32" s="154" t="s">
        <v>1036</v>
      </c>
      <c r="U32" s="159">
        <v>83.73</v>
      </c>
      <c r="V32" s="159">
        <v>15.52</v>
      </c>
      <c r="W32" s="159">
        <v>1.0141987829614604E-2</v>
      </c>
      <c r="X32" s="152">
        <v>0</v>
      </c>
      <c r="Y32" s="152">
        <v>0</v>
      </c>
      <c r="Z32" s="152">
        <v>0</v>
      </c>
      <c r="AA32" s="154">
        <f t="shared" si="1"/>
        <v>99.260141987829613</v>
      </c>
      <c r="AB32" s="152">
        <f t="shared" ref="AB32:AB43" si="12">U32*(100/AA32)</f>
        <v>84.354100571673797</v>
      </c>
      <c r="AC32" s="152">
        <f t="shared" ref="AC32:AC43" si="13">V32*(100/AA32)</f>
        <v>15.635681844886866</v>
      </c>
      <c r="AD32" s="152">
        <f t="shared" ref="AD32:AD43" si="14">W32*(100/AA32)</f>
        <v>1.0217583439340762E-2</v>
      </c>
      <c r="AE32" s="152">
        <f t="shared" ref="AE32:AE43" si="15">X32*(100/AA32)</f>
        <v>0</v>
      </c>
      <c r="AF32" s="152">
        <f t="shared" ref="AF32:AF43" si="16">Y32*(100/AA32)</f>
        <v>0</v>
      </c>
      <c r="AG32" s="155">
        <f t="shared" ref="AG32:AG40" si="17">Z32*(100/AA32)</f>
        <v>0</v>
      </c>
      <c r="AH32"/>
      <c r="AI32"/>
      <c r="AJ32" s="3"/>
      <c r="AK32"/>
      <c r="AL32"/>
      <c r="AM32" s="3"/>
      <c r="AN32" s="156">
        <v>119</v>
      </c>
    </row>
    <row r="33" spans="1:40" s="152" customFormat="1">
      <c r="A33" s="152">
        <f t="shared" si="0"/>
        <v>32</v>
      </c>
      <c r="B33" s="153" t="s">
        <v>1028</v>
      </c>
      <c r="C33" s="152">
        <v>1</v>
      </c>
      <c r="D33" s="152" t="s">
        <v>1029</v>
      </c>
      <c r="E33" s="152" t="s">
        <v>1030</v>
      </c>
      <c r="G33" s="153"/>
      <c r="J33" s="153" t="s">
        <v>453</v>
      </c>
      <c r="K33" s="153">
        <v>0.2</v>
      </c>
      <c r="L33" s="152">
        <v>96.5</v>
      </c>
      <c r="M33" s="152">
        <v>1.7</v>
      </c>
      <c r="N33" s="152">
        <v>1.8</v>
      </c>
      <c r="O33" s="154">
        <f>SUM(K33:N33)</f>
        <v>100.2</v>
      </c>
      <c r="P33" s="152">
        <v>0.2</v>
      </c>
      <c r="Q33" s="30">
        <f>(100-$P$33)*L33/100</f>
        <v>96.306999999999988</v>
      </c>
      <c r="R33" s="152">
        <f t="shared" ref="R33:S33" si="18">(100-$P$33)*M33/100</f>
        <v>1.6965999999999999</v>
      </c>
      <c r="S33" s="152">
        <f t="shared" si="18"/>
        <v>1.7963999999999998</v>
      </c>
      <c r="T33" s="154" t="s">
        <v>1036</v>
      </c>
      <c r="U33" s="159">
        <v>84.29</v>
      </c>
      <c r="V33" s="159">
        <v>13.4</v>
      </c>
      <c r="W33" s="159">
        <v>0</v>
      </c>
      <c r="X33" s="159">
        <v>0.01</v>
      </c>
      <c r="Y33" s="159">
        <f>100-U33-V33-W33-X33</f>
        <v>2.2999999999999936</v>
      </c>
      <c r="AA33" s="160">
        <f>Z33+Y33+X33+W33+V33+U33</f>
        <v>100</v>
      </c>
      <c r="AB33" s="159">
        <v>84.29</v>
      </c>
      <c r="AC33" s="159">
        <v>13.4</v>
      </c>
      <c r="AD33" s="159">
        <v>0</v>
      </c>
      <c r="AE33" s="159">
        <v>0.01</v>
      </c>
      <c r="AF33" s="159">
        <f>100-AB33-AC33-AD33-AE33</f>
        <v>2.2999999999999936</v>
      </c>
      <c r="AG33" s="155"/>
      <c r="AH33"/>
      <c r="AI33"/>
      <c r="AJ33" s="155">
        <v>44.24</v>
      </c>
      <c r="AK33">
        <f>AL33*(Q33+R33+S33)/(Q33+R33)</f>
        <v>45.14119889473448</v>
      </c>
      <c r="AL33">
        <f>AM33*(P33+Q33+R33+S33)/(Q33+R33+S33)</f>
        <v>44.328657314629261</v>
      </c>
      <c r="AM33" s="155">
        <v>44.24</v>
      </c>
      <c r="AN33" s="156">
        <v>60</v>
      </c>
    </row>
    <row r="34" spans="1:40" s="152" customFormat="1">
      <c r="A34" s="152">
        <f t="shared" si="0"/>
        <v>33</v>
      </c>
      <c r="B34" s="153" t="s">
        <v>1028</v>
      </c>
      <c r="C34" s="152">
        <v>1</v>
      </c>
      <c r="D34" s="152" t="s">
        <v>1029</v>
      </c>
      <c r="E34" s="152" t="s">
        <v>1030</v>
      </c>
      <c r="G34" s="153"/>
      <c r="J34" s="153" t="s">
        <v>1036</v>
      </c>
      <c r="K34" s="153">
        <v>0.32</v>
      </c>
      <c r="L34" s="152">
        <v>91.88</v>
      </c>
      <c r="M34" s="152">
        <v>3.9</v>
      </c>
      <c r="N34" s="152">
        <v>3.9</v>
      </c>
      <c r="O34" s="154">
        <f t="shared" ref="O34:O36" si="19">SUM(K34:N34)</f>
        <v>100</v>
      </c>
      <c r="P34" s="152">
        <v>0.32</v>
      </c>
      <c r="Q34" s="152">
        <f t="shared" si="9"/>
        <v>91.88</v>
      </c>
      <c r="R34" s="152">
        <f t="shared" si="10"/>
        <v>3.9</v>
      </c>
      <c r="S34" s="152">
        <f t="shared" si="11"/>
        <v>3.9</v>
      </c>
      <c r="T34" s="154" t="s">
        <v>1031</v>
      </c>
      <c r="U34" s="159">
        <v>83.4</v>
      </c>
      <c r="V34" s="159">
        <v>12.7</v>
      </c>
      <c r="W34" s="159">
        <v>1.08</v>
      </c>
      <c r="X34" s="152">
        <v>2E-3</v>
      </c>
      <c r="Y34" s="159">
        <v>2.8</v>
      </c>
      <c r="AA34" s="154">
        <f t="shared" si="1"/>
        <v>99.981999999999999</v>
      </c>
      <c r="AB34" s="152">
        <f t="shared" si="12"/>
        <v>83.415014702646474</v>
      </c>
      <c r="AC34" s="152">
        <f t="shared" si="13"/>
        <v>12.702286411554079</v>
      </c>
      <c r="AD34" s="152">
        <f t="shared" si="14"/>
        <v>1.0801944349982997</v>
      </c>
      <c r="AE34" s="152">
        <f t="shared" si="15"/>
        <v>2.0003600648116661E-3</v>
      </c>
      <c r="AF34" s="152">
        <f t="shared" si="16"/>
        <v>2.8005040907363323</v>
      </c>
      <c r="AG34" s="155"/>
      <c r="AH34"/>
      <c r="AI34"/>
      <c r="AJ34" s="3">
        <v>46.48</v>
      </c>
      <c r="AK34">
        <f>AL34*(Q34+R34+S34)/(Q34+R34)</f>
        <v>48.527876383378576</v>
      </c>
      <c r="AL34">
        <f>AM34*(P34+Q34+R34+S34)/(Q34+R34+S34)</f>
        <v>46.629213483146067</v>
      </c>
      <c r="AM34" s="3">
        <v>46.48</v>
      </c>
      <c r="AN34" s="156">
        <v>114</v>
      </c>
    </row>
    <row r="35" spans="1:40" s="152" customFormat="1">
      <c r="A35" s="152">
        <f t="shared" si="0"/>
        <v>34</v>
      </c>
      <c r="B35" s="153" t="s">
        <v>1028</v>
      </c>
      <c r="C35" s="152">
        <v>1</v>
      </c>
      <c r="D35" s="152" t="s">
        <v>1029</v>
      </c>
      <c r="E35" s="152" t="s">
        <v>1030</v>
      </c>
      <c r="G35" s="153"/>
      <c r="J35" s="153" t="s">
        <v>1038</v>
      </c>
      <c r="K35" s="153">
        <v>0</v>
      </c>
      <c r="L35" s="152">
        <v>100</v>
      </c>
      <c r="M35" s="152">
        <v>0</v>
      </c>
      <c r="N35" s="152">
        <v>0</v>
      </c>
      <c r="O35" s="154">
        <f t="shared" si="19"/>
        <v>100</v>
      </c>
      <c r="P35" s="152">
        <v>0</v>
      </c>
      <c r="Q35" s="152">
        <f t="shared" si="9"/>
        <v>100</v>
      </c>
      <c r="R35" s="152">
        <f t="shared" si="10"/>
        <v>0</v>
      </c>
      <c r="S35" s="152">
        <f t="shared" si="11"/>
        <v>0</v>
      </c>
      <c r="T35" s="154" t="s">
        <v>1033</v>
      </c>
      <c r="U35" s="152">
        <v>84.95</v>
      </c>
      <c r="V35" s="152">
        <v>14.3</v>
      </c>
      <c r="W35" s="152">
        <v>0.55000000000000004</v>
      </c>
      <c r="X35" s="152">
        <v>0</v>
      </c>
      <c r="Y35" s="152">
        <v>0.2</v>
      </c>
      <c r="Z35" s="152">
        <v>0</v>
      </c>
      <c r="AA35" s="154">
        <f t="shared" si="1"/>
        <v>100</v>
      </c>
      <c r="AB35" s="152">
        <f t="shared" si="12"/>
        <v>84.95</v>
      </c>
      <c r="AC35" s="152">
        <f t="shared" si="13"/>
        <v>14.3</v>
      </c>
      <c r="AD35" s="152">
        <f t="shared" si="14"/>
        <v>0.55000000000000004</v>
      </c>
      <c r="AE35" s="152">
        <f t="shared" si="15"/>
        <v>0</v>
      </c>
      <c r="AF35" s="152">
        <f t="shared" si="16"/>
        <v>0.2</v>
      </c>
      <c r="AG35" s="155">
        <f t="shared" si="17"/>
        <v>0</v>
      </c>
      <c r="AH35"/>
      <c r="AI35"/>
      <c r="AJ35" s="3"/>
      <c r="AK35"/>
      <c r="AL35"/>
      <c r="AM35" s="3"/>
      <c r="AN35" s="156">
        <v>97</v>
      </c>
    </row>
    <row r="36" spans="1:40" s="152" customFormat="1">
      <c r="A36" s="152">
        <f t="shared" si="0"/>
        <v>35</v>
      </c>
      <c r="B36" s="153" t="s">
        <v>1028</v>
      </c>
      <c r="C36" s="152">
        <v>1</v>
      </c>
      <c r="D36" s="152" t="s">
        <v>1029</v>
      </c>
      <c r="E36" s="152" t="s">
        <v>1030</v>
      </c>
      <c r="G36" s="153"/>
      <c r="J36" s="153" t="s">
        <v>1032</v>
      </c>
      <c r="K36" s="153">
        <v>1.56</v>
      </c>
      <c r="L36" s="152">
        <v>89.25</v>
      </c>
      <c r="M36" s="152">
        <v>1.3</v>
      </c>
      <c r="N36" s="152">
        <v>4.6500000000000004</v>
      </c>
      <c r="O36" s="154">
        <f t="shared" si="19"/>
        <v>96.76</v>
      </c>
      <c r="P36" s="152">
        <f>K36*(100/O36)</f>
        <v>1.6122364613476641</v>
      </c>
      <c r="Q36" s="152">
        <f t="shared" ref="Q36" si="20">L36*(100/O36)</f>
        <v>92.238528317486555</v>
      </c>
      <c r="R36" s="152">
        <f t="shared" ref="R36" si="21">M36*(100/O36)</f>
        <v>1.3435303844563868</v>
      </c>
      <c r="S36" s="152">
        <f t="shared" ref="S36" si="22">N36*(100/O36)</f>
        <v>4.805704836709384</v>
      </c>
      <c r="T36" s="154" t="s">
        <v>1033</v>
      </c>
      <c r="U36" s="152">
        <v>78.2</v>
      </c>
      <c r="V36" s="152">
        <v>12.875</v>
      </c>
      <c r="W36" s="152">
        <v>0.375</v>
      </c>
      <c r="X36" s="152">
        <v>0</v>
      </c>
      <c r="Y36" s="152">
        <v>0</v>
      </c>
      <c r="AA36" s="154">
        <f t="shared" si="1"/>
        <v>91.45</v>
      </c>
      <c r="AB36" s="152">
        <f t="shared" si="12"/>
        <v>85.51120831055222</v>
      </c>
      <c r="AC36" s="152">
        <f t="shared" si="13"/>
        <v>14.078731547293604</v>
      </c>
      <c r="AD36" s="152">
        <f t="shared" si="14"/>
        <v>0.41006014215418263</v>
      </c>
      <c r="AE36" s="152">
        <f t="shared" si="15"/>
        <v>0</v>
      </c>
      <c r="AF36" s="152">
        <f t="shared" si="16"/>
        <v>0</v>
      </c>
      <c r="AG36" s="155"/>
      <c r="AH36"/>
      <c r="AI36"/>
      <c r="AJ36" s="3"/>
      <c r="AK36"/>
      <c r="AL36"/>
      <c r="AM36" s="3"/>
      <c r="AN36" s="156">
        <v>84</v>
      </c>
    </row>
    <row r="37" spans="1:40" s="161" customFormat="1">
      <c r="A37" s="161">
        <f t="shared" si="0"/>
        <v>36</v>
      </c>
      <c r="B37" s="162" t="s">
        <v>1028</v>
      </c>
      <c r="C37" s="161">
        <v>2</v>
      </c>
      <c r="D37" s="161" t="s">
        <v>1039</v>
      </c>
      <c r="E37" s="161" t="s">
        <v>1040</v>
      </c>
      <c r="G37" s="162"/>
      <c r="J37" s="162" t="s">
        <v>1037</v>
      </c>
      <c r="K37" s="162">
        <v>0.1</v>
      </c>
      <c r="L37" s="161">
        <v>97.6</v>
      </c>
      <c r="M37" s="161">
        <v>2.2999999999999998</v>
      </c>
      <c r="N37" s="161">
        <v>0</v>
      </c>
      <c r="O37" s="163">
        <f>SUM(K37:N37)</f>
        <v>99.999999999999986</v>
      </c>
      <c r="P37" s="161">
        <v>0.1</v>
      </c>
      <c r="Q37" s="161">
        <f t="shared" ref="Q37:Q57" si="23">L37*(100/O37)</f>
        <v>97.600000000000023</v>
      </c>
      <c r="R37" s="161">
        <f t="shared" ref="R37:R57" si="24">M37*(100/O37)</f>
        <v>2.3000000000000003</v>
      </c>
      <c r="S37" s="161">
        <f t="shared" ref="S37:S57" si="25">N37*(100/O37)</f>
        <v>0</v>
      </c>
      <c r="T37" s="163" t="s">
        <v>1036</v>
      </c>
      <c r="U37" s="161">
        <v>84.1</v>
      </c>
      <c r="V37" s="161">
        <v>12.15</v>
      </c>
      <c r="W37" s="161">
        <v>0</v>
      </c>
      <c r="X37" s="161">
        <v>0</v>
      </c>
      <c r="Y37" s="161">
        <v>0</v>
      </c>
      <c r="AA37" s="163">
        <f t="shared" si="1"/>
        <v>96.25</v>
      </c>
      <c r="AB37" s="161">
        <f t="shared" si="12"/>
        <v>87.376623376623357</v>
      </c>
      <c r="AC37" s="161">
        <f t="shared" si="13"/>
        <v>12.623376623376622</v>
      </c>
      <c r="AD37" s="161">
        <f t="shared" si="14"/>
        <v>0</v>
      </c>
      <c r="AE37" s="161">
        <f t="shared" si="15"/>
        <v>0</v>
      </c>
      <c r="AF37" s="161">
        <f t="shared" si="16"/>
        <v>0</v>
      </c>
      <c r="AG37" s="164"/>
      <c r="AH37" s="6"/>
      <c r="AI37" s="6"/>
      <c r="AJ37" s="7">
        <v>45.7</v>
      </c>
      <c r="AK37" s="5">
        <f>AL37*(Q37+R37+S37)/(Q37+R37)</f>
        <v>45.745745745745744</v>
      </c>
      <c r="AL37" s="6">
        <f>AM37*(P37+Q37+R37+S37)/(Q37+R37+S37)</f>
        <v>45.745745745745744</v>
      </c>
      <c r="AM37" s="7">
        <v>45.7</v>
      </c>
      <c r="AN37" s="165">
        <v>32</v>
      </c>
    </row>
    <row r="38" spans="1:40" s="152" customFormat="1">
      <c r="A38" s="152">
        <f t="shared" si="0"/>
        <v>37</v>
      </c>
      <c r="B38" s="153" t="s">
        <v>1028</v>
      </c>
      <c r="C38" s="152">
        <v>2</v>
      </c>
      <c r="D38" s="152" t="s">
        <v>1039</v>
      </c>
      <c r="E38" s="152" t="s">
        <v>1040</v>
      </c>
      <c r="G38" s="153"/>
      <c r="J38" s="153" t="s">
        <v>1037</v>
      </c>
      <c r="K38" s="153">
        <v>0</v>
      </c>
      <c r="L38" s="152">
        <v>90</v>
      </c>
      <c r="M38" s="152">
        <v>0</v>
      </c>
      <c r="N38" s="152">
        <v>10</v>
      </c>
      <c r="O38" s="154">
        <f>SUM(K38:N38)</f>
        <v>100</v>
      </c>
      <c r="P38" s="152">
        <v>0</v>
      </c>
      <c r="Q38" s="152">
        <f t="shared" si="23"/>
        <v>90</v>
      </c>
      <c r="R38" s="152">
        <f t="shared" si="24"/>
        <v>0</v>
      </c>
      <c r="S38" s="152">
        <f t="shared" si="25"/>
        <v>10</v>
      </c>
      <c r="T38" s="154" t="s">
        <v>1033</v>
      </c>
      <c r="U38" s="152">
        <v>85.4</v>
      </c>
      <c r="V38" s="152">
        <v>13.9</v>
      </c>
      <c r="W38" s="152">
        <v>0</v>
      </c>
      <c r="X38" s="152">
        <v>0</v>
      </c>
      <c r="Y38" s="152">
        <v>7.0000000000000007E-2</v>
      </c>
      <c r="Z38" s="152">
        <v>0</v>
      </c>
      <c r="AA38" s="154">
        <f t="shared" si="1"/>
        <v>99.37</v>
      </c>
      <c r="AB38" s="152">
        <f t="shared" si="12"/>
        <v>85.941431015397001</v>
      </c>
      <c r="AC38" s="152">
        <f t="shared" si="13"/>
        <v>13.988125188688739</v>
      </c>
      <c r="AD38" s="152">
        <f t="shared" si="14"/>
        <v>0</v>
      </c>
      <c r="AE38" s="152">
        <f t="shared" si="15"/>
        <v>0</v>
      </c>
      <c r="AF38" s="152">
        <f t="shared" si="16"/>
        <v>7.0443795914259838E-2</v>
      </c>
      <c r="AG38" s="155">
        <f t="shared" si="17"/>
        <v>0</v>
      </c>
      <c r="AH38"/>
      <c r="AI38">
        <v>18.43</v>
      </c>
      <c r="AJ38" s="3"/>
      <c r="AK38">
        <f>AL38*(Q38+R38+S38)/(Q38+R38)</f>
        <v>20.477777777777778</v>
      </c>
      <c r="AL38">
        <v>18.43</v>
      </c>
      <c r="AM38">
        <f>AL38*(Q38+R38+S38)/(P38+Q38+R38+S38)</f>
        <v>18.43</v>
      </c>
      <c r="AN38" s="166">
        <v>123</v>
      </c>
    </row>
    <row r="39" spans="1:40" s="152" customFormat="1">
      <c r="A39" s="152">
        <f t="shared" si="0"/>
        <v>38</v>
      </c>
      <c r="B39" s="153" t="s">
        <v>1028</v>
      </c>
      <c r="C39" s="152">
        <v>2</v>
      </c>
      <c r="D39" s="152" t="s">
        <v>1039</v>
      </c>
      <c r="E39" s="152" t="s">
        <v>1040</v>
      </c>
      <c r="G39" s="153"/>
      <c r="J39" s="153" t="s">
        <v>1036</v>
      </c>
      <c r="K39" s="153">
        <v>0</v>
      </c>
      <c r="L39" s="152">
        <v>99.98</v>
      </c>
      <c r="M39" s="152">
        <v>0.02</v>
      </c>
      <c r="N39" s="152">
        <v>0</v>
      </c>
      <c r="O39" s="154">
        <f t="shared" ref="O39:O43" si="26">SUM(K39:N39)</f>
        <v>100</v>
      </c>
      <c r="P39" s="152">
        <v>0</v>
      </c>
      <c r="Q39" s="152">
        <f t="shared" si="23"/>
        <v>99.98</v>
      </c>
      <c r="R39" s="152">
        <f t="shared" si="24"/>
        <v>0.02</v>
      </c>
      <c r="S39" s="152">
        <f t="shared" si="25"/>
        <v>0</v>
      </c>
      <c r="T39" s="154" t="s">
        <v>1031</v>
      </c>
      <c r="U39" s="152">
        <v>85.98</v>
      </c>
      <c r="V39" s="152">
        <v>11.2</v>
      </c>
      <c r="W39" s="152">
        <v>0.21</v>
      </c>
      <c r="X39" s="152">
        <v>0</v>
      </c>
      <c r="Y39" s="152">
        <v>2.61</v>
      </c>
      <c r="AA39" s="154">
        <f t="shared" si="1"/>
        <v>100</v>
      </c>
      <c r="AB39" s="152">
        <f t="shared" si="12"/>
        <v>85.98</v>
      </c>
      <c r="AC39" s="152">
        <f t="shared" si="13"/>
        <v>11.2</v>
      </c>
      <c r="AD39" s="152">
        <f t="shared" si="14"/>
        <v>0.21</v>
      </c>
      <c r="AE39" s="152">
        <f t="shared" si="15"/>
        <v>0</v>
      </c>
      <c r="AF39" s="152">
        <f t="shared" si="16"/>
        <v>2.61</v>
      </c>
      <c r="AG39" s="155"/>
      <c r="AH39"/>
      <c r="AI39">
        <v>46.48</v>
      </c>
      <c r="AJ39" s="3"/>
      <c r="AK39">
        <f>AL39*(Q39+R39+S39)/(Q39+R39)</f>
        <v>46.48</v>
      </c>
      <c r="AL39">
        <v>46.48</v>
      </c>
      <c r="AM39">
        <f>AL39*(Q39+R39+S39)/(P39+Q39+R39+S39)</f>
        <v>46.48</v>
      </c>
      <c r="AN39" s="166">
        <v>42</v>
      </c>
    </row>
    <row r="40" spans="1:40" s="152" customFormat="1">
      <c r="A40" s="152">
        <f t="shared" si="0"/>
        <v>39</v>
      </c>
      <c r="B40" s="153" t="s">
        <v>1028</v>
      </c>
      <c r="C40" s="152">
        <v>2</v>
      </c>
      <c r="D40" s="152" t="s">
        <v>1039</v>
      </c>
      <c r="E40" s="152" t="s">
        <v>1040</v>
      </c>
      <c r="G40" s="153"/>
      <c r="J40" s="153" t="s">
        <v>1036</v>
      </c>
      <c r="K40" s="153">
        <v>0</v>
      </c>
      <c r="L40" s="152">
        <v>100</v>
      </c>
      <c r="M40" s="152">
        <v>0</v>
      </c>
      <c r="N40" s="152">
        <v>0</v>
      </c>
      <c r="O40" s="154">
        <f t="shared" si="26"/>
        <v>100</v>
      </c>
      <c r="P40" s="152">
        <v>0</v>
      </c>
      <c r="Q40" s="152">
        <f t="shared" si="23"/>
        <v>100</v>
      </c>
      <c r="R40" s="152">
        <f t="shared" si="24"/>
        <v>0</v>
      </c>
      <c r="S40" s="152">
        <f t="shared" si="25"/>
        <v>0</v>
      </c>
      <c r="T40" s="154" t="s">
        <v>1031</v>
      </c>
      <c r="U40" s="152">
        <v>85.7</v>
      </c>
      <c r="V40" s="152">
        <v>14.2</v>
      </c>
      <c r="W40" s="152">
        <v>0.05</v>
      </c>
      <c r="X40" s="152">
        <v>0</v>
      </c>
      <c r="Y40" s="152">
        <v>0.05</v>
      </c>
      <c r="Z40" s="152">
        <v>0</v>
      </c>
      <c r="AA40" s="154">
        <f t="shared" si="1"/>
        <v>100</v>
      </c>
      <c r="AB40" s="152">
        <f t="shared" si="12"/>
        <v>85.7</v>
      </c>
      <c r="AC40" s="152">
        <f t="shared" si="13"/>
        <v>14.2</v>
      </c>
      <c r="AD40" s="152">
        <f t="shared" si="14"/>
        <v>0.05</v>
      </c>
      <c r="AE40" s="152">
        <f t="shared" si="15"/>
        <v>0</v>
      </c>
      <c r="AF40" s="152">
        <f t="shared" si="16"/>
        <v>0.05</v>
      </c>
      <c r="AG40" s="155">
        <f t="shared" si="17"/>
        <v>0</v>
      </c>
      <c r="AH40"/>
      <c r="AI40"/>
      <c r="AJ40" s="3">
        <v>46.6</v>
      </c>
      <c r="AK40">
        <f>AL40*(Q40+R40+S40)/(Q40+R40)</f>
        <v>46.6</v>
      </c>
      <c r="AL40">
        <f>AM40*(P40+Q40+R40+S40)/(Q40+R40+S40)</f>
        <v>46.6</v>
      </c>
      <c r="AM40" s="3">
        <v>46.6</v>
      </c>
      <c r="AN40" s="158">
        <v>88</v>
      </c>
    </row>
    <row r="41" spans="1:40">
      <c r="A41">
        <f t="shared" si="0"/>
        <v>40</v>
      </c>
      <c r="B41" s="153" t="s">
        <v>1028</v>
      </c>
      <c r="C41" s="152">
        <v>2</v>
      </c>
      <c r="D41" s="152" t="s">
        <v>1039</v>
      </c>
      <c r="E41" t="s">
        <v>1040</v>
      </c>
      <c r="H41">
        <v>0.3</v>
      </c>
      <c r="AN41" s="181">
        <v>135</v>
      </c>
    </row>
    <row r="42" spans="1:40" s="152" customFormat="1">
      <c r="A42" s="152">
        <f t="shared" si="0"/>
        <v>41</v>
      </c>
      <c r="B42" s="153" t="s">
        <v>1028</v>
      </c>
      <c r="C42" s="152">
        <v>2</v>
      </c>
      <c r="D42" s="152" t="s">
        <v>1039</v>
      </c>
      <c r="E42" s="152" t="s">
        <v>1040</v>
      </c>
      <c r="G42" s="153"/>
      <c r="J42" s="153" t="s">
        <v>1036</v>
      </c>
      <c r="K42" s="153">
        <v>0</v>
      </c>
      <c r="L42" s="152">
        <v>100</v>
      </c>
      <c r="M42" s="152">
        <v>0</v>
      </c>
      <c r="N42" s="152">
        <v>0</v>
      </c>
      <c r="O42" s="154">
        <f t="shared" si="26"/>
        <v>100</v>
      </c>
      <c r="P42" s="152">
        <v>0</v>
      </c>
      <c r="Q42" s="152">
        <f t="shared" si="23"/>
        <v>100</v>
      </c>
      <c r="R42" s="152">
        <f t="shared" si="24"/>
        <v>0</v>
      </c>
      <c r="S42" s="152">
        <f t="shared" si="25"/>
        <v>0</v>
      </c>
      <c r="T42" s="154" t="s">
        <v>1031</v>
      </c>
      <c r="U42" s="152">
        <v>82.18</v>
      </c>
      <c r="V42" s="152">
        <v>16.37</v>
      </c>
      <c r="W42" s="152">
        <v>0</v>
      </c>
      <c r="X42" s="152">
        <v>0</v>
      </c>
      <c r="Y42" s="152">
        <v>1.45</v>
      </c>
      <c r="AA42" s="154">
        <f t="shared" si="1"/>
        <v>100</v>
      </c>
      <c r="AB42" s="152">
        <f t="shared" si="12"/>
        <v>82.18</v>
      </c>
      <c r="AC42" s="152">
        <f t="shared" si="13"/>
        <v>16.37</v>
      </c>
      <c r="AD42" s="152">
        <f t="shared" si="14"/>
        <v>0</v>
      </c>
      <c r="AE42" s="152">
        <f t="shared" si="15"/>
        <v>0</v>
      </c>
      <c r="AF42" s="152">
        <f t="shared" si="16"/>
        <v>1.45</v>
      </c>
      <c r="AG42" s="155"/>
      <c r="AH42"/>
      <c r="AI42"/>
      <c r="AJ42" s="3"/>
      <c r="AK42"/>
      <c r="AL42"/>
      <c r="AM42" s="3"/>
      <c r="AN42" s="157">
        <v>11</v>
      </c>
    </row>
    <row r="43" spans="1:40" s="152" customFormat="1">
      <c r="A43" s="152">
        <f t="shared" si="0"/>
        <v>42</v>
      </c>
      <c r="B43" s="153" t="s">
        <v>1028</v>
      </c>
      <c r="C43" s="152">
        <v>2</v>
      </c>
      <c r="D43" s="152" t="s">
        <v>1039</v>
      </c>
      <c r="E43" s="152" t="s">
        <v>1041</v>
      </c>
      <c r="G43" s="153"/>
      <c r="J43" s="153" t="s">
        <v>1032</v>
      </c>
      <c r="K43" s="153">
        <v>0.06</v>
      </c>
      <c r="L43" s="152">
        <v>99.67</v>
      </c>
      <c r="M43" s="152">
        <v>0</v>
      </c>
      <c r="N43" s="152">
        <v>0</v>
      </c>
      <c r="O43" s="154">
        <f t="shared" si="26"/>
        <v>99.73</v>
      </c>
      <c r="P43" s="152">
        <f>K43*(100/O43)</f>
        <v>6.0162438584177275E-2</v>
      </c>
      <c r="Q43" s="152">
        <f>L43*(100/O43)</f>
        <v>99.939837561415828</v>
      </c>
      <c r="R43" s="152">
        <f t="shared" si="24"/>
        <v>0</v>
      </c>
      <c r="S43" s="152">
        <f t="shared" si="25"/>
        <v>0</v>
      </c>
      <c r="T43" s="154" t="s">
        <v>1033</v>
      </c>
      <c r="U43" s="152">
        <v>82.37</v>
      </c>
      <c r="V43" s="152">
        <v>14.57</v>
      </c>
      <c r="W43" s="152">
        <v>0.15</v>
      </c>
      <c r="X43" s="152">
        <v>2.73</v>
      </c>
      <c r="Y43" s="152">
        <v>0.21</v>
      </c>
      <c r="AA43" s="154">
        <f t="shared" si="1"/>
        <v>100.03</v>
      </c>
      <c r="AB43" s="152">
        <f t="shared" si="12"/>
        <v>82.345296411076674</v>
      </c>
      <c r="AC43" s="152">
        <f t="shared" si="13"/>
        <v>14.565630310906728</v>
      </c>
      <c r="AD43" s="152">
        <f t="shared" si="14"/>
        <v>0.14995501349595119</v>
      </c>
      <c r="AE43" s="152">
        <f t="shared" si="15"/>
        <v>2.7291812456263118</v>
      </c>
      <c r="AF43" s="152">
        <f t="shared" si="16"/>
        <v>0.2099370188943317</v>
      </c>
      <c r="AG43" s="155"/>
      <c r="AH43"/>
      <c r="AI43"/>
      <c r="AJ43" s="3"/>
      <c r="AK43"/>
      <c r="AL43"/>
      <c r="AM43" s="3"/>
      <c r="AN43" s="156">
        <v>101</v>
      </c>
    </row>
    <row r="44" spans="1:40" s="152" customFormat="1">
      <c r="A44" s="152">
        <f t="shared" si="0"/>
        <v>43</v>
      </c>
      <c r="B44" s="153" t="s">
        <v>1028</v>
      </c>
      <c r="C44" s="152">
        <v>2</v>
      </c>
      <c r="D44" s="152" t="s">
        <v>1039</v>
      </c>
      <c r="E44" s="152" t="s">
        <v>1040</v>
      </c>
      <c r="G44" s="153"/>
      <c r="J44" s="153" t="s">
        <v>1036</v>
      </c>
      <c r="K44" s="153">
        <v>0.15</v>
      </c>
      <c r="L44" s="152">
        <v>99.65</v>
      </c>
      <c r="M44" s="152">
        <v>0</v>
      </c>
      <c r="N44" s="152">
        <v>0.02</v>
      </c>
      <c r="O44" s="154">
        <f>SUM(K44:N44)</f>
        <v>99.820000000000007</v>
      </c>
      <c r="P44" s="152">
        <v>0.15</v>
      </c>
      <c r="Q44" s="152">
        <f>L44*(100/O44)</f>
        <v>99.829693448206783</v>
      </c>
      <c r="R44" s="152">
        <f t="shared" si="24"/>
        <v>0</v>
      </c>
      <c r="S44" s="152">
        <f t="shared" si="25"/>
        <v>2.0036064916850331E-2</v>
      </c>
      <c r="T44" s="154"/>
      <c r="AA44" s="154"/>
      <c r="AG44" s="155"/>
      <c r="AH44"/>
      <c r="AI44"/>
      <c r="AJ44" s="3"/>
      <c r="AK44"/>
      <c r="AL44"/>
      <c r="AM44" s="3"/>
      <c r="AN44" s="158">
        <v>57</v>
      </c>
    </row>
    <row r="45" spans="1:40" s="152" customFormat="1">
      <c r="A45" s="152">
        <f t="shared" si="0"/>
        <v>44</v>
      </c>
      <c r="B45" s="153" t="s">
        <v>1028</v>
      </c>
      <c r="C45" s="152">
        <v>2</v>
      </c>
      <c r="D45" s="152" t="s">
        <v>1039</v>
      </c>
      <c r="E45" s="152" t="s">
        <v>1040</v>
      </c>
      <c r="G45" s="153"/>
      <c r="J45" s="153" t="s">
        <v>1032</v>
      </c>
      <c r="K45" s="153">
        <v>0</v>
      </c>
      <c r="L45" s="152">
        <v>99.9</v>
      </c>
      <c r="M45" s="152">
        <v>0.05</v>
      </c>
      <c r="N45" s="152">
        <v>0.05</v>
      </c>
      <c r="O45" s="154">
        <f t="shared" ref="O45:O54" si="27">SUM(K45:N45)</f>
        <v>100</v>
      </c>
      <c r="P45" s="152">
        <v>0</v>
      </c>
      <c r="Q45" s="152">
        <f t="shared" si="23"/>
        <v>99.9</v>
      </c>
      <c r="R45" s="152">
        <f t="shared" si="24"/>
        <v>0.05</v>
      </c>
      <c r="S45" s="152">
        <f t="shared" si="25"/>
        <v>0.05</v>
      </c>
      <c r="T45" s="154" t="s">
        <v>1033</v>
      </c>
      <c r="U45" s="152">
        <v>85.7</v>
      </c>
      <c r="V45" s="152">
        <v>14.14</v>
      </c>
      <c r="W45" s="152">
        <v>0</v>
      </c>
      <c r="X45" s="152">
        <v>0</v>
      </c>
      <c r="Y45" s="152">
        <v>0.16</v>
      </c>
      <c r="AA45" s="154">
        <f t="shared" si="1"/>
        <v>100</v>
      </c>
      <c r="AB45" s="152">
        <f t="shared" ref="AB45:AB56" si="28">U45*(100/AA45)</f>
        <v>85.7</v>
      </c>
      <c r="AC45" s="152">
        <f t="shared" ref="AC45:AC56" si="29">V45*(100/AA45)</f>
        <v>14.14</v>
      </c>
      <c r="AD45" s="152">
        <f t="shared" ref="AD45:AD56" si="30">W45*(100/AA45)</f>
        <v>0</v>
      </c>
      <c r="AE45" s="152">
        <f t="shared" ref="AE45:AE56" si="31">X45*(100/AA45)</f>
        <v>0</v>
      </c>
      <c r="AF45" s="152">
        <f t="shared" ref="AF45:AF56" si="32">Y45*(100/AA45)</f>
        <v>0.16</v>
      </c>
      <c r="AG45" s="155"/>
      <c r="AH45"/>
      <c r="AI45"/>
      <c r="AJ45" s="3"/>
      <c r="AK45"/>
      <c r="AL45"/>
      <c r="AM45" s="3"/>
      <c r="AN45" s="158">
        <v>99</v>
      </c>
    </row>
    <row r="46" spans="1:40" s="152" customFormat="1">
      <c r="A46" s="152">
        <f t="shared" si="0"/>
        <v>45</v>
      </c>
      <c r="B46" s="153" t="s">
        <v>1028</v>
      </c>
      <c r="C46" s="152">
        <v>2</v>
      </c>
      <c r="D46" s="152" t="s">
        <v>1039</v>
      </c>
      <c r="E46" s="152" t="s">
        <v>1040</v>
      </c>
      <c r="G46" s="153"/>
      <c r="J46" s="153" t="s">
        <v>1037</v>
      </c>
      <c r="K46" s="153">
        <v>0.01</v>
      </c>
      <c r="L46" s="152">
        <v>99.95</v>
      </c>
      <c r="M46" s="152">
        <v>0</v>
      </c>
      <c r="N46" s="152">
        <v>0.08</v>
      </c>
      <c r="O46" s="154">
        <f t="shared" si="27"/>
        <v>100.04</v>
      </c>
      <c r="P46" s="152">
        <f>K46*(100/O46)</f>
        <v>9.9960015993602568E-3</v>
      </c>
      <c r="Q46" s="152">
        <f t="shared" si="23"/>
        <v>99.910035985605759</v>
      </c>
      <c r="R46" s="152">
        <f t="shared" si="24"/>
        <v>0</v>
      </c>
      <c r="S46" s="152">
        <f t="shared" si="25"/>
        <v>7.9968012794882054E-2</v>
      </c>
      <c r="T46" s="154" t="s">
        <v>1031</v>
      </c>
      <c r="U46" s="152">
        <v>86.32</v>
      </c>
      <c r="V46" s="152">
        <v>14.43</v>
      </c>
      <c r="W46" s="152">
        <v>0</v>
      </c>
      <c r="X46" s="152">
        <v>0.21</v>
      </c>
      <c r="Y46" s="152">
        <v>0</v>
      </c>
      <c r="AA46" s="154">
        <f t="shared" si="1"/>
        <v>100.96</v>
      </c>
      <c r="AB46" s="152">
        <f t="shared" si="28"/>
        <v>85.499207606973059</v>
      </c>
      <c r="AC46" s="152">
        <f t="shared" si="29"/>
        <v>14.292789223454834</v>
      </c>
      <c r="AD46" s="152">
        <f t="shared" si="30"/>
        <v>0</v>
      </c>
      <c r="AE46" s="152">
        <f t="shared" si="31"/>
        <v>0.20800316957210777</v>
      </c>
      <c r="AF46" s="152">
        <f t="shared" si="32"/>
        <v>0</v>
      </c>
      <c r="AG46" s="155"/>
      <c r="AH46"/>
      <c r="AI46"/>
      <c r="AJ46" s="3"/>
      <c r="AK46"/>
      <c r="AL46"/>
      <c r="AM46" s="3"/>
      <c r="AN46" s="158">
        <v>65</v>
      </c>
    </row>
    <row r="47" spans="1:40">
      <c r="A47">
        <f t="shared" si="0"/>
        <v>46</v>
      </c>
      <c r="B47" s="153" t="s">
        <v>1028</v>
      </c>
      <c r="C47" s="152">
        <v>2</v>
      </c>
      <c r="D47" s="152" t="s">
        <v>1039</v>
      </c>
      <c r="E47" t="s">
        <v>1040</v>
      </c>
      <c r="G47" s="8">
        <v>0.91749999999999998</v>
      </c>
      <c r="H47">
        <v>0.33</v>
      </c>
      <c r="AN47" s="181">
        <v>130</v>
      </c>
    </row>
    <row r="48" spans="1:40" s="152" customFormat="1">
      <c r="A48" s="152">
        <f t="shared" si="0"/>
        <v>47</v>
      </c>
      <c r="B48" s="153" t="s">
        <v>1028</v>
      </c>
      <c r="C48" s="152">
        <v>2</v>
      </c>
      <c r="D48" s="152" t="s">
        <v>1039</v>
      </c>
      <c r="E48" s="152" t="s">
        <v>1040</v>
      </c>
      <c r="G48" s="153"/>
      <c r="J48" s="153" t="s">
        <v>1172</v>
      </c>
      <c r="K48" s="153">
        <v>0.08</v>
      </c>
      <c r="L48" s="152">
        <v>99.78</v>
      </c>
      <c r="M48" s="152">
        <v>0.05</v>
      </c>
      <c r="N48" s="152">
        <v>0.08</v>
      </c>
      <c r="O48" s="154">
        <f t="shared" si="27"/>
        <v>99.99</v>
      </c>
      <c r="P48" s="152">
        <f>K48*(100/O48)</f>
        <v>8.0008000800080026E-2</v>
      </c>
      <c r="Q48" s="152">
        <f t="shared" ref="Q48" si="33">L48*(100/O48)</f>
        <v>99.789978997899809</v>
      </c>
      <c r="R48" s="152">
        <f t="shared" ref="R48" si="34">M48*(100/O48)</f>
        <v>5.0005000500050016E-2</v>
      </c>
      <c r="S48" s="152">
        <f t="shared" ref="S48" si="35">N48*(100/O48)</f>
        <v>8.0008000800080026E-2</v>
      </c>
      <c r="T48" s="154" t="s">
        <v>1172</v>
      </c>
      <c r="U48" s="152">
        <v>83.456999999999994</v>
      </c>
      <c r="V48" s="152">
        <v>13.693</v>
      </c>
      <c r="W48" s="152">
        <v>7.0000000000000001E-3</v>
      </c>
      <c r="X48" s="152">
        <v>0.45900000000000002</v>
      </c>
      <c r="Y48" s="152">
        <v>2.3839999999999999</v>
      </c>
      <c r="AA48" s="154">
        <f t="shared" si="1"/>
        <v>100</v>
      </c>
      <c r="AB48" s="152">
        <f t="shared" si="28"/>
        <v>83.456999999999994</v>
      </c>
      <c r="AC48" s="152">
        <f t="shared" si="29"/>
        <v>13.693</v>
      </c>
      <c r="AD48" s="152">
        <f t="shared" si="30"/>
        <v>7.0000000000000001E-3</v>
      </c>
      <c r="AE48" s="152">
        <f t="shared" si="31"/>
        <v>0.45900000000000002</v>
      </c>
      <c r="AF48" s="152">
        <f t="shared" si="32"/>
        <v>2.3839999999999999</v>
      </c>
      <c r="AG48" s="155"/>
      <c r="AH48"/>
      <c r="AI48"/>
      <c r="AJ48" s="3"/>
      <c r="AK48"/>
      <c r="AL48"/>
      <c r="AM48" s="3"/>
      <c r="AN48" s="156">
        <v>78</v>
      </c>
    </row>
    <row r="49" spans="1:40">
      <c r="A49">
        <f t="shared" si="0"/>
        <v>48</v>
      </c>
      <c r="B49" s="153" t="s">
        <v>1028</v>
      </c>
      <c r="C49" s="152">
        <v>2</v>
      </c>
      <c r="D49" s="152" t="s">
        <v>1039</v>
      </c>
      <c r="E49" t="s">
        <v>1040</v>
      </c>
      <c r="G49" s="8">
        <v>0.92300000000000004</v>
      </c>
      <c r="H49">
        <v>0.3</v>
      </c>
      <c r="I49">
        <v>2.2000000000000002</v>
      </c>
      <c r="AN49" s="181">
        <v>133</v>
      </c>
    </row>
    <row r="50" spans="1:40" s="152" customFormat="1">
      <c r="A50" s="152">
        <f t="shared" si="0"/>
        <v>49</v>
      </c>
      <c r="B50" s="153" t="s">
        <v>1028</v>
      </c>
      <c r="C50" s="152">
        <v>2</v>
      </c>
      <c r="D50" s="152" t="s">
        <v>1039</v>
      </c>
      <c r="E50" s="152" t="s">
        <v>1041</v>
      </c>
      <c r="G50" s="153"/>
      <c r="J50" s="153" t="s">
        <v>1032</v>
      </c>
      <c r="K50" s="153">
        <v>0.19900000000000001</v>
      </c>
      <c r="L50" s="152">
        <v>99.653000000000006</v>
      </c>
      <c r="M50" s="152">
        <v>0</v>
      </c>
      <c r="N50" s="152">
        <v>0.14799999999999999</v>
      </c>
      <c r="O50" s="154">
        <f t="shared" si="27"/>
        <v>100</v>
      </c>
      <c r="P50" s="152">
        <v>0.19900000000000001</v>
      </c>
      <c r="Q50" s="152">
        <f t="shared" si="23"/>
        <v>99.653000000000006</v>
      </c>
      <c r="R50" s="152">
        <f t="shared" si="24"/>
        <v>0</v>
      </c>
      <c r="S50" s="152">
        <f t="shared" si="25"/>
        <v>0.14799999999999999</v>
      </c>
      <c r="T50" s="154" t="s">
        <v>1033</v>
      </c>
      <c r="U50" s="152">
        <v>83</v>
      </c>
      <c r="V50" s="152">
        <v>16.75</v>
      </c>
      <c r="W50" s="152">
        <v>0</v>
      </c>
      <c r="X50" s="152">
        <v>0.25</v>
      </c>
      <c r="Y50" s="152">
        <v>0</v>
      </c>
      <c r="AA50" s="154">
        <f t="shared" si="1"/>
        <v>100</v>
      </c>
      <c r="AB50" s="152">
        <f t="shared" si="28"/>
        <v>83</v>
      </c>
      <c r="AC50" s="152">
        <f t="shared" si="29"/>
        <v>16.75</v>
      </c>
      <c r="AD50" s="152">
        <f t="shared" si="30"/>
        <v>0</v>
      </c>
      <c r="AE50" s="152">
        <f t="shared" si="31"/>
        <v>0.25</v>
      </c>
      <c r="AF50" s="152">
        <f t="shared" si="32"/>
        <v>0</v>
      </c>
      <c r="AG50" s="155"/>
      <c r="AH50"/>
      <c r="AI50"/>
      <c r="AJ50" s="3"/>
      <c r="AK50"/>
      <c r="AL50"/>
      <c r="AM50" s="3"/>
      <c r="AN50" s="156">
        <v>92</v>
      </c>
    </row>
    <row r="51" spans="1:40" s="152" customFormat="1">
      <c r="A51" s="152">
        <f t="shared" si="0"/>
        <v>50</v>
      </c>
      <c r="B51" s="153" t="s">
        <v>1028</v>
      </c>
      <c r="C51" s="152">
        <v>2</v>
      </c>
      <c r="D51" s="152" t="s">
        <v>1039</v>
      </c>
      <c r="E51" s="152" t="s">
        <v>1041</v>
      </c>
      <c r="G51" s="153"/>
      <c r="J51" s="153" t="s">
        <v>221</v>
      </c>
      <c r="K51" s="153">
        <v>0</v>
      </c>
      <c r="L51" s="152">
        <v>99.7</v>
      </c>
      <c r="M51" s="152">
        <v>0</v>
      </c>
      <c r="N51" s="152">
        <v>0.3</v>
      </c>
      <c r="O51" s="154">
        <f t="shared" si="27"/>
        <v>100</v>
      </c>
      <c r="P51" s="152">
        <v>0</v>
      </c>
      <c r="Q51" s="152">
        <f t="shared" si="23"/>
        <v>99.7</v>
      </c>
      <c r="R51" s="152">
        <f t="shared" si="24"/>
        <v>0</v>
      </c>
      <c r="S51" s="152">
        <f t="shared" si="25"/>
        <v>0.3</v>
      </c>
      <c r="T51" s="154" t="s">
        <v>1031</v>
      </c>
      <c r="U51" s="152">
        <v>85.5</v>
      </c>
      <c r="V51" s="152">
        <v>14.3</v>
      </c>
      <c r="W51" s="152">
        <v>0</v>
      </c>
      <c r="X51" s="152">
        <v>0.2</v>
      </c>
      <c r="Y51" s="152">
        <v>0</v>
      </c>
      <c r="Z51" s="152">
        <v>0</v>
      </c>
      <c r="AA51" s="154">
        <f t="shared" si="1"/>
        <v>100</v>
      </c>
      <c r="AB51" s="152">
        <f t="shared" si="28"/>
        <v>85.5</v>
      </c>
      <c r="AC51" s="152">
        <f t="shared" si="29"/>
        <v>14.3</v>
      </c>
      <c r="AD51" s="152">
        <f t="shared" si="30"/>
        <v>0</v>
      </c>
      <c r="AE51" s="152">
        <f t="shared" si="31"/>
        <v>0.2</v>
      </c>
      <c r="AF51" s="152">
        <f t="shared" si="32"/>
        <v>0</v>
      </c>
      <c r="AG51" s="155">
        <f t="shared" ref="AG51:AG55" si="36">Z51*(100/AA51)</f>
        <v>0</v>
      </c>
      <c r="AH51"/>
      <c r="AI51"/>
      <c r="AJ51" s="3"/>
      <c r="AK51"/>
      <c r="AL51"/>
      <c r="AM51" s="3"/>
      <c r="AN51" s="157">
        <v>31</v>
      </c>
    </row>
    <row r="52" spans="1:40" s="152" customFormat="1">
      <c r="A52" s="152">
        <f t="shared" si="0"/>
        <v>51</v>
      </c>
      <c r="B52" s="153" t="s">
        <v>1028</v>
      </c>
      <c r="C52" s="152">
        <v>2</v>
      </c>
      <c r="D52" s="152" t="s">
        <v>1039</v>
      </c>
      <c r="E52" s="152" t="s">
        <v>1040</v>
      </c>
      <c r="G52" s="153"/>
      <c r="J52" s="153" t="s">
        <v>221</v>
      </c>
      <c r="K52" s="153">
        <v>0</v>
      </c>
      <c r="L52" s="152">
        <v>92.1</v>
      </c>
      <c r="M52" s="152">
        <v>7.6</v>
      </c>
      <c r="N52" s="152">
        <v>0.3</v>
      </c>
      <c r="O52" s="154">
        <f t="shared" si="27"/>
        <v>99.999999999999986</v>
      </c>
      <c r="P52" s="152">
        <v>0</v>
      </c>
      <c r="Q52" s="152">
        <f t="shared" si="23"/>
        <v>92.100000000000009</v>
      </c>
      <c r="R52" s="152">
        <f t="shared" si="24"/>
        <v>7.6000000000000014</v>
      </c>
      <c r="S52" s="152">
        <f t="shared" si="25"/>
        <v>0.30000000000000004</v>
      </c>
      <c r="T52" s="154" t="s">
        <v>1031</v>
      </c>
      <c r="U52" s="152">
        <v>85.5</v>
      </c>
      <c r="V52" s="152">
        <v>14.3</v>
      </c>
      <c r="W52" s="152">
        <v>0</v>
      </c>
      <c r="X52" s="152">
        <v>0.2</v>
      </c>
      <c r="Y52" s="152">
        <v>0</v>
      </c>
      <c r="AA52" s="154">
        <f t="shared" si="1"/>
        <v>100</v>
      </c>
      <c r="AB52" s="152">
        <f t="shared" si="28"/>
        <v>85.5</v>
      </c>
      <c r="AC52" s="152">
        <f t="shared" si="29"/>
        <v>14.3</v>
      </c>
      <c r="AD52" s="152">
        <f t="shared" si="30"/>
        <v>0</v>
      </c>
      <c r="AE52" s="152">
        <f t="shared" si="31"/>
        <v>0.2</v>
      </c>
      <c r="AF52" s="152">
        <f t="shared" si="32"/>
        <v>0</v>
      </c>
      <c r="AG52" s="155"/>
      <c r="AH52"/>
      <c r="AI52"/>
      <c r="AJ52" s="3"/>
      <c r="AK52"/>
      <c r="AL52"/>
      <c r="AM52" s="3"/>
      <c r="AN52" s="156">
        <v>117</v>
      </c>
    </row>
    <row r="53" spans="1:40" s="152" customFormat="1">
      <c r="A53" s="152">
        <f t="shared" si="0"/>
        <v>52</v>
      </c>
      <c r="B53" s="153" t="s">
        <v>1028</v>
      </c>
      <c r="C53" s="152">
        <v>2</v>
      </c>
      <c r="D53" s="152" t="s">
        <v>1039</v>
      </c>
      <c r="E53" s="152" t="s">
        <v>1041</v>
      </c>
      <c r="G53" s="153"/>
      <c r="J53" s="153" t="s">
        <v>221</v>
      </c>
      <c r="K53" s="153">
        <v>0</v>
      </c>
      <c r="L53" s="152">
        <v>99.69</v>
      </c>
      <c r="M53" s="152">
        <v>0</v>
      </c>
      <c r="N53" s="152">
        <v>0.31</v>
      </c>
      <c r="O53" s="154">
        <f t="shared" si="27"/>
        <v>100</v>
      </c>
      <c r="P53" s="152">
        <v>0</v>
      </c>
      <c r="Q53" s="152">
        <f t="shared" si="23"/>
        <v>99.69</v>
      </c>
      <c r="R53" s="152">
        <f t="shared" si="24"/>
        <v>0</v>
      </c>
      <c r="S53" s="152">
        <f t="shared" si="25"/>
        <v>0.31</v>
      </c>
      <c r="T53" s="154" t="s">
        <v>1031</v>
      </c>
      <c r="U53" s="152">
        <v>85.51</v>
      </c>
      <c r="V53" s="152">
        <v>14.3</v>
      </c>
      <c r="W53" s="152">
        <v>0</v>
      </c>
      <c r="X53" s="152">
        <v>0</v>
      </c>
      <c r="Y53" s="152">
        <v>0.19</v>
      </c>
      <c r="Z53" s="152">
        <v>0</v>
      </c>
      <c r="AA53" s="154">
        <f t="shared" si="1"/>
        <v>100</v>
      </c>
      <c r="AB53" s="152">
        <f t="shared" si="28"/>
        <v>85.51</v>
      </c>
      <c r="AC53" s="152">
        <f t="shared" si="29"/>
        <v>14.3</v>
      </c>
      <c r="AD53" s="152">
        <f t="shared" si="30"/>
        <v>0</v>
      </c>
      <c r="AE53" s="152">
        <f t="shared" si="31"/>
        <v>0</v>
      </c>
      <c r="AF53" s="152">
        <f t="shared" si="32"/>
        <v>0.19</v>
      </c>
      <c r="AG53" s="155">
        <f t="shared" si="36"/>
        <v>0</v>
      </c>
      <c r="AH53"/>
      <c r="AI53"/>
      <c r="AJ53" s="3"/>
      <c r="AK53"/>
      <c r="AL53"/>
      <c r="AM53" s="3"/>
      <c r="AN53" s="157">
        <v>31</v>
      </c>
    </row>
    <row r="54" spans="1:40" s="152" customFormat="1">
      <c r="A54" s="152">
        <f t="shared" si="0"/>
        <v>53</v>
      </c>
      <c r="B54" s="153" t="s">
        <v>1028</v>
      </c>
      <c r="C54" s="152">
        <v>2</v>
      </c>
      <c r="D54" s="152" t="s">
        <v>1039</v>
      </c>
      <c r="E54" s="152" t="s">
        <v>1040</v>
      </c>
      <c r="G54" s="153"/>
      <c r="J54" s="153" t="s">
        <v>1036</v>
      </c>
      <c r="K54" s="153">
        <v>0</v>
      </c>
      <c r="L54" s="152">
        <v>99.6</v>
      </c>
      <c r="M54" s="152">
        <v>0</v>
      </c>
      <c r="N54" s="152">
        <v>0.4</v>
      </c>
      <c r="O54" s="154">
        <f t="shared" si="27"/>
        <v>100</v>
      </c>
      <c r="P54" s="152">
        <v>0</v>
      </c>
      <c r="Q54" s="152">
        <f t="shared" si="23"/>
        <v>99.6</v>
      </c>
      <c r="R54" s="152">
        <f t="shared" si="24"/>
        <v>0</v>
      </c>
      <c r="S54" s="152">
        <f t="shared" si="25"/>
        <v>0.4</v>
      </c>
      <c r="T54" s="154" t="s">
        <v>1031</v>
      </c>
      <c r="U54" s="152">
        <v>85.5</v>
      </c>
      <c r="V54" s="152">
        <v>14.3</v>
      </c>
      <c r="W54" s="152">
        <v>0</v>
      </c>
      <c r="X54" s="152">
        <v>0.2</v>
      </c>
      <c r="Y54" s="152">
        <v>0</v>
      </c>
      <c r="AA54" s="154">
        <f t="shared" si="1"/>
        <v>100</v>
      </c>
      <c r="AB54" s="152">
        <f t="shared" si="28"/>
        <v>85.5</v>
      </c>
      <c r="AC54" s="152">
        <f t="shared" si="29"/>
        <v>14.3</v>
      </c>
      <c r="AD54" s="152">
        <f t="shared" si="30"/>
        <v>0</v>
      </c>
      <c r="AE54" s="152">
        <f t="shared" si="31"/>
        <v>0.2</v>
      </c>
      <c r="AF54" s="152">
        <f t="shared" si="32"/>
        <v>0</v>
      </c>
      <c r="AG54" s="155"/>
      <c r="AH54"/>
      <c r="AI54"/>
      <c r="AJ54" s="3"/>
      <c r="AK54"/>
      <c r="AL54"/>
      <c r="AM54" s="3"/>
      <c r="AN54" s="158">
        <v>111</v>
      </c>
    </row>
    <row r="55" spans="1:40" s="152" customFormat="1">
      <c r="A55" s="152">
        <f t="shared" si="0"/>
        <v>54</v>
      </c>
      <c r="B55" s="153" t="s">
        <v>1028</v>
      </c>
      <c r="C55" s="152">
        <v>2</v>
      </c>
      <c r="D55" s="152" t="s">
        <v>1039</v>
      </c>
      <c r="E55" s="152" t="s">
        <v>1040</v>
      </c>
      <c r="G55" s="153"/>
      <c r="J55" s="153" t="s">
        <v>1032</v>
      </c>
      <c r="K55" s="153">
        <v>0.76</v>
      </c>
      <c r="L55" s="152">
        <v>95.59</v>
      </c>
      <c r="M55" s="152">
        <v>2.82</v>
      </c>
      <c r="N55" s="152">
        <v>0.83</v>
      </c>
      <c r="O55" s="154">
        <f>SUM(K55:N55)</f>
        <v>100</v>
      </c>
      <c r="P55" s="152">
        <v>0.76</v>
      </c>
      <c r="Q55" s="152">
        <f t="shared" si="23"/>
        <v>95.59</v>
      </c>
      <c r="R55" s="152">
        <f t="shared" si="24"/>
        <v>2.82</v>
      </c>
      <c r="S55" s="152">
        <f t="shared" si="25"/>
        <v>0.83</v>
      </c>
      <c r="T55" s="154" t="s">
        <v>1033</v>
      </c>
      <c r="U55" s="152">
        <v>85.68</v>
      </c>
      <c r="V55" s="152">
        <v>14.2</v>
      </c>
      <c r="W55" s="152">
        <v>0.05</v>
      </c>
      <c r="X55" s="152">
        <v>0</v>
      </c>
      <c r="Y55" s="152">
        <v>0.02</v>
      </c>
      <c r="Z55" s="152">
        <v>0.05</v>
      </c>
      <c r="AA55" s="154">
        <f t="shared" si="1"/>
        <v>100</v>
      </c>
      <c r="AB55" s="152">
        <f t="shared" si="28"/>
        <v>85.68</v>
      </c>
      <c r="AC55" s="152">
        <f t="shared" si="29"/>
        <v>14.2</v>
      </c>
      <c r="AD55" s="152">
        <f t="shared" si="30"/>
        <v>0.05</v>
      </c>
      <c r="AE55" s="152">
        <f t="shared" si="31"/>
        <v>0</v>
      </c>
      <c r="AF55" s="152">
        <f t="shared" si="32"/>
        <v>0.02</v>
      </c>
      <c r="AG55" s="155">
        <f t="shared" si="36"/>
        <v>0.05</v>
      </c>
      <c r="AH55"/>
      <c r="AI55"/>
      <c r="AJ55" s="3"/>
      <c r="AK55"/>
      <c r="AL55"/>
      <c r="AM55" s="3"/>
      <c r="AN55" s="156">
        <v>59</v>
      </c>
    </row>
    <row r="56" spans="1:40" s="152" customFormat="1">
      <c r="A56" s="152">
        <f t="shared" si="0"/>
        <v>55</v>
      </c>
      <c r="B56" s="153" t="s">
        <v>1028</v>
      </c>
      <c r="C56" s="152">
        <v>2</v>
      </c>
      <c r="D56" s="152" t="s">
        <v>1039</v>
      </c>
      <c r="E56" s="152" t="s">
        <v>1041</v>
      </c>
      <c r="G56" s="153"/>
      <c r="J56" s="153" t="s">
        <v>1042</v>
      </c>
      <c r="K56" s="153">
        <v>0</v>
      </c>
      <c r="L56" s="152">
        <v>99.08</v>
      </c>
      <c r="M56" s="152">
        <v>0</v>
      </c>
      <c r="N56" s="152">
        <v>0.92</v>
      </c>
      <c r="O56" s="154">
        <f t="shared" ref="O56:O57" si="37">SUM(K56:N56)</f>
        <v>100</v>
      </c>
      <c r="P56" s="152">
        <v>0</v>
      </c>
      <c r="Q56" s="152">
        <f t="shared" si="23"/>
        <v>99.08</v>
      </c>
      <c r="R56" s="152">
        <f t="shared" si="24"/>
        <v>0</v>
      </c>
      <c r="S56" s="152">
        <f t="shared" si="25"/>
        <v>0.92</v>
      </c>
      <c r="T56" s="154" t="s">
        <v>1033</v>
      </c>
      <c r="U56" s="152">
        <v>86.35</v>
      </c>
      <c r="V56" s="152">
        <v>13.58</v>
      </c>
      <c r="W56" s="152">
        <v>0</v>
      </c>
      <c r="X56" s="152">
        <v>7.3999999999999996E-2</v>
      </c>
      <c r="Y56" s="152">
        <v>0</v>
      </c>
      <c r="AA56" s="154">
        <f t="shared" si="1"/>
        <v>100.00399999999999</v>
      </c>
      <c r="AB56" s="152">
        <f t="shared" si="28"/>
        <v>86.34654613815448</v>
      </c>
      <c r="AC56" s="152">
        <f t="shared" si="29"/>
        <v>13.579456821727133</v>
      </c>
      <c r="AD56" s="152">
        <f t="shared" si="30"/>
        <v>0</v>
      </c>
      <c r="AE56" s="152">
        <f t="shared" si="31"/>
        <v>7.3997040118395266E-2</v>
      </c>
      <c r="AF56" s="152">
        <f t="shared" si="32"/>
        <v>0</v>
      </c>
      <c r="AG56" s="155"/>
      <c r="AH56"/>
      <c r="AI56"/>
      <c r="AJ56" s="3"/>
      <c r="AK56"/>
      <c r="AL56"/>
      <c r="AM56" s="3"/>
      <c r="AN56" s="156">
        <v>102</v>
      </c>
    </row>
    <row r="57" spans="1:40" s="152" customFormat="1">
      <c r="A57" s="152">
        <f t="shared" si="0"/>
        <v>56</v>
      </c>
      <c r="B57" s="153" t="s">
        <v>1028</v>
      </c>
      <c r="C57" s="152">
        <v>2</v>
      </c>
      <c r="D57" s="152" t="s">
        <v>1039</v>
      </c>
      <c r="E57" s="152" t="s">
        <v>1040</v>
      </c>
      <c r="G57" s="153"/>
      <c r="J57" s="153" t="s">
        <v>1038</v>
      </c>
      <c r="K57" s="153">
        <v>0.34</v>
      </c>
      <c r="L57" s="152">
        <v>95.61</v>
      </c>
      <c r="M57" s="152">
        <v>0.68</v>
      </c>
      <c r="N57" s="152">
        <v>3.37</v>
      </c>
      <c r="O57" s="154">
        <f t="shared" si="37"/>
        <v>100.00000000000001</v>
      </c>
      <c r="P57" s="152">
        <v>0.34</v>
      </c>
      <c r="Q57" s="152">
        <f t="shared" si="23"/>
        <v>95.609999999999985</v>
      </c>
      <c r="R57" s="152">
        <f t="shared" si="24"/>
        <v>0.67999999999999994</v>
      </c>
      <c r="S57" s="152">
        <f t="shared" si="25"/>
        <v>3.3699999999999997</v>
      </c>
      <c r="T57" s="154"/>
      <c r="AA57" s="154"/>
      <c r="AG57" s="155"/>
      <c r="AH57"/>
      <c r="AI57"/>
      <c r="AJ57" s="3"/>
      <c r="AK57"/>
      <c r="AL57"/>
      <c r="AM57" s="3"/>
      <c r="AN57" s="156">
        <v>66</v>
      </c>
    </row>
    <row r="58" spans="1:40" s="152" customFormat="1">
      <c r="A58" s="152">
        <f t="shared" si="0"/>
        <v>57</v>
      </c>
      <c r="B58" s="153" t="s">
        <v>1028</v>
      </c>
      <c r="C58" s="152">
        <v>2</v>
      </c>
      <c r="D58" s="152" t="s">
        <v>1039</v>
      </c>
      <c r="E58" s="152" t="s">
        <v>1040</v>
      </c>
      <c r="G58" s="153"/>
      <c r="J58" s="153" t="s">
        <v>1036</v>
      </c>
      <c r="K58" s="153">
        <v>0.2</v>
      </c>
      <c r="L58" s="152">
        <v>93.8</v>
      </c>
      <c r="M58" s="152">
        <v>1.2</v>
      </c>
      <c r="N58" s="152">
        <v>5</v>
      </c>
      <c r="O58" s="154">
        <f>SUM(K58:N58)</f>
        <v>100.2</v>
      </c>
      <c r="P58" s="152">
        <v>0.2</v>
      </c>
      <c r="Q58" s="30">
        <f>(100-$P$58)*L58/100</f>
        <v>93.612399999999994</v>
      </c>
      <c r="R58" s="30">
        <f t="shared" ref="R58:S58" si="38">(100-$P$58)*M58/100</f>
        <v>1.1976</v>
      </c>
      <c r="S58" s="30">
        <f t="shared" si="38"/>
        <v>4.99</v>
      </c>
      <c r="T58" s="154" t="s">
        <v>1036</v>
      </c>
      <c r="U58" s="167">
        <v>78.900000000000006</v>
      </c>
      <c r="V58" s="167">
        <v>12.6</v>
      </c>
      <c r="W58" s="167">
        <v>0.2</v>
      </c>
      <c r="X58" s="167">
        <v>0.02</v>
      </c>
      <c r="Y58" s="167">
        <f>100-U58-V58-W58-X58</f>
        <v>8.2799999999999958</v>
      </c>
      <c r="Z58" s="168"/>
      <c r="AA58" s="160">
        <f>Z58+Y58+X58+W58+V58+U58</f>
        <v>100</v>
      </c>
      <c r="AB58" s="152">
        <v>78.900000000000006</v>
      </c>
      <c r="AC58" s="152">
        <v>12.6</v>
      </c>
      <c r="AD58" s="152">
        <v>0.2</v>
      </c>
      <c r="AE58" s="152">
        <v>0.02</v>
      </c>
      <c r="AF58" s="152">
        <v>8.2799999999999958</v>
      </c>
      <c r="AG58" s="155"/>
      <c r="AH58"/>
      <c r="AI58"/>
      <c r="AJ58" s="155">
        <v>43.39</v>
      </c>
      <c r="AK58">
        <f>AL58*(Q58+R58+S58)/(Q58+R58)</f>
        <v>45.765214639805926</v>
      </c>
      <c r="AL58">
        <f>AM58*(P58+Q58+R58+S58)/(Q58+R58+S58)</f>
        <v>43.476953907815627</v>
      </c>
      <c r="AM58" s="155">
        <v>43.39</v>
      </c>
      <c r="AN58" s="158">
        <v>60</v>
      </c>
    </row>
    <row r="59" spans="1:40" s="152" customFormat="1">
      <c r="A59" s="152">
        <f t="shared" si="0"/>
        <v>58</v>
      </c>
      <c r="B59" s="153" t="s">
        <v>1028</v>
      </c>
      <c r="C59" s="152">
        <v>2</v>
      </c>
      <c r="D59" s="152" t="s">
        <v>1039</v>
      </c>
      <c r="E59" s="152" t="s">
        <v>1040</v>
      </c>
      <c r="G59" s="153">
        <v>0.92200000000000004</v>
      </c>
      <c r="H59" s="152">
        <v>0.25</v>
      </c>
      <c r="I59" s="152">
        <v>3.0950000000000002</v>
      </c>
      <c r="J59" s="153"/>
      <c r="K59" s="153"/>
      <c r="O59" s="154"/>
      <c r="T59" s="154"/>
      <c r="AA59" s="154"/>
      <c r="AG59" s="155"/>
      <c r="AH59"/>
      <c r="AI59"/>
      <c r="AJ59" s="3"/>
      <c r="AK59"/>
      <c r="AL59"/>
      <c r="AM59" s="3"/>
      <c r="AN59" s="158">
        <v>83</v>
      </c>
    </row>
    <row r="60" spans="1:40" s="152" customFormat="1">
      <c r="A60" s="152">
        <f t="shared" si="0"/>
        <v>59</v>
      </c>
      <c r="B60" s="153" t="s">
        <v>1028</v>
      </c>
      <c r="C60" s="152">
        <v>2</v>
      </c>
      <c r="D60" s="152" t="s">
        <v>1039</v>
      </c>
      <c r="E60" s="152" t="s">
        <v>1040</v>
      </c>
      <c r="F60" s="152" t="s">
        <v>1203</v>
      </c>
      <c r="G60" s="153">
        <v>0.78</v>
      </c>
      <c r="J60" s="153"/>
      <c r="K60" s="153"/>
      <c r="O60" s="154"/>
      <c r="T60" s="154"/>
      <c r="AA60" s="154"/>
      <c r="AG60" s="155"/>
      <c r="AH60"/>
      <c r="AI60"/>
      <c r="AJ60" s="3"/>
      <c r="AK60"/>
      <c r="AL60"/>
      <c r="AM60" s="3"/>
      <c r="AN60" s="156">
        <v>93</v>
      </c>
    </row>
    <row r="61" spans="1:40" s="152" customFormat="1">
      <c r="A61" s="152">
        <f t="shared" si="0"/>
        <v>60</v>
      </c>
      <c r="B61" s="153" t="s">
        <v>1028</v>
      </c>
      <c r="C61" s="152">
        <v>2</v>
      </c>
      <c r="D61" s="152" t="s">
        <v>1039</v>
      </c>
      <c r="E61" s="152" t="s">
        <v>1040</v>
      </c>
      <c r="F61" s="152" t="s">
        <v>1185</v>
      </c>
      <c r="G61" s="153"/>
      <c r="H61" s="152">
        <v>0.34</v>
      </c>
      <c r="J61" s="153"/>
      <c r="K61" s="153"/>
      <c r="O61" s="154"/>
      <c r="T61" s="154"/>
      <c r="AA61" s="154"/>
      <c r="AG61" s="155"/>
      <c r="AH61"/>
      <c r="AI61"/>
      <c r="AJ61" s="3"/>
      <c r="AK61"/>
      <c r="AL61"/>
      <c r="AM61" s="3"/>
      <c r="AN61" s="157">
        <v>132</v>
      </c>
    </row>
    <row r="62" spans="1:40" s="152" customFormat="1">
      <c r="A62" s="152">
        <f t="shared" si="0"/>
        <v>61</v>
      </c>
      <c r="B62" s="153" t="s">
        <v>1028</v>
      </c>
      <c r="C62" s="152">
        <v>2</v>
      </c>
      <c r="D62" s="152" t="s">
        <v>1039</v>
      </c>
      <c r="E62" s="152" t="s">
        <v>1040</v>
      </c>
      <c r="F62" s="152" t="s">
        <v>1207</v>
      </c>
      <c r="G62" s="153"/>
      <c r="H62" s="152">
        <v>0.33</v>
      </c>
      <c r="I62" s="152">
        <v>2.1</v>
      </c>
      <c r="J62" s="153"/>
      <c r="K62" s="153"/>
      <c r="O62" s="154"/>
      <c r="T62" s="154"/>
      <c r="AA62" s="154"/>
      <c r="AG62" s="155"/>
      <c r="AH62"/>
      <c r="AI62"/>
      <c r="AJ62" s="3"/>
      <c r="AK62"/>
      <c r="AL62"/>
      <c r="AM62" s="3"/>
      <c r="AN62" s="158">
        <v>98</v>
      </c>
    </row>
    <row r="63" spans="1:40" s="152" customFormat="1">
      <c r="A63" s="152">
        <f t="shared" si="0"/>
        <v>62</v>
      </c>
      <c r="B63" s="153" t="s">
        <v>1028</v>
      </c>
      <c r="C63" s="152">
        <v>2</v>
      </c>
      <c r="D63" s="152" t="s">
        <v>1039</v>
      </c>
      <c r="E63" s="152" t="s">
        <v>1040</v>
      </c>
      <c r="G63" s="153">
        <v>0.98068</v>
      </c>
      <c r="H63" s="152">
        <v>0.218</v>
      </c>
      <c r="J63" s="153"/>
      <c r="K63" s="153"/>
      <c r="O63" s="154"/>
      <c r="T63" s="154"/>
      <c r="AA63" s="154"/>
      <c r="AG63" s="155"/>
      <c r="AH63"/>
      <c r="AI63"/>
      <c r="AJ63" s="3"/>
      <c r="AK63"/>
      <c r="AL63"/>
      <c r="AM63" s="3"/>
      <c r="AN63" s="158">
        <v>108</v>
      </c>
    </row>
    <row r="64" spans="1:40" s="152" customFormat="1">
      <c r="A64" s="152">
        <f t="shared" si="0"/>
        <v>63</v>
      </c>
      <c r="B64" s="153" t="s">
        <v>1028</v>
      </c>
      <c r="C64" s="152">
        <v>2</v>
      </c>
      <c r="D64" s="152" t="s">
        <v>1039</v>
      </c>
      <c r="E64" s="152" t="s">
        <v>1040</v>
      </c>
      <c r="F64" s="152" t="s">
        <v>1208</v>
      </c>
      <c r="G64" s="153">
        <v>0.92100000000000004</v>
      </c>
      <c r="H64" s="152">
        <v>0.37</v>
      </c>
      <c r="I64" s="152">
        <v>2.09</v>
      </c>
      <c r="J64" s="153"/>
      <c r="K64" s="153"/>
      <c r="O64" s="154"/>
      <c r="T64" s="154"/>
      <c r="AA64" s="154"/>
      <c r="AG64" s="155"/>
      <c r="AH64"/>
      <c r="AI64"/>
      <c r="AJ64" s="3"/>
      <c r="AK64"/>
      <c r="AL64"/>
      <c r="AM64" s="3"/>
      <c r="AN64" s="158">
        <v>115</v>
      </c>
    </row>
    <row r="65" spans="1:40" s="152" customFormat="1">
      <c r="A65" s="152">
        <f t="shared" si="0"/>
        <v>64</v>
      </c>
      <c r="B65" s="153" t="s">
        <v>1028</v>
      </c>
      <c r="C65" s="152">
        <v>2</v>
      </c>
      <c r="D65" s="152" t="s">
        <v>1039</v>
      </c>
      <c r="E65" s="152" t="s">
        <v>1040</v>
      </c>
      <c r="G65" s="153">
        <v>0.92100000000000004</v>
      </c>
      <c r="J65" s="153"/>
      <c r="K65" s="153"/>
      <c r="O65" s="154"/>
      <c r="T65" s="154" t="s">
        <v>1031</v>
      </c>
      <c r="U65" s="167">
        <v>86.35</v>
      </c>
      <c r="V65" s="167">
        <v>13.51</v>
      </c>
      <c r="W65" s="152">
        <v>0</v>
      </c>
      <c r="X65" s="167">
        <v>0.08</v>
      </c>
      <c r="Y65" s="152">
        <v>0</v>
      </c>
      <c r="Z65" s="152">
        <v>0</v>
      </c>
      <c r="AA65" s="154">
        <f t="shared" ref="AA65:AA70" si="39">Z65+Y65+X65+W65+V65+U65</f>
        <v>99.94</v>
      </c>
      <c r="AB65" s="152">
        <f t="shared" ref="AB65:AB70" si="40">U65*(100/AA65)</f>
        <v>86.401841104662793</v>
      </c>
      <c r="AC65" s="152">
        <f t="shared" ref="AC65:AC70" si="41">V65*(100/AA65)</f>
        <v>13.518110866519912</v>
      </c>
      <c r="AD65" s="152">
        <f t="shared" ref="AD65:AD70" si="42">W65*(100/AA65)</f>
        <v>0</v>
      </c>
      <c r="AE65" s="152">
        <f t="shared" ref="AE65:AE70" si="43">X65*(100/AA65)</f>
        <v>8.0048028817290381E-2</v>
      </c>
      <c r="AF65" s="152">
        <f t="shared" ref="AF65:AF70" si="44">Y65*(100/AA65)</f>
        <v>0</v>
      </c>
      <c r="AG65" s="155">
        <f t="shared" ref="AG65" si="45">Z65*(100/AA65)</f>
        <v>0</v>
      </c>
      <c r="AH65"/>
      <c r="AI65"/>
      <c r="AJ65" s="3"/>
      <c r="AK65"/>
      <c r="AL65"/>
      <c r="AM65" s="3"/>
      <c r="AN65" s="158">
        <v>82</v>
      </c>
    </row>
    <row r="66" spans="1:40" s="169" customFormat="1">
      <c r="A66" s="169">
        <f t="shared" si="0"/>
        <v>65</v>
      </c>
      <c r="B66" s="170" t="s">
        <v>1028</v>
      </c>
      <c r="C66" s="169">
        <v>2</v>
      </c>
      <c r="D66" s="169" t="s">
        <v>1039</v>
      </c>
      <c r="E66" s="169" t="s">
        <v>1040</v>
      </c>
      <c r="G66" s="170"/>
      <c r="J66" s="170"/>
      <c r="K66" s="170"/>
      <c r="O66" s="171"/>
      <c r="T66" s="171" t="s">
        <v>1033</v>
      </c>
      <c r="U66" s="169">
        <v>81.8</v>
      </c>
      <c r="V66" s="169">
        <v>13.52</v>
      </c>
      <c r="W66" s="169">
        <v>0.28999999999999998</v>
      </c>
      <c r="X66" s="169">
        <v>0</v>
      </c>
      <c r="Y66" s="169">
        <v>4.3899999999999997</v>
      </c>
      <c r="AA66" s="171">
        <f t="shared" si="39"/>
        <v>100</v>
      </c>
      <c r="AB66" s="169">
        <f t="shared" si="40"/>
        <v>81.8</v>
      </c>
      <c r="AC66" s="169">
        <f t="shared" si="41"/>
        <v>13.52</v>
      </c>
      <c r="AD66" s="169">
        <f t="shared" si="42"/>
        <v>0.28999999999999998</v>
      </c>
      <c r="AE66" s="169">
        <f t="shared" si="43"/>
        <v>0</v>
      </c>
      <c r="AF66" s="169">
        <f t="shared" si="44"/>
        <v>4.3899999999999997</v>
      </c>
      <c r="AG66" s="172"/>
      <c r="AH66" s="4"/>
      <c r="AI66" s="4"/>
      <c r="AJ66" s="182"/>
      <c r="AK66" s="4"/>
      <c r="AL66" s="4"/>
      <c r="AM66" s="182"/>
      <c r="AN66" s="173">
        <v>90</v>
      </c>
    </row>
    <row r="67" spans="1:40" s="152" customFormat="1">
      <c r="A67" s="152">
        <f t="shared" si="0"/>
        <v>66</v>
      </c>
      <c r="B67" s="153" t="s">
        <v>1028</v>
      </c>
      <c r="C67" s="152">
        <v>3</v>
      </c>
      <c r="D67" s="152" t="s">
        <v>1043</v>
      </c>
      <c r="E67" s="152" t="s">
        <v>1045</v>
      </c>
      <c r="G67" s="153"/>
      <c r="J67" s="153" t="s">
        <v>1038</v>
      </c>
      <c r="K67" s="153">
        <v>1.31</v>
      </c>
      <c r="L67" s="152">
        <v>98.6</v>
      </c>
      <c r="M67" s="152">
        <v>1.91</v>
      </c>
      <c r="N67" s="152">
        <v>0.04</v>
      </c>
      <c r="O67" s="154">
        <f t="shared" ref="O67:O70" si="46">SUM(K67:N67)</f>
        <v>101.86</v>
      </c>
      <c r="P67" s="152">
        <f>K67*(100/O67)</f>
        <v>1.2860789318672687</v>
      </c>
      <c r="Q67" s="152">
        <f>L67*(100/O67)</f>
        <v>96.799528764971527</v>
      </c>
      <c r="R67" s="152">
        <f>M67*(100/O67)</f>
        <v>1.8751227174553307</v>
      </c>
      <c r="S67" s="152">
        <f>N67*(100/O67)</f>
        <v>3.9269585705870802E-2</v>
      </c>
      <c r="T67" s="154" t="s">
        <v>1042</v>
      </c>
      <c r="U67" s="152">
        <v>62.4</v>
      </c>
      <c r="V67" s="152">
        <v>9.07</v>
      </c>
      <c r="W67" s="152">
        <v>15.1</v>
      </c>
      <c r="X67" s="152">
        <v>0.01</v>
      </c>
      <c r="Y67" s="152">
        <v>11.92</v>
      </c>
      <c r="AA67" s="154">
        <f t="shared" si="39"/>
        <v>98.5</v>
      </c>
      <c r="AB67" s="152">
        <f t="shared" si="40"/>
        <v>63.35025380710659</v>
      </c>
      <c r="AC67" s="152">
        <f t="shared" si="41"/>
        <v>9.2081218274111674</v>
      </c>
      <c r="AD67" s="152">
        <f t="shared" si="42"/>
        <v>15.32994923857868</v>
      </c>
      <c r="AE67" s="152">
        <f t="shared" si="43"/>
        <v>1.015228426395939E-2</v>
      </c>
      <c r="AF67" s="152">
        <f t="shared" si="44"/>
        <v>12.101522842639593</v>
      </c>
      <c r="AG67" s="155"/>
      <c r="AH67"/>
      <c r="AI67"/>
      <c r="AJ67" s="3"/>
      <c r="AK67"/>
      <c r="AL67"/>
      <c r="AM67" s="3"/>
      <c r="AN67" s="174">
        <v>63</v>
      </c>
    </row>
    <row r="68" spans="1:40" s="152" customFormat="1">
      <c r="A68" s="152">
        <f t="shared" si="0"/>
        <v>67</v>
      </c>
      <c r="B68" s="153" t="s">
        <v>1028</v>
      </c>
      <c r="C68" s="152">
        <v>3</v>
      </c>
      <c r="D68" s="152" t="s">
        <v>1043</v>
      </c>
      <c r="E68" s="152" t="s">
        <v>1044</v>
      </c>
      <c r="F68" s="152" t="s">
        <v>1207</v>
      </c>
      <c r="G68" s="153"/>
      <c r="H68" s="152">
        <v>0.26</v>
      </c>
      <c r="I68" s="152">
        <v>1.7</v>
      </c>
      <c r="J68" s="153" t="s">
        <v>1038</v>
      </c>
      <c r="K68" s="153">
        <v>1.32</v>
      </c>
      <c r="L68" s="152">
        <v>98.65</v>
      </c>
      <c r="M68" s="152">
        <v>0</v>
      </c>
      <c r="N68" s="152">
        <v>0.04</v>
      </c>
      <c r="O68" s="154">
        <f t="shared" si="46"/>
        <v>100.01</v>
      </c>
      <c r="P68" s="152">
        <f>K68*(100/O68)</f>
        <v>1.3198680131986802</v>
      </c>
      <c r="Q68" s="152">
        <f>L68*(100/O68)</f>
        <v>98.640135986401361</v>
      </c>
      <c r="R68" s="152">
        <f>M68*(100/O68)</f>
        <v>0</v>
      </c>
      <c r="S68" s="152">
        <f>N68*(100/O68)</f>
        <v>3.9996000399960006E-2</v>
      </c>
      <c r="T68" s="154" t="s">
        <v>1042</v>
      </c>
      <c r="U68" s="152">
        <v>62.48</v>
      </c>
      <c r="V68" s="152">
        <v>9.07</v>
      </c>
      <c r="W68" s="152">
        <v>15.17</v>
      </c>
      <c r="X68" s="152">
        <v>0.01</v>
      </c>
      <c r="Y68" s="152">
        <v>11.92</v>
      </c>
      <c r="AA68" s="154">
        <f t="shared" si="39"/>
        <v>98.65</v>
      </c>
      <c r="AB68" s="152">
        <f t="shared" si="40"/>
        <v>63.335022807906725</v>
      </c>
      <c r="AC68" s="152">
        <f t="shared" si="41"/>
        <v>9.1941206284845407</v>
      </c>
      <c r="AD68" s="152">
        <f t="shared" si="42"/>
        <v>15.377597567156611</v>
      </c>
      <c r="AE68" s="152">
        <f t="shared" si="43"/>
        <v>1.0136847440446019E-2</v>
      </c>
      <c r="AF68" s="152">
        <f t="shared" si="44"/>
        <v>12.083122149011656</v>
      </c>
      <c r="AG68" s="155"/>
      <c r="AH68">
        <v>28.59</v>
      </c>
      <c r="AI68"/>
      <c r="AJ68" s="3"/>
      <c r="AK68">
        <v>28.59</v>
      </c>
      <c r="AL68">
        <f>AK68*(Q68+R68)/(Q68+R68+S68)</f>
        <v>28.57841219981761</v>
      </c>
      <c r="AM68">
        <f>AL68*(Q68+R68+S68)/(P68+Q68+R68+S68)</f>
        <v>28.201214878512147</v>
      </c>
      <c r="AN68" s="158">
        <v>98</v>
      </c>
    </row>
    <row r="69" spans="1:40" s="152" customFormat="1">
      <c r="A69" s="152">
        <f t="shared" si="0"/>
        <v>68</v>
      </c>
      <c r="B69" s="153" t="s">
        <v>1028</v>
      </c>
      <c r="C69" s="152">
        <v>3</v>
      </c>
      <c r="D69" s="152" t="s">
        <v>1181</v>
      </c>
      <c r="E69" s="152" t="s">
        <v>1044</v>
      </c>
      <c r="G69" s="153"/>
      <c r="J69" s="153" t="s">
        <v>1037</v>
      </c>
      <c r="K69" s="153">
        <v>1.1000000000000001</v>
      </c>
      <c r="L69" s="152">
        <v>98.4</v>
      </c>
      <c r="M69" s="152">
        <v>0.2</v>
      </c>
      <c r="N69" s="152">
        <v>0.3</v>
      </c>
      <c r="O69" s="154">
        <f t="shared" si="46"/>
        <v>100</v>
      </c>
      <c r="P69" s="152">
        <v>1.1000000000000001</v>
      </c>
      <c r="Q69" s="152">
        <f>L69*(100/O69)</f>
        <v>98.4</v>
      </c>
      <c r="R69" s="152">
        <f>M69*(100/O69)</f>
        <v>0.2</v>
      </c>
      <c r="S69" s="152">
        <f>N69*(100/O69)</f>
        <v>0.3</v>
      </c>
      <c r="T69" s="154" t="s">
        <v>1036</v>
      </c>
      <c r="U69" s="152">
        <v>62.7</v>
      </c>
      <c r="V69" s="152">
        <v>9.6999999999999993</v>
      </c>
      <c r="W69" s="152">
        <v>10.67</v>
      </c>
      <c r="X69" s="152">
        <v>0</v>
      </c>
      <c r="Y69" s="152">
        <v>5.12</v>
      </c>
      <c r="AA69" s="154">
        <f t="shared" si="39"/>
        <v>88.19</v>
      </c>
      <c r="AB69" s="152">
        <f t="shared" si="40"/>
        <v>71.096496201383388</v>
      </c>
      <c r="AC69" s="152">
        <f t="shared" si="41"/>
        <v>10.99897947613108</v>
      </c>
      <c r="AD69" s="152">
        <f t="shared" si="42"/>
        <v>12.09887742374419</v>
      </c>
      <c r="AE69" s="152">
        <f t="shared" si="43"/>
        <v>0</v>
      </c>
      <c r="AF69" s="152">
        <f t="shared" si="44"/>
        <v>5.8056468987413545</v>
      </c>
      <c r="AG69" s="155"/>
      <c r="AH69"/>
      <c r="AI69"/>
      <c r="AJ69" s="3">
        <v>32.6</v>
      </c>
      <c r="AK69">
        <f>AL69*(Q69+R69+S69)/(Q69+R69)</f>
        <v>33.062880324543613</v>
      </c>
      <c r="AL69">
        <f>AM69*(P69+Q69+R69+S69)/(Q69+R69+S69)</f>
        <v>32.962588473205258</v>
      </c>
      <c r="AM69" s="3">
        <v>32.6</v>
      </c>
      <c r="AN69" s="166">
        <v>32</v>
      </c>
    </row>
    <row r="70" spans="1:40" s="152" customFormat="1">
      <c r="A70" s="152">
        <f t="shared" si="0"/>
        <v>69</v>
      </c>
      <c r="B70" s="153" t="s">
        <v>1028</v>
      </c>
      <c r="C70" s="152">
        <v>3</v>
      </c>
      <c r="D70" s="152" t="s">
        <v>1043</v>
      </c>
      <c r="E70" s="152" t="s">
        <v>1045</v>
      </c>
      <c r="G70" s="153"/>
      <c r="J70" s="153" t="s">
        <v>453</v>
      </c>
      <c r="K70" s="153">
        <v>0.77</v>
      </c>
      <c r="L70" s="152">
        <v>99.47</v>
      </c>
      <c r="M70" s="152">
        <v>0.17</v>
      </c>
      <c r="N70" s="152">
        <v>0.36</v>
      </c>
      <c r="O70" s="154">
        <f t="shared" si="46"/>
        <v>100.77</v>
      </c>
      <c r="P70" s="152">
        <v>0.77</v>
      </c>
      <c r="Q70" s="30">
        <f>(100-$P$70)*L70/100</f>
        <v>98.704081000000002</v>
      </c>
      <c r="R70" s="30">
        <f t="shared" ref="R70:S70" si="47">(100-$P$70)*M70/100</f>
        <v>0.16869100000000004</v>
      </c>
      <c r="S70" s="30">
        <f t="shared" si="47"/>
        <v>0.35722799999999999</v>
      </c>
      <c r="T70" s="154" t="s">
        <v>1033</v>
      </c>
      <c r="U70" s="152">
        <v>72.260000000000005</v>
      </c>
      <c r="V70" s="152">
        <v>12.08</v>
      </c>
      <c r="W70" s="152">
        <v>7.14</v>
      </c>
      <c r="X70" s="152">
        <v>0</v>
      </c>
      <c r="Y70" s="152">
        <v>8.5299999999999994</v>
      </c>
      <c r="AA70" s="154">
        <f t="shared" si="39"/>
        <v>100.01</v>
      </c>
      <c r="AB70" s="152">
        <f t="shared" si="40"/>
        <v>72.252774722527747</v>
      </c>
      <c r="AC70" s="152">
        <f t="shared" si="41"/>
        <v>12.078792120787922</v>
      </c>
      <c r="AD70" s="152">
        <f t="shared" si="42"/>
        <v>7.1392860713928599</v>
      </c>
      <c r="AE70" s="152">
        <f t="shared" si="43"/>
        <v>0</v>
      </c>
      <c r="AF70" s="152">
        <f t="shared" si="44"/>
        <v>8.5291470852914699</v>
      </c>
      <c r="AG70" s="155"/>
      <c r="AH70"/>
      <c r="AI70"/>
      <c r="AJ70" s="3"/>
      <c r="AK70"/>
      <c r="AL70"/>
      <c r="AM70" s="3"/>
      <c r="AN70" s="156">
        <v>85</v>
      </c>
    </row>
    <row r="71" spans="1:40" s="152" customFormat="1">
      <c r="A71" s="152">
        <f t="shared" ref="A71:A134" si="48">A70+1</f>
        <v>70</v>
      </c>
      <c r="B71" s="153" t="s">
        <v>1028</v>
      </c>
      <c r="C71" s="152">
        <v>3</v>
      </c>
      <c r="D71" s="152" t="s">
        <v>1043</v>
      </c>
      <c r="E71" s="152" t="s">
        <v>1044</v>
      </c>
      <c r="G71" s="153">
        <v>1.129</v>
      </c>
      <c r="J71" s="153"/>
      <c r="K71" s="153"/>
      <c r="O71" s="154"/>
      <c r="T71" s="154"/>
      <c r="AA71" s="154"/>
      <c r="AG71" s="155"/>
      <c r="AH71"/>
      <c r="AI71"/>
      <c r="AJ71" s="3"/>
      <c r="AK71"/>
      <c r="AL71"/>
      <c r="AM71" s="3"/>
      <c r="AN71" s="156">
        <v>112</v>
      </c>
    </row>
    <row r="72" spans="1:40" s="152" customFormat="1">
      <c r="A72" s="152">
        <f t="shared" si="48"/>
        <v>71</v>
      </c>
      <c r="B72" s="153" t="s">
        <v>1028</v>
      </c>
      <c r="C72" s="152">
        <v>3</v>
      </c>
      <c r="D72" s="152" t="s">
        <v>1043</v>
      </c>
      <c r="E72" s="152" t="s">
        <v>1045</v>
      </c>
      <c r="F72" s="152" t="s">
        <v>1946</v>
      </c>
      <c r="G72" s="153">
        <v>1.04</v>
      </c>
      <c r="H72" s="152">
        <v>0.25</v>
      </c>
      <c r="I72" s="152">
        <v>1.26</v>
      </c>
      <c r="J72" s="153"/>
      <c r="K72" s="153"/>
      <c r="O72" s="154"/>
      <c r="T72" s="154"/>
      <c r="AA72" s="154"/>
      <c r="AG72" s="155"/>
      <c r="AH72"/>
      <c r="AI72"/>
      <c r="AJ72" s="3"/>
      <c r="AK72"/>
      <c r="AL72"/>
      <c r="AM72" s="3"/>
      <c r="AN72" s="174">
        <v>69</v>
      </c>
    </row>
    <row r="73" spans="1:40" s="152" customFormat="1">
      <c r="A73" s="152">
        <f t="shared" si="48"/>
        <v>72</v>
      </c>
      <c r="B73" s="153" t="s">
        <v>1028</v>
      </c>
      <c r="C73" s="152">
        <v>3</v>
      </c>
      <c r="D73" s="152" t="s">
        <v>1043</v>
      </c>
      <c r="E73" s="152" t="s">
        <v>1045</v>
      </c>
      <c r="F73" s="152" t="s">
        <v>1141</v>
      </c>
      <c r="G73" s="153">
        <v>1.1399999999999999</v>
      </c>
      <c r="H73" s="152">
        <v>0.23</v>
      </c>
      <c r="J73" s="153"/>
      <c r="K73" s="153"/>
      <c r="O73" s="154"/>
      <c r="T73" s="154"/>
      <c r="AA73" s="154"/>
      <c r="AG73" s="155"/>
      <c r="AH73"/>
      <c r="AI73"/>
      <c r="AJ73" s="3"/>
      <c r="AK73"/>
      <c r="AL73"/>
      <c r="AM73" s="3"/>
      <c r="AN73" s="174">
        <v>70</v>
      </c>
    </row>
    <row r="74" spans="1:40" s="152" customFormat="1">
      <c r="A74" s="152">
        <f t="shared" si="48"/>
        <v>73</v>
      </c>
      <c r="B74" s="153" t="s">
        <v>1028</v>
      </c>
      <c r="C74" s="152">
        <v>3</v>
      </c>
      <c r="D74" s="152" t="s">
        <v>1043</v>
      </c>
      <c r="E74" s="152" t="s">
        <v>1045</v>
      </c>
      <c r="F74" s="152" t="s">
        <v>1947</v>
      </c>
      <c r="G74" s="153">
        <v>1.02</v>
      </c>
      <c r="H74" s="152">
        <v>0.3</v>
      </c>
      <c r="I74" s="152">
        <v>1.8</v>
      </c>
      <c r="J74" s="153"/>
      <c r="K74" s="153"/>
      <c r="O74" s="154"/>
      <c r="T74" s="154"/>
      <c r="AA74" s="154"/>
      <c r="AG74" s="155"/>
      <c r="AH74"/>
      <c r="AI74"/>
      <c r="AJ74" s="3"/>
      <c r="AK74"/>
      <c r="AL74"/>
      <c r="AM74" s="3"/>
      <c r="AN74" s="174">
        <v>71</v>
      </c>
    </row>
    <row r="75" spans="1:40" s="152" customFormat="1">
      <c r="A75" s="152">
        <f t="shared" si="48"/>
        <v>74</v>
      </c>
      <c r="B75" s="153" t="s">
        <v>1028</v>
      </c>
      <c r="C75" s="152">
        <v>3</v>
      </c>
      <c r="D75" s="152" t="s">
        <v>1043</v>
      </c>
      <c r="E75" s="152" t="s">
        <v>1045</v>
      </c>
      <c r="G75" s="153">
        <v>1.1830000000000001</v>
      </c>
      <c r="J75" s="153"/>
      <c r="K75" s="153"/>
      <c r="O75" s="154"/>
      <c r="T75" s="154"/>
      <c r="AA75" s="154"/>
      <c r="AG75" s="155"/>
      <c r="AH75"/>
      <c r="AI75"/>
      <c r="AJ75" s="3"/>
      <c r="AK75"/>
      <c r="AL75"/>
      <c r="AM75" s="3"/>
      <c r="AN75" s="174">
        <v>72</v>
      </c>
    </row>
    <row r="76" spans="1:40" s="152" customFormat="1">
      <c r="A76" s="152">
        <f t="shared" si="48"/>
        <v>75</v>
      </c>
      <c r="B76" s="153" t="s">
        <v>1028</v>
      </c>
      <c r="C76" s="152">
        <v>3</v>
      </c>
      <c r="D76" s="152" t="s">
        <v>1043</v>
      </c>
      <c r="E76" s="152" t="s">
        <v>1045</v>
      </c>
      <c r="F76" s="152" t="s">
        <v>1948</v>
      </c>
      <c r="G76" s="153">
        <v>1.02</v>
      </c>
      <c r="H76" s="152">
        <v>0.23</v>
      </c>
      <c r="I76" s="152">
        <v>2.1</v>
      </c>
      <c r="J76" s="153"/>
      <c r="K76" s="153"/>
      <c r="L76" s="159"/>
      <c r="M76" s="159"/>
      <c r="N76" s="159"/>
      <c r="O76" s="154"/>
      <c r="Q76" s="159"/>
      <c r="R76" s="159"/>
      <c r="S76" s="159"/>
      <c r="T76" s="154"/>
      <c r="AA76" s="154"/>
      <c r="AG76" s="155"/>
      <c r="AH76"/>
      <c r="AI76"/>
      <c r="AJ76" s="3"/>
      <c r="AK76"/>
      <c r="AL76"/>
      <c r="AM76" s="3"/>
      <c r="AN76" s="156">
        <v>73</v>
      </c>
    </row>
    <row r="77" spans="1:40" s="152" customFormat="1">
      <c r="A77" s="152">
        <f t="shared" si="48"/>
        <v>76</v>
      </c>
      <c r="B77" s="153" t="s">
        <v>1028</v>
      </c>
      <c r="C77" s="152">
        <v>3</v>
      </c>
      <c r="D77" s="152" t="s">
        <v>1043</v>
      </c>
      <c r="E77" s="152" t="s">
        <v>1045</v>
      </c>
      <c r="F77" s="152" t="s">
        <v>1944</v>
      </c>
      <c r="G77" s="153"/>
      <c r="H77" s="152">
        <v>0.26</v>
      </c>
      <c r="I77" s="152">
        <v>1.7</v>
      </c>
      <c r="J77" s="153"/>
      <c r="K77" s="153"/>
      <c r="O77" s="154"/>
      <c r="T77" s="154"/>
      <c r="AA77" s="154"/>
      <c r="AG77" s="155"/>
      <c r="AH77"/>
      <c r="AI77"/>
      <c r="AJ77" s="3"/>
      <c r="AK77"/>
      <c r="AL77"/>
      <c r="AM77" s="3"/>
      <c r="AN77" s="183">
        <v>74</v>
      </c>
    </row>
    <row r="78" spans="1:40" s="152" customFormat="1">
      <c r="A78" s="152">
        <f t="shared" si="48"/>
        <v>77</v>
      </c>
      <c r="B78" s="153" t="s">
        <v>1028</v>
      </c>
      <c r="C78" s="152">
        <v>3</v>
      </c>
      <c r="D78" s="152" t="s">
        <v>1043</v>
      </c>
      <c r="E78" s="152" t="s">
        <v>1044</v>
      </c>
      <c r="F78" s="152" t="s">
        <v>1945</v>
      </c>
      <c r="G78" s="153"/>
      <c r="H78" s="152">
        <v>0.25</v>
      </c>
      <c r="I78" s="152">
        <v>1.67</v>
      </c>
      <c r="J78" s="153"/>
      <c r="K78" s="153"/>
      <c r="O78" s="154"/>
      <c r="T78" s="154"/>
      <c r="AA78" s="154"/>
      <c r="AG78" s="155"/>
      <c r="AJ78" s="155"/>
      <c r="AM78" s="155"/>
      <c r="AN78" s="158">
        <v>74</v>
      </c>
    </row>
    <row r="79" spans="1:40" s="152" customFormat="1">
      <c r="A79" s="152">
        <f t="shared" si="48"/>
        <v>78</v>
      </c>
      <c r="B79" s="153" t="s">
        <v>1028</v>
      </c>
      <c r="C79" s="152">
        <v>3</v>
      </c>
      <c r="D79" s="152" t="s">
        <v>1043</v>
      </c>
      <c r="E79" s="152" t="s">
        <v>1045</v>
      </c>
      <c r="G79" s="153">
        <v>1.1299999999999999</v>
      </c>
      <c r="H79" s="152">
        <v>0.27</v>
      </c>
      <c r="J79" s="153"/>
      <c r="K79" s="153"/>
      <c r="O79" s="154"/>
      <c r="T79" s="154"/>
      <c r="AA79" s="154"/>
      <c r="AG79" s="155"/>
      <c r="AH79"/>
      <c r="AI79"/>
      <c r="AJ79" s="3"/>
      <c r="AK79"/>
      <c r="AL79"/>
      <c r="AM79" s="3"/>
      <c r="AN79" s="158">
        <v>86</v>
      </c>
    </row>
    <row r="80" spans="1:40" s="152" customFormat="1">
      <c r="A80" s="152">
        <f t="shared" si="48"/>
        <v>79</v>
      </c>
      <c r="B80" s="153" t="s">
        <v>1028</v>
      </c>
      <c r="C80" s="152">
        <v>3</v>
      </c>
      <c r="D80" s="152" t="s">
        <v>1043</v>
      </c>
      <c r="E80" s="152" t="s">
        <v>1044</v>
      </c>
      <c r="G80" s="153"/>
      <c r="H80" s="152">
        <v>0.3</v>
      </c>
      <c r="J80" s="153"/>
      <c r="K80" s="153"/>
      <c r="O80" s="154"/>
      <c r="T80" s="154"/>
      <c r="AA80" s="154"/>
      <c r="AG80" s="155"/>
      <c r="AH80"/>
      <c r="AI80"/>
      <c r="AJ80" s="3"/>
      <c r="AK80"/>
      <c r="AL80"/>
      <c r="AM80" s="3"/>
      <c r="AN80" s="156">
        <v>109</v>
      </c>
    </row>
    <row r="81" spans="1:40" s="161" customFormat="1">
      <c r="A81" s="161">
        <f t="shared" si="48"/>
        <v>80</v>
      </c>
      <c r="B81" s="162" t="s">
        <v>1028</v>
      </c>
      <c r="C81" s="161">
        <v>4</v>
      </c>
      <c r="D81" s="161" t="s">
        <v>1046</v>
      </c>
      <c r="E81" s="161" t="s">
        <v>1047</v>
      </c>
      <c r="G81" s="162"/>
      <c r="J81" s="162" t="s">
        <v>1033</v>
      </c>
      <c r="K81" s="162">
        <v>0.1</v>
      </c>
      <c r="L81" s="161">
        <v>98.87</v>
      </c>
      <c r="M81" s="161">
        <v>0.04</v>
      </c>
      <c r="N81" s="161">
        <v>0.99</v>
      </c>
      <c r="O81" s="163">
        <f>SUM(K81:N81)</f>
        <v>100</v>
      </c>
      <c r="P81" s="161">
        <f t="shared" ref="P81" si="49">K81*(100/$O$81)</f>
        <v>0.1</v>
      </c>
      <c r="Q81" s="161">
        <f>L81*(100/$O$81)</f>
        <v>98.87</v>
      </c>
      <c r="R81" s="161">
        <f t="shared" ref="R81:S81" si="50">M81*(100/$O$81)</f>
        <v>0.04</v>
      </c>
      <c r="S81" s="161">
        <f t="shared" si="50"/>
        <v>0.99</v>
      </c>
      <c r="T81" s="163" t="s">
        <v>1033</v>
      </c>
      <c r="U81" s="161">
        <v>81.8</v>
      </c>
      <c r="V81" s="161">
        <v>13.6</v>
      </c>
      <c r="W81" s="161">
        <v>0</v>
      </c>
      <c r="X81" s="161">
        <v>0</v>
      </c>
      <c r="Y81" s="161">
        <v>0</v>
      </c>
      <c r="Z81" s="161">
        <v>0.01</v>
      </c>
      <c r="AA81" s="163">
        <f>Z81+Y81+X81+W81+V81+U81</f>
        <v>95.41</v>
      </c>
      <c r="AB81" s="161">
        <f>U81*(100/$AA$81)</f>
        <v>85.735247877580974</v>
      </c>
      <c r="AC81" s="161">
        <f t="shared" ref="AC81:AG81" si="51">V81*(100/$AA$81)</f>
        <v>14.254271040771409</v>
      </c>
      <c r="AD81" s="161">
        <f t="shared" si="51"/>
        <v>0</v>
      </c>
      <c r="AE81" s="161">
        <f t="shared" si="51"/>
        <v>0</v>
      </c>
      <c r="AF81" s="161">
        <f t="shared" si="51"/>
        <v>0</v>
      </c>
      <c r="AG81" s="164">
        <f t="shared" si="51"/>
        <v>1.0481081647626036E-2</v>
      </c>
      <c r="AH81" s="6"/>
      <c r="AI81" s="6"/>
      <c r="AJ81" s="7"/>
      <c r="AK81" s="6"/>
      <c r="AL81" s="6"/>
      <c r="AM81" s="7"/>
      <c r="AN81" s="175">
        <v>125</v>
      </c>
    </row>
    <row r="82" spans="1:40" s="152" customFormat="1">
      <c r="A82" s="152">
        <f t="shared" si="48"/>
        <v>81</v>
      </c>
      <c r="B82" s="153" t="s">
        <v>1028</v>
      </c>
      <c r="C82" s="152">
        <v>4</v>
      </c>
      <c r="D82" s="152" t="s">
        <v>1046</v>
      </c>
      <c r="E82" s="152" t="s">
        <v>1048</v>
      </c>
      <c r="G82" s="153">
        <v>0.91800000000000004</v>
      </c>
      <c r="J82" s="153"/>
      <c r="K82" s="153"/>
      <c r="O82" s="154"/>
      <c r="T82" s="154"/>
      <c r="AA82" s="154"/>
      <c r="AG82" s="155"/>
      <c r="AJ82" s="155"/>
      <c r="AM82" s="155"/>
      <c r="AN82" s="156">
        <v>112</v>
      </c>
    </row>
    <row r="83" spans="1:40" s="152" customFormat="1">
      <c r="A83" s="152">
        <f t="shared" si="48"/>
        <v>82</v>
      </c>
      <c r="B83" s="153" t="s">
        <v>1028</v>
      </c>
      <c r="C83" s="152">
        <v>4</v>
      </c>
      <c r="D83" s="152" t="s">
        <v>1046</v>
      </c>
      <c r="E83" s="152" t="s">
        <v>1047</v>
      </c>
      <c r="G83" s="153"/>
      <c r="J83" s="153" t="s">
        <v>1042</v>
      </c>
      <c r="K83" s="153">
        <v>5.69</v>
      </c>
      <c r="L83" s="159">
        <v>92.18</v>
      </c>
      <c r="M83" s="159">
        <v>2.04</v>
      </c>
      <c r="N83" s="159">
        <v>0.11</v>
      </c>
      <c r="O83" s="154">
        <f t="shared" ref="O83:O88" si="52">SUM(K83:N83)</f>
        <v>100.02000000000001</v>
      </c>
      <c r="P83" s="152">
        <f>100*K83/$O$83</f>
        <v>5.6888622275544884</v>
      </c>
      <c r="Q83" s="152">
        <f t="shared" ref="Q83:S83" si="53">100*L83/$O$83</f>
        <v>92.161567686462703</v>
      </c>
      <c r="R83" s="152">
        <f t="shared" si="53"/>
        <v>2.0395920815836832</v>
      </c>
      <c r="S83" s="152">
        <f t="shared" si="53"/>
        <v>0.10997800439912016</v>
      </c>
      <c r="T83" s="154" t="s">
        <v>1042</v>
      </c>
      <c r="U83" s="152">
        <v>85.4</v>
      </c>
      <c r="V83" s="152">
        <v>15.04</v>
      </c>
      <c r="W83" s="152">
        <v>0</v>
      </c>
      <c r="X83" s="152">
        <v>0</v>
      </c>
      <c r="Y83" s="152">
        <v>2.77</v>
      </c>
      <c r="Z83" s="152">
        <v>0</v>
      </c>
      <c r="AA83" s="154">
        <f t="shared" ref="AA83:AA88" si="54">Z83+Y83+X83+W83+V83+U83</f>
        <v>103.21000000000001</v>
      </c>
      <c r="AB83" s="152">
        <f t="shared" ref="AB83:AB88" si="55">U83*(100/AA83)</f>
        <v>82.743920162774927</v>
      </c>
      <c r="AC83" s="152">
        <f t="shared" ref="AC83:AC88" si="56">V83*(100/AA83)</f>
        <v>14.572231372928979</v>
      </c>
      <c r="AD83" s="152">
        <f t="shared" ref="AD83:AD88" si="57">W83*(100/AA83)</f>
        <v>0</v>
      </c>
      <c r="AE83" s="152">
        <f t="shared" ref="AE83:AE88" si="58">X83*(100/AA83)</f>
        <v>0</v>
      </c>
      <c r="AF83" s="152">
        <f t="shared" ref="AF83:AF88" si="59">Y83*(100/AA83)</f>
        <v>2.6838484642960951</v>
      </c>
      <c r="AG83" s="155">
        <f t="shared" ref="AG83:AG86" si="60">Z83*(100/AA83)</f>
        <v>0</v>
      </c>
      <c r="AH83"/>
      <c r="AI83"/>
      <c r="AJ83" s="3"/>
      <c r="AK83"/>
      <c r="AL83"/>
      <c r="AM83" s="3"/>
      <c r="AN83" s="156">
        <v>104</v>
      </c>
    </row>
    <row r="84" spans="1:40" s="152" customFormat="1">
      <c r="A84" s="152">
        <f t="shared" si="48"/>
        <v>83</v>
      </c>
      <c r="B84" s="153" t="s">
        <v>1028</v>
      </c>
      <c r="C84" s="152">
        <v>4</v>
      </c>
      <c r="D84" s="152" t="s">
        <v>1046</v>
      </c>
      <c r="E84" s="152" t="s">
        <v>1047</v>
      </c>
      <c r="G84" s="153">
        <v>0.91800000000000004</v>
      </c>
      <c r="I84" s="152">
        <v>1.9167000000000001</v>
      </c>
      <c r="J84" s="153"/>
      <c r="K84" s="153"/>
      <c r="O84" s="154"/>
      <c r="Q84" s="30"/>
      <c r="T84" s="154"/>
      <c r="AA84" s="154"/>
      <c r="AG84" s="155"/>
      <c r="AH84"/>
      <c r="AI84"/>
      <c r="AJ84" s="3"/>
      <c r="AK84"/>
      <c r="AL84"/>
      <c r="AM84" s="3"/>
      <c r="AN84" s="156">
        <v>100</v>
      </c>
    </row>
    <row r="85" spans="1:40">
      <c r="A85">
        <f t="shared" si="48"/>
        <v>84</v>
      </c>
      <c r="B85" s="153" t="s">
        <v>1028</v>
      </c>
      <c r="C85" s="152">
        <v>4</v>
      </c>
      <c r="D85" s="152" t="s">
        <v>1046</v>
      </c>
      <c r="E85" s="152" t="s">
        <v>1047</v>
      </c>
      <c r="J85" s="153" t="s">
        <v>1172</v>
      </c>
      <c r="K85" s="153">
        <v>0</v>
      </c>
      <c r="L85" s="152">
        <v>99.8</v>
      </c>
      <c r="M85" s="152">
        <v>0.1</v>
      </c>
      <c r="N85" s="152">
        <v>0.1</v>
      </c>
      <c r="O85" s="154">
        <f t="shared" si="52"/>
        <v>99.999999999999986</v>
      </c>
      <c r="P85" s="152">
        <v>0</v>
      </c>
      <c r="Q85" s="152">
        <v>99.8</v>
      </c>
      <c r="R85" s="152">
        <v>0.1</v>
      </c>
      <c r="S85" s="152">
        <v>0.1</v>
      </c>
      <c r="T85" s="154" t="s">
        <v>215</v>
      </c>
      <c r="U85" s="152">
        <v>85.7</v>
      </c>
      <c r="V85" s="152">
        <v>14.3</v>
      </c>
      <c r="W85" s="152">
        <v>0</v>
      </c>
      <c r="X85" s="152">
        <v>0</v>
      </c>
      <c r="Y85" s="152">
        <v>0</v>
      </c>
      <c r="AA85" s="154">
        <f t="shared" si="54"/>
        <v>100</v>
      </c>
      <c r="AB85" s="152">
        <v>85.7</v>
      </c>
      <c r="AC85" s="152">
        <v>14.3</v>
      </c>
      <c r="AD85" s="152">
        <v>0</v>
      </c>
      <c r="AE85" s="152">
        <v>0</v>
      </c>
      <c r="AF85" s="152">
        <v>0</v>
      </c>
      <c r="AN85" s="181">
        <v>129</v>
      </c>
    </row>
    <row r="86" spans="1:40" s="152" customFormat="1">
      <c r="A86" s="152">
        <f t="shared" si="48"/>
        <v>85</v>
      </c>
      <c r="B86" s="153" t="s">
        <v>1028</v>
      </c>
      <c r="C86" s="152">
        <v>4</v>
      </c>
      <c r="D86" s="152" t="s">
        <v>1046</v>
      </c>
      <c r="E86" s="152" t="s">
        <v>1047</v>
      </c>
      <c r="G86" s="153"/>
      <c r="J86" s="153" t="s">
        <v>1038</v>
      </c>
      <c r="K86" s="153">
        <v>0.02</v>
      </c>
      <c r="L86" s="152">
        <v>99.83</v>
      </c>
      <c r="M86" s="152">
        <v>0</v>
      </c>
      <c r="N86" s="152">
        <v>0.15</v>
      </c>
      <c r="O86" s="154">
        <f t="shared" si="52"/>
        <v>100</v>
      </c>
      <c r="P86" s="152">
        <v>0.02</v>
      </c>
      <c r="Q86" s="152">
        <f t="shared" ref="Q86:Q87" si="61">L86*(100/O86)</f>
        <v>99.83</v>
      </c>
      <c r="R86" s="152">
        <f t="shared" ref="R86:R87" si="62">M86*(100/O86)</f>
        <v>0</v>
      </c>
      <c r="S86" s="152">
        <f t="shared" ref="S86:S87" si="63">N86*(100/O86)</f>
        <v>0.15</v>
      </c>
      <c r="T86" s="154" t="s">
        <v>215</v>
      </c>
      <c r="U86" s="152">
        <v>85.83</v>
      </c>
      <c r="V86" s="152">
        <v>14.38</v>
      </c>
      <c r="W86" s="152">
        <v>0.16</v>
      </c>
      <c r="X86" s="152">
        <v>7.0000000000000007E-2</v>
      </c>
      <c r="Y86" s="152">
        <v>0</v>
      </c>
      <c r="Z86" s="152">
        <v>0</v>
      </c>
      <c r="AA86" s="154">
        <f t="shared" si="54"/>
        <v>100.44</v>
      </c>
      <c r="AB86" s="152">
        <f t="shared" si="55"/>
        <v>85.454002389486263</v>
      </c>
      <c r="AC86" s="152">
        <f t="shared" si="56"/>
        <v>14.317005177220233</v>
      </c>
      <c r="AD86" s="152">
        <f t="shared" si="57"/>
        <v>0.15929908403026682</v>
      </c>
      <c r="AE86" s="152">
        <f t="shared" si="58"/>
        <v>6.969334926324175E-2</v>
      </c>
      <c r="AF86" s="152">
        <f t="shared" si="59"/>
        <v>0</v>
      </c>
      <c r="AG86" s="155">
        <f t="shared" si="60"/>
        <v>0</v>
      </c>
      <c r="AH86"/>
      <c r="AI86"/>
      <c r="AJ86" s="3"/>
      <c r="AK86"/>
      <c r="AL86"/>
      <c r="AM86" s="3"/>
      <c r="AN86" s="157">
        <v>10</v>
      </c>
    </row>
    <row r="87" spans="1:40" s="152" customFormat="1">
      <c r="A87" s="152">
        <f t="shared" si="48"/>
        <v>86</v>
      </c>
      <c r="B87" s="153" t="s">
        <v>1028</v>
      </c>
      <c r="C87" s="152">
        <v>4</v>
      </c>
      <c r="D87" s="152" t="s">
        <v>1046</v>
      </c>
      <c r="E87" s="152" t="s">
        <v>1047</v>
      </c>
      <c r="G87" s="153"/>
      <c r="J87" s="153" t="s">
        <v>1036</v>
      </c>
      <c r="K87" s="153">
        <v>0</v>
      </c>
      <c r="L87" s="152">
        <v>99.7</v>
      </c>
      <c r="M87" s="152">
        <v>0.1</v>
      </c>
      <c r="N87" s="152">
        <v>0.2</v>
      </c>
      <c r="O87" s="154">
        <f t="shared" si="52"/>
        <v>100</v>
      </c>
      <c r="P87" s="152">
        <v>0</v>
      </c>
      <c r="Q87" s="152">
        <f t="shared" si="61"/>
        <v>99.7</v>
      </c>
      <c r="R87" s="152">
        <f t="shared" si="62"/>
        <v>0.1</v>
      </c>
      <c r="S87" s="152">
        <f t="shared" si="63"/>
        <v>0.2</v>
      </c>
      <c r="T87" s="154" t="s">
        <v>221</v>
      </c>
      <c r="U87" s="152">
        <v>84.3</v>
      </c>
      <c r="V87" s="152">
        <v>15.4</v>
      </c>
      <c r="W87" s="152">
        <v>0</v>
      </c>
      <c r="X87" s="152">
        <v>0</v>
      </c>
      <c r="Y87" s="152">
        <v>0.1</v>
      </c>
      <c r="AA87" s="154">
        <f t="shared" si="54"/>
        <v>99.8</v>
      </c>
      <c r="AB87" s="152">
        <f t="shared" si="55"/>
        <v>84.468937875751507</v>
      </c>
      <c r="AC87" s="152">
        <f t="shared" si="56"/>
        <v>15.430861723446895</v>
      </c>
      <c r="AD87" s="152">
        <f t="shared" si="57"/>
        <v>0</v>
      </c>
      <c r="AE87" s="152">
        <f t="shared" si="58"/>
        <v>0</v>
      </c>
      <c r="AF87" s="152">
        <f t="shared" si="59"/>
        <v>0.10020040080160322</v>
      </c>
      <c r="AG87" s="155"/>
      <c r="AH87"/>
      <c r="AI87"/>
      <c r="AJ87" s="3"/>
      <c r="AK87"/>
      <c r="AL87"/>
      <c r="AM87" s="3"/>
      <c r="AN87" s="157">
        <v>12</v>
      </c>
    </row>
    <row r="88" spans="1:40" s="152" customFormat="1">
      <c r="A88" s="152">
        <f t="shared" si="48"/>
        <v>87</v>
      </c>
      <c r="B88" s="153" t="s">
        <v>1028</v>
      </c>
      <c r="C88" s="152">
        <v>4</v>
      </c>
      <c r="D88" s="152" t="s">
        <v>1046</v>
      </c>
      <c r="E88" s="152" t="s">
        <v>1047</v>
      </c>
      <c r="G88" s="153"/>
      <c r="J88" s="153" t="s">
        <v>1032</v>
      </c>
      <c r="K88" s="153">
        <v>1</v>
      </c>
      <c r="L88" s="152">
        <v>95.5</v>
      </c>
      <c r="M88" s="152">
        <v>2.4</v>
      </c>
      <c r="N88" s="152">
        <v>1</v>
      </c>
      <c r="O88" s="154">
        <f t="shared" si="52"/>
        <v>99.9</v>
      </c>
      <c r="P88" s="152">
        <f>100*K88/$O$88</f>
        <v>1.0010010010010009</v>
      </c>
      <c r="Q88" s="152">
        <f t="shared" ref="Q88:S88" si="64">100*L88/$O$88</f>
        <v>95.595595595595597</v>
      </c>
      <c r="R88" s="152">
        <f t="shared" si="64"/>
        <v>2.4024024024024024</v>
      </c>
      <c r="S88" s="152">
        <f t="shared" si="64"/>
        <v>1.0010010010010009</v>
      </c>
      <c r="T88" s="154" t="s">
        <v>1033</v>
      </c>
      <c r="U88" s="152">
        <v>77.61</v>
      </c>
      <c r="V88" s="152">
        <v>11.91</v>
      </c>
      <c r="W88" s="152">
        <v>0.1</v>
      </c>
      <c r="X88" s="152">
        <v>0</v>
      </c>
      <c r="Y88" s="152">
        <v>10.38</v>
      </c>
      <c r="AA88" s="154">
        <f t="shared" si="54"/>
        <v>100</v>
      </c>
      <c r="AB88" s="152">
        <f t="shared" si="55"/>
        <v>77.61</v>
      </c>
      <c r="AC88" s="152">
        <f t="shared" si="56"/>
        <v>11.91</v>
      </c>
      <c r="AD88" s="152">
        <f t="shared" si="57"/>
        <v>0.1</v>
      </c>
      <c r="AE88" s="152">
        <f t="shared" si="58"/>
        <v>0</v>
      </c>
      <c r="AF88" s="152">
        <f t="shared" si="59"/>
        <v>10.38</v>
      </c>
      <c r="AG88" s="155"/>
      <c r="AH88"/>
      <c r="AI88"/>
      <c r="AJ88" s="3"/>
      <c r="AK88"/>
      <c r="AL88"/>
      <c r="AM88" s="3"/>
      <c r="AN88" s="156">
        <v>107</v>
      </c>
    </row>
    <row r="89" spans="1:40">
      <c r="A89">
        <f t="shared" si="48"/>
        <v>88</v>
      </c>
      <c r="B89" s="153" t="s">
        <v>1028</v>
      </c>
      <c r="C89" s="152">
        <v>4</v>
      </c>
      <c r="D89" s="152" t="s">
        <v>1046</v>
      </c>
      <c r="E89" t="s">
        <v>1195</v>
      </c>
      <c r="H89">
        <v>0.35</v>
      </c>
      <c r="AN89" s="181">
        <v>136</v>
      </c>
    </row>
    <row r="90" spans="1:40" s="152" customFormat="1">
      <c r="A90" s="152">
        <f t="shared" si="48"/>
        <v>89</v>
      </c>
      <c r="B90" s="153" t="s">
        <v>1028</v>
      </c>
      <c r="C90" s="152">
        <v>4</v>
      </c>
      <c r="D90" s="152" t="s">
        <v>1046</v>
      </c>
      <c r="E90" s="152" t="s">
        <v>1047</v>
      </c>
      <c r="G90" s="153"/>
      <c r="J90" s="153" t="s">
        <v>221</v>
      </c>
      <c r="K90" s="153">
        <v>0</v>
      </c>
      <c r="L90" s="176">
        <v>99.7</v>
      </c>
      <c r="M90" s="176">
        <v>0.1</v>
      </c>
      <c r="N90" s="176">
        <v>0.2</v>
      </c>
      <c r="O90" s="154">
        <f>SUM(K90:N90)</f>
        <v>100</v>
      </c>
      <c r="P90" s="152">
        <v>0</v>
      </c>
      <c r="Q90" s="176">
        <v>99.7</v>
      </c>
      <c r="R90" s="176">
        <v>0.1</v>
      </c>
      <c r="S90" s="176">
        <v>0.2</v>
      </c>
      <c r="T90" s="154" t="s">
        <v>221</v>
      </c>
      <c r="U90" s="159">
        <v>85.4</v>
      </c>
      <c r="V90" s="159">
        <v>14.4</v>
      </c>
      <c r="W90" s="159">
        <v>0.03</v>
      </c>
      <c r="X90" s="159">
        <v>0</v>
      </c>
      <c r="Y90" s="159">
        <v>0.17</v>
      </c>
      <c r="Z90" s="152">
        <v>0</v>
      </c>
      <c r="AA90" s="154">
        <f t="shared" ref="AA90:AA92" si="65">Z90+Y90+X90+W90+V90+U90</f>
        <v>100</v>
      </c>
      <c r="AB90" s="152">
        <f>U90*(100/AA90)</f>
        <v>85.4</v>
      </c>
      <c r="AC90" s="152">
        <f>V90*(100/AA90)</f>
        <v>14.4</v>
      </c>
      <c r="AD90" s="152">
        <f>W90*(100/AA90)</f>
        <v>0.03</v>
      </c>
      <c r="AE90" s="152">
        <f>X90*(100/AA90)</f>
        <v>0</v>
      </c>
      <c r="AF90" s="152">
        <f>Y90*(100/AA90)</f>
        <v>0.17</v>
      </c>
      <c r="AG90" s="155">
        <f>Z90*(100/AA90)</f>
        <v>0</v>
      </c>
      <c r="AH90"/>
      <c r="AI90"/>
      <c r="AJ90" s="3"/>
      <c r="AK90"/>
      <c r="AL90"/>
      <c r="AM90" s="3"/>
      <c r="AN90" s="156">
        <v>94</v>
      </c>
    </row>
    <row r="91" spans="1:40">
      <c r="A91">
        <f t="shared" si="48"/>
        <v>90</v>
      </c>
      <c r="B91" s="153" t="s">
        <v>1028</v>
      </c>
      <c r="C91" s="152">
        <v>4</v>
      </c>
      <c r="D91" s="152" t="s">
        <v>1046</v>
      </c>
      <c r="E91" t="s">
        <v>1177</v>
      </c>
      <c r="F91" t="s">
        <v>1178</v>
      </c>
      <c r="I91">
        <v>1.5549999999999999</v>
      </c>
      <c r="AN91" s="181">
        <v>130</v>
      </c>
    </row>
    <row r="92" spans="1:40" s="152" customFormat="1">
      <c r="A92" s="152">
        <f t="shared" si="48"/>
        <v>91</v>
      </c>
      <c r="B92" s="153" t="s">
        <v>1028</v>
      </c>
      <c r="C92" s="152">
        <v>4</v>
      </c>
      <c r="D92" s="152" t="s">
        <v>1046</v>
      </c>
      <c r="E92" s="152" t="s">
        <v>1047</v>
      </c>
      <c r="G92" s="153"/>
      <c r="J92" s="153" t="s">
        <v>221</v>
      </c>
      <c r="K92" s="153">
        <v>0</v>
      </c>
      <c r="L92" s="152">
        <v>99.98</v>
      </c>
      <c r="M92" s="152">
        <v>0.02</v>
      </c>
      <c r="N92" s="152">
        <v>0</v>
      </c>
      <c r="O92" s="154">
        <f>SUM(K92:N92)</f>
        <v>100</v>
      </c>
      <c r="P92" s="152">
        <v>0</v>
      </c>
      <c r="Q92" s="152">
        <v>99.98</v>
      </c>
      <c r="R92" s="152">
        <v>0.02</v>
      </c>
      <c r="S92" s="152">
        <v>0</v>
      </c>
      <c r="T92" s="154" t="s">
        <v>1033</v>
      </c>
      <c r="U92" s="152">
        <v>85.47</v>
      </c>
      <c r="V92" s="152">
        <v>14.21</v>
      </c>
      <c r="W92" s="152">
        <v>0.08</v>
      </c>
      <c r="X92" s="152">
        <v>0.24</v>
      </c>
      <c r="Y92" s="152">
        <v>0.13</v>
      </c>
      <c r="AA92" s="154">
        <f t="shared" si="65"/>
        <v>100.13</v>
      </c>
      <c r="AB92" s="152">
        <f t="shared" ref="AB92:AB101" si="66">U92*(100/AA92)</f>
        <v>85.35903325676621</v>
      </c>
      <c r="AC92" s="152">
        <f t="shared" ref="AC92:AC101" si="67">V92*(100/AA92)</f>
        <v>14.191550983721164</v>
      </c>
      <c r="AD92" s="152">
        <f t="shared" ref="AD92:AD101" si="68">W92*(100/AA92)</f>
        <v>7.9896135024468198E-2</v>
      </c>
      <c r="AE92" s="152">
        <f t="shared" ref="AE92:AE101" si="69">X92*(100/AA92)</f>
        <v>0.23968840507340458</v>
      </c>
      <c r="AF92" s="152">
        <f t="shared" ref="AF92:AF101" si="70">Y92*(100/AA92)</f>
        <v>0.12983121941476083</v>
      </c>
      <c r="AG92" s="155"/>
      <c r="AH92"/>
      <c r="AI92"/>
      <c r="AJ92" s="3"/>
      <c r="AK92"/>
      <c r="AL92"/>
      <c r="AM92" s="3"/>
      <c r="AN92" s="157">
        <v>14</v>
      </c>
    </row>
    <row r="93" spans="1:40" s="152" customFormat="1">
      <c r="A93" s="152">
        <f t="shared" si="48"/>
        <v>92</v>
      </c>
      <c r="B93" s="153" t="s">
        <v>1028</v>
      </c>
      <c r="C93" s="152">
        <v>4</v>
      </c>
      <c r="D93" s="152" t="s">
        <v>1046</v>
      </c>
      <c r="E93" s="152" t="s">
        <v>1047</v>
      </c>
      <c r="G93" s="153"/>
      <c r="J93" s="37" t="s">
        <v>453</v>
      </c>
      <c r="K93" s="153">
        <v>0</v>
      </c>
      <c r="L93" s="152">
        <v>99.4</v>
      </c>
      <c r="M93" s="152">
        <v>0</v>
      </c>
      <c r="N93" s="152">
        <v>0.6</v>
      </c>
      <c r="O93" s="154">
        <f>SUM(K93:N93)</f>
        <v>100</v>
      </c>
      <c r="P93" s="152">
        <v>0</v>
      </c>
      <c r="Q93" s="152">
        <v>99.4</v>
      </c>
      <c r="R93" s="152">
        <v>0</v>
      </c>
      <c r="S93" s="152">
        <v>0.6</v>
      </c>
      <c r="T93" s="154" t="s">
        <v>215</v>
      </c>
      <c r="U93" s="152">
        <v>85.5</v>
      </c>
      <c r="V93" s="152">
        <v>14.2</v>
      </c>
      <c r="W93" s="152">
        <v>0</v>
      </c>
      <c r="X93" s="152">
        <v>0.3</v>
      </c>
      <c r="Y93" s="152">
        <v>0</v>
      </c>
      <c r="Z93" s="152">
        <v>0</v>
      </c>
      <c r="AA93" s="154">
        <f>SUM(U93:Z93)</f>
        <v>100</v>
      </c>
      <c r="AB93" s="152">
        <f t="shared" si="66"/>
        <v>85.5</v>
      </c>
      <c r="AC93" s="152">
        <f t="shared" si="67"/>
        <v>14.2</v>
      </c>
      <c r="AD93" s="152">
        <f t="shared" si="68"/>
        <v>0</v>
      </c>
      <c r="AE93" s="152">
        <f t="shared" si="69"/>
        <v>0.3</v>
      </c>
      <c r="AF93" s="152">
        <f t="shared" si="70"/>
        <v>0</v>
      </c>
      <c r="AG93" s="155">
        <f t="shared" ref="AG93:AG97" si="71">Z93*(100/AA93)</f>
        <v>0</v>
      </c>
      <c r="AH93"/>
      <c r="AI93"/>
      <c r="AJ93" s="3"/>
      <c r="AK93"/>
      <c r="AL93"/>
      <c r="AM93" s="3"/>
      <c r="AN93" s="157">
        <v>18</v>
      </c>
    </row>
    <row r="94" spans="1:40" s="152" customFormat="1">
      <c r="A94" s="152">
        <f t="shared" si="48"/>
        <v>93</v>
      </c>
      <c r="B94" s="153" t="s">
        <v>1028</v>
      </c>
      <c r="C94" s="152">
        <v>4</v>
      </c>
      <c r="D94" s="152" t="s">
        <v>1046</v>
      </c>
      <c r="E94" s="152" t="s">
        <v>1047</v>
      </c>
      <c r="G94" s="153"/>
      <c r="J94" s="37" t="s">
        <v>453</v>
      </c>
      <c r="K94" s="153">
        <v>0</v>
      </c>
      <c r="L94" s="152">
        <v>99.42</v>
      </c>
      <c r="M94" s="152">
        <v>0</v>
      </c>
      <c r="N94" s="152">
        <v>0.57999999999999996</v>
      </c>
      <c r="O94" s="154">
        <f>SUM(K94:N94)</f>
        <v>100</v>
      </c>
      <c r="P94" s="152">
        <v>0</v>
      </c>
      <c r="Q94" s="152">
        <v>99.42</v>
      </c>
      <c r="R94" s="152">
        <v>0</v>
      </c>
      <c r="S94" s="152">
        <v>0.57999999999999996</v>
      </c>
      <c r="T94" s="154" t="s">
        <v>215</v>
      </c>
      <c r="U94" s="152">
        <v>85.44</v>
      </c>
      <c r="V94" s="152">
        <v>14.24</v>
      </c>
      <c r="W94" s="152">
        <v>0</v>
      </c>
      <c r="X94" s="152">
        <v>0</v>
      </c>
      <c r="Y94" s="152">
        <v>0.32</v>
      </c>
      <c r="Z94" s="152">
        <v>0</v>
      </c>
      <c r="AA94" s="154">
        <f t="shared" ref="AA94:AA113" si="72">SUM(U94:Z94)</f>
        <v>99.999999999999986</v>
      </c>
      <c r="AB94" s="152">
        <f t="shared" si="66"/>
        <v>85.440000000000012</v>
      </c>
      <c r="AC94" s="152">
        <f t="shared" si="67"/>
        <v>14.240000000000004</v>
      </c>
      <c r="AD94" s="152">
        <f t="shared" si="68"/>
        <v>0</v>
      </c>
      <c r="AE94" s="152">
        <f t="shared" si="69"/>
        <v>0</v>
      </c>
      <c r="AF94" s="152">
        <f t="shared" si="70"/>
        <v>0.32000000000000006</v>
      </c>
      <c r="AG94" s="155">
        <f t="shared" si="71"/>
        <v>0</v>
      </c>
      <c r="AH94"/>
      <c r="AI94"/>
      <c r="AJ94" s="3"/>
      <c r="AK94"/>
      <c r="AL94"/>
      <c r="AM94" s="3"/>
      <c r="AN94" s="157">
        <v>18</v>
      </c>
    </row>
    <row r="95" spans="1:40" s="152" customFormat="1">
      <c r="A95" s="152">
        <f t="shared" si="48"/>
        <v>94</v>
      </c>
      <c r="B95" s="153" t="s">
        <v>1028</v>
      </c>
      <c r="C95" s="152">
        <v>4</v>
      </c>
      <c r="D95" s="152" t="s">
        <v>1046</v>
      </c>
      <c r="E95" s="152" t="s">
        <v>1047</v>
      </c>
      <c r="G95" s="153"/>
      <c r="J95" s="37"/>
      <c r="K95" s="153"/>
      <c r="O95" s="154"/>
      <c r="T95" s="154" t="s">
        <v>215</v>
      </c>
      <c r="U95" s="152">
        <v>85.85</v>
      </c>
      <c r="V95" s="152">
        <v>14.15</v>
      </c>
      <c r="W95" s="152">
        <v>0</v>
      </c>
      <c r="X95" s="152">
        <v>0</v>
      </c>
      <c r="Y95" s="152">
        <v>0</v>
      </c>
      <c r="Z95" s="152">
        <v>0</v>
      </c>
      <c r="AA95" s="154">
        <f t="shared" si="72"/>
        <v>100</v>
      </c>
      <c r="AB95" s="152">
        <f t="shared" si="66"/>
        <v>85.85</v>
      </c>
      <c r="AC95" s="152">
        <f t="shared" si="67"/>
        <v>14.15</v>
      </c>
      <c r="AD95" s="152">
        <f t="shared" si="68"/>
        <v>0</v>
      </c>
      <c r="AE95" s="152">
        <f t="shared" si="69"/>
        <v>0</v>
      </c>
      <c r="AF95" s="152">
        <f t="shared" si="70"/>
        <v>0</v>
      </c>
      <c r="AG95" s="155">
        <f t="shared" si="71"/>
        <v>0</v>
      </c>
      <c r="AH95"/>
      <c r="AI95"/>
      <c r="AJ95" s="3"/>
      <c r="AK95"/>
      <c r="AL95"/>
      <c r="AM95" s="3"/>
      <c r="AN95" s="157">
        <v>18</v>
      </c>
    </row>
    <row r="96" spans="1:40" s="152" customFormat="1">
      <c r="A96" s="152">
        <f t="shared" si="48"/>
        <v>95</v>
      </c>
      <c r="B96" s="153" t="s">
        <v>1028</v>
      </c>
      <c r="C96" s="152">
        <v>4</v>
      </c>
      <c r="D96" s="152" t="s">
        <v>1046</v>
      </c>
      <c r="E96" s="152" t="s">
        <v>1047</v>
      </c>
      <c r="G96" s="153"/>
      <c r="J96" s="37" t="s">
        <v>453</v>
      </c>
      <c r="K96" s="153">
        <v>0</v>
      </c>
      <c r="L96" s="152">
        <v>99.7</v>
      </c>
      <c r="M96" s="152">
        <v>0</v>
      </c>
      <c r="N96" s="152">
        <v>0.3</v>
      </c>
      <c r="O96" s="154">
        <f>SUM(K96:N96)</f>
        <v>100</v>
      </c>
      <c r="P96" s="152">
        <v>0</v>
      </c>
      <c r="Q96" s="152">
        <v>99.7</v>
      </c>
      <c r="R96" s="152">
        <v>0</v>
      </c>
      <c r="S96" s="152">
        <v>0.3</v>
      </c>
      <c r="T96" s="154" t="s">
        <v>215</v>
      </c>
      <c r="U96" s="152">
        <v>85.5</v>
      </c>
      <c r="V96" s="152">
        <v>14.3</v>
      </c>
      <c r="W96" s="152">
        <v>0</v>
      </c>
      <c r="X96" s="152">
        <v>0.2</v>
      </c>
      <c r="Y96" s="152">
        <v>0</v>
      </c>
      <c r="Z96" s="152">
        <v>0</v>
      </c>
      <c r="AA96" s="154">
        <f t="shared" si="72"/>
        <v>100</v>
      </c>
      <c r="AB96" s="152">
        <f t="shared" si="66"/>
        <v>85.5</v>
      </c>
      <c r="AC96" s="152">
        <f t="shared" si="67"/>
        <v>14.3</v>
      </c>
      <c r="AD96" s="152">
        <f t="shared" si="68"/>
        <v>0</v>
      </c>
      <c r="AE96" s="152">
        <f t="shared" si="69"/>
        <v>0.2</v>
      </c>
      <c r="AF96" s="152">
        <f t="shared" si="70"/>
        <v>0</v>
      </c>
      <c r="AG96" s="155">
        <f t="shared" si="71"/>
        <v>0</v>
      </c>
      <c r="AH96"/>
      <c r="AI96"/>
      <c r="AJ96" s="3"/>
      <c r="AK96"/>
      <c r="AL96"/>
      <c r="AM96" s="3"/>
      <c r="AN96" s="157">
        <v>18</v>
      </c>
    </row>
    <row r="97" spans="1:40" s="152" customFormat="1">
      <c r="A97" s="152">
        <f t="shared" si="48"/>
        <v>96</v>
      </c>
      <c r="B97" s="153" t="s">
        <v>1028</v>
      </c>
      <c r="C97" s="152">
        <v>4</v>
      </c>
      <c r="D97" s="152" t="s">
        <v>1046</v>
      </c>
      <c r="E97" s="152" t="s">
        <v>1047</v>
      </c>
      <c r="G97" s="153"/>
      <c r="J97" s="37" t="s">
        <v>453</v>
      </c>
      <c r="K97" s="153">
        <v>0</v>
      </c>
      <c r="L97" s="152">
        <v>99.69</v>
      </c>
      <c r="M97" s="152">
        <v>0</v>
      </c>
      <c r="N97" s="152">
        <v>0.31</v>
      </c>
      <c r="O97" s="154">
        <f>SUM(K97:N97)</f>
        <v>100</v>
      </c>
      <c r="P97" s="152">
        <v>0</v>
      </c>
      <c r="Q97" s="152">
        <v>99.69</v>
      </c>
      <c r="R97" s="152">
        <v>0</v>
      </c>
      <c r="S97" s="152">
        <v>0.31</v>
      </c>
      <c r="T97" s="154" t="s">
        <v>215</v>
      </c>
      <c r="U97" s="152">
        <v>85.51</v>
      </c>
      <c r="V97" s="152">
        <v>14.3</v>
      </c>
      <c r="W97" s="152">
        <v>0</v>
      </c>
      <c r="X97" s="152">
        <v>0</v>
      </c>
      <c r="Y97" s="152">
        <v>0.19</v>
      </c>
      <c r="Z97" s="152">
        <v>0</v>
      </c>
      <c r="AA97" s="154">
        <f t="shared" si="72"/>
        <v>100</v>
      </c>
      <c r="AB97" s="152">
        <f t="shared" si="66"/>
        <v>85.51</v>
      </c>
      <c r="AC97" s="152">
        <f t="shared" si="67"/>
        <v>14.3</v>
      </c>
      <c r="AD97" s="152">
        <f t="shared" si="68"/>
        <v>0</v>
      </c>
      <c r="AE97" s="152">
        <f t="shared" si="69"/>
        <v>0</v>
      </c>
      <c r="AF97" s="152">
        <f t="shared" si="70"/>
        <v>0.19</v>
      </c>
      <c r="AG97" s="155">
        <f t="shared" si="71"/>
        <v>0</v>
      </c>
      <c r="AH97"/>
      <c r="AI97"/>
      <c r="AJ97" s="3"/>
      <c r="AK97"/>
      <c r="AL97"/>
      <c r="AM97" s="3"/>
      <c r="AN97" s="157">
        <v>18</v>
      </c>
    </row>
    <row r="98" spans="1:40" s="152" customFormat="1">
      <c r="A98" s="152">
        <f t="shared" si="48"/>
        <v>97</v>
      </c>
      <c r="B98" s="153" t="s">
        <v>1028</v>
      </c>
      <c r="C98" s="152">
        <v>4</v>
      </c>
      <c r="D98" s="152" t="s">
        <v>1046</v>
      </c>
      <c r="E98" s="152" t="s">
        <v>1047</v>
      </c>
      <c r="G98" s="153"/>
      <c r="J98" s="37"/>
      <c r="K98" s="153"/>
      <c r="O98" s="154"/>
      <c r="T98" s="154" t="s">
        <v>215</v>
      </c>
      <c r="U98" s="152">
        <v>85.3</v>
      </c>
      <c r="V98" s="152">
        <v>14.3</v>
      </c>
      <c r="W98" s="152">
        <v>0</v>
      </c>
      <c r="X98" s="152">
        <v>0.1</v>
      </c>
      <c r="Y98" s="152">
        <v>0.3</v>
      </c>
      <c r="AA98" s="154">
        <f t="shared" si="72"/>
        <v>99.999999999999986</v>
      </c>
      <c r="AB98" s="152">
        <f t="shared" si="66"/>
        <v>85.300000000000011</v>
      </c>
      <c r="AC98" s="152">
        <f t="shared" si="67"/>
        <v>14.300000000000004</v>
      </c>
      <c r="AD98" s="152">
        <f t="shared" si="68"/>
        <v>0</v>
      </c>
      <c r="AE98" s="152">
        <f t="shared" si="69"/>
        <v>0.10000000000000003</v>
      </c>
      <c r="AF98" s="152">
        <f t="shared" si="70"/>
        <v>0.30000000000000004</v>
      </c>
      <c r="AG98" s="155"/>
      <c r="AH98"/>
      <c r="AI98"/>
      <c r="AJ98" s="3"/>
      <c r="AK98"/>
      <c r="AL98"/>
      <c r="AM98" s="3"/>
      <c r="AN98" s="157">
        <v>18</v>
      </c>
    </row>
    <row r="99" spans="1:40" s="152" customFormat="1">
      <c r="A99" s="152">
        <f t="shared" si="48"/>
        <v>98</v>
      </c>
      <c r="B99" s="153" t="s">
        <v>1028</v>
      </c>
      <c r="C99" s="152">
        <v>4</v>
      </c>
      <c r="D99" s="152" t="s">
        <v>1046</v>
      </c>
      <c r="E99" s="152" t="s">
        <v>1047</v>
      </c>
      <c r="G99" s="153"/>
      <c r="J99" s="37" t="s">
        <v>453</v>
      </c>
      <c r="K99" s="153">
        <v>0.17</v>
      </c>
      <c r="L99" s="152">
        <v>99.98</v>
      </c>
      <c r="M99" s="152">
        <v>0.02</v>
      </c>
      <c r="N99" s="152">
        <v>0</v>
      </c>
      <c r="O99" s="154">
        <f>SUM(K99:N99)</f>
        <v>100.17</v>
      </c>
      <c r="P99" s="152">
        <v>0.17</v>
      </c>
      <c r="Q99" s="30">
        <f>(100-$P$99)*L99/100</f>
        <v>99.810034000000002</v>
      </c>
      <c r="R99" s="152">
        <f>(100-$P$99)*M99/100</f>
        <v>1.9965999999999998E-2</v>
      </c>
      <c r="S99" s="152">
        <f>(100-$P$99)*N99/100</f>
        <v>0</v>
      </c>
      <c r="T99" s="154" t="s">
        <v>215</v>
      </c>
      <c r="U99" s="152">
        <v>85.98</v>
      </c>
      <c r="V99" s="152">
        <v>11.2</v>
      </c>
      <c r="W99" s="152">
        <v>0.21</v>
      </c>
      <c r="X99" s="152">
        <v>0.17</v>
      </c>
      <c r="Y99" s="152">
        <v>2.44</v>
      </c>
      <c r="Z99" s="152">
        <v>0</v>
      </c>
      <c r="AA99" s="154">
        <f t="shared" si="72"/>
        <v>100</v>
      </c>
      <c r="AB99" s="152">
        <f t="shared" si="66"/>
        <v>85.98</v>
      </c>
      <c r="AC99" s="152">
        <f t="shared" si="67"/>
        <v>11.2</v>
      </c>
      <c r="AD99" s="152">
        <f t="shared" si="68"/>
        <v>0.21</v>
      </c>
      <c r="AE99" s="152">
        <f t="shared" si="69"/>
        <v>0.17</v>
      </c>
      <c r="AF99" s="152">
        <f t="shared" si="70"/>
        <v>2.44</v>
      </c>
      <c r="AG99" s="155">
        <f>Z99*(100/AA99)</f>
        <v>0</v>
      </c>
      <c r="AH99"/>
      <c r="AI99">
        <v>46.48</v>
      </c>
      <c r="AJ99" s="3"/>
      <c r="AK99">
        <f>AL99*(Q99+R99+S99)/(Q99+R99)</f>
        <v>46.48</v>
      </c>
      <c r="AL99">
        <v>46.48</v>
      </c>
      <c r="AM99">
        <f>AL99*(Q99+R99+S99)/(P99+Q99+R99+S99)</f>
        <v>46.400984000000001</v>
      </c>
      <c r="AN99" s="157">
        <v>18</v>
      </c>
    </row>
    <row r="100" spans="1:40" s="152" customFormat="1">
      <c r="A100" s="152">
        <f t="shared" si="48"/>
        <v>99</v>
      </c>
      <c r="B100" s="153" t="s">
        <v>1028</v>
      </c>
      <c r="C100" s="152">
        <v>4</v>
      </c>
      <c r="D100" s="152" t="s">
        <v>1046</v>
      </c>
      <c r="E100" s="152" t="s">
        <v>1047</v>
      </c>
      <c r="G100" s="153"/>
      <c r="J100" s="37" t="s">
        <v>453</v>
      </c>
      <c r="K100" s="153">
        <v>0</v>
      </c>
      <c r="L100" s="152">
        <v>100</v>
      </c>
      <c r="M100" s="152">
        <v>0</v>
      </c>
      <c r="N100" s="152">
        <v>0</v>
      </c>
      <c r="O100" s="154">
        <f>SUM(K100:N100)</f>
        <v>100</v>
      </c>
      <c r="P100" s="152">
        <v>0</v>
      </c>
      <c r="Q100" s="152">
        <f>L100*(100/O100)</f>
        <v>100</v>
      </c>
      <c r="R100" s="152">
        <f>M100*(100/O100)</f>
        <v>0</v>
      </c>
      <c r="S100" s="152">
        <f>N100*(100/O100)</f>
        <v>0</v>
      </c>
      <c r="T100" s="154" t="s">
        <v>215</v>
      </c>
      <c r="U100" s="152">
        <v>86.03</v>
      </c>
      <c r="V100" s="152">
        <v>13.12</v>
      </c>
      <c r="W100" s="152">
        <v>0</v>
      </c>
      <c r="X100" s="152">
        <v>0</v>
      </c>
      <c r="Y100" s="152">
        <v>0.87</v>
      </c>
      <c r="Z100" s="152">
        <v>0</v>
      </c>
      <c r="AA100" s="154">
        <f t="shared" si="72"/>
        <v>100.02000000000001</v>
      </c>
      <c r="AB100" s="152">
        <f t="shared" si="66"/>
        <v>86.012797440511889</v>
      </c>
      <c r="AC100" s="152">
        <f t="shared" si="67"/>
        <v>13.117376524695059</v>
      </c>
      <c r="AD100" s="152">
        <f t="shared" si="68"/>
        <v>0</v>
      </c>
      <c r="AE100" s="152">
        <f t="shared" si="69"/>
        <v>0</v>
      </c>
      <c r="AF100" s="152">
        <f t="shared" si="70"/>
        <v>0.86982603479304132</v>
      </c>
      <c r="AG100" s="155">
        <f>Z100*(100/AA100)</f>
        <v>0</v>
      </c>
      <c r="AH100"/>
      <c r="AI100">
        <v>35.725000000000001</v>
      </c>
      <c r="AJ100" s="3"/>
      <c r="AK100">
        <f>AL100*(Q100+R100+S100)/(Q100+R100)</f>
        <v>35.725000000000001</v>
      </c>
      <c r="AL100">
        <v>35.725000000000001</v>
      </c>
      <c r="AM100">
        <f>AL100*(Q100+R100+S100)/(P100+Q100+R100+S100)</f>
        <v>35.725000000000001</v>
      </c>
      <c r="AN100" s="157">
        <v>18</v>
      </c>
    </row>
    <row r="101" spans="1:40" s="152" customFormat="1">
      <c r="A101" s="152">
        <f t="shared" si="48"/>
        <v>100</v>
      </c>
      <c r="B101" s="153" t="s">
        <v>1028</v>
      </c>
      <c r="C101" s="152">
        <v>4</v>
      </c>
      <c r="D101" s="152" t="s">
        <v>1046</v>
      </c>
      <c r="E101" s="152" t="s">
        <v>1047</v>
      </c>
      <c r="G101" s="153"/>
      <c r="J101" s="37" t="s">
        <v>453</v>
      </c>
      <c r="K101" s="153">
        <v>0.17</v>
      </c>
      <c r="L101" s="152">
        <v>99.94</v>
      </c>
      <c r="M101" s="152">
        <v>0</v>
      </c>
      <c r="N101" s="152">
        <v>0.06</v>
      </c>
      <c r="O101" s="154">
        <f>SUM(K101:N101)</f>
        <v>100.17</v>
      </c>
      <c r="P101" s="152">
        <v>0.17</v>
      </c>
      <c r="Q101" s="30">
        <f>(100-$P$101)*L101/100</f>
        <v>99.770101999999994</v>
      </c>
      <c r="R101" s="152">
        <f t="shared" ref="R101:S101" si="73">(100-$P$101)*M101/100</f>
        <v>0</v>
      </c>
      <c r="S101" s="152">
        <f t="shared" si="73"/>
        <v>5.9898E-2</v>
      </c>
      <c r="T101" s="154" t="s">
        <v>215</v>
      </c>
      <c r="U101" s="152">
        <v>86.66</v>
      </c>
      <c r="V101" s="152">
        <v>13.26</v>
      </c>
      <c r="W101" s="152">
        <v>0.06</v>
      </c>
      <c r="X101" s="152">
        <v>0.02</v>
      </c>
      <c r="Y101" s="152">
        <v>0</v>
      </c>
      <c r="Z101" s="152">
        <v>0</v>
      </c>
      <c r="AA101" s="154">
        <f t="shared" si="72"/>
        <v>100</v>
      </c>
      <c r="AB101" s="152">
        <f t="shared" si="66"/>
        <v>86.66</v>
      </c>
      <c r="AC101" s="152">
        <f t="shared" si="67"/>
        <v>13.26</v>
      </c>
      <c r="AD101" s="152">
        <f t="shared" si="68"/>
        <v>0.06</v>
      </c>
      <c r="AE101" s="152">
        <f t="shared" si="69"/>
        <v>0.02</v>
      </c>
      <c r="AF101" s="152">
        <f t="shared" si="70"/>
        <v>0</v>
      </c>
      <c r="AG101" s="155">
        <f>Z101*(100/AA101)</f>
        <v>0</v>
      </c>
      <c r="AH101"/>
      <c r="AI101">
        <v>37.6</v>
      </c>
      <c r="AJ101" s="3"/>
      <c r="AK101">
        <f>AL101*(Q101+R101+S101)/(Q101+R101)</f>
        <v>37.622573544126482</v>
      </c>
      <c r="AL101">
        <v>37.6</v>
      </c>
      <c r="AM101">
        <f>AL101*(Q101+R101+S101)/(P101+Q101+R101+S101)</f>
        <v>37.536079999999998</v>
      </c>
      <c r="AN101" s="157">
        <v>18</v>
      </c>
    </row>
    <row r="102" spans="1:40" s="152" customFormat="1">
      <c r="A102" s="152">
        <f t="shared" si="48"/>
        <v>101</v>
      </c>
      <c r="B102" s="153" t="s">
        <v>1028</v>
      </c>
      <c r="C102" s="152">
        <v>4</v>
      </c>
      <c r="D102" s="152" t="s">
        <v>1046</v>
      </c>
      <c r="E102" s="152" t="s">
        <v>1047</v>
      </c>
      <c r="G102" s="153"/>
      <c r="J102" s="37" t="s">
        <v>453</v>
      </c>
      <c r="K102" s="153">
        <v>0.02</v>
      </c>
      <c r="L102" s="152">
        <v>99.85</v>
      </c>
      <c r="M102" s="152">
        <v>0</v>
      </c>
      <c r="N102" s="152">
        <v>0.15</v>
      </c>
      <c r="O102" s="154">
        <f>SUM(K102:N102)</f>
        <v>100.02</v>
      </c>
      <c r="P102" s="152">
        <v>0.02</v>
      </c>
      <c r="Q102" s="30">
        <f>(100-$P$102)*L102/100</f>
        <v>99.830030000000008</v>
      </c>
      <c r="R102" s="152">
        <f t="shared" ref="R102:S102" si="74">(100-$P$102)*M102/100</f>
        <v>0</v>
      </c>
      <c r="S102" s="152">
        <f t="shared" si="74"/>
        <v>0.14996999999999999</v>
      </c>
      <c r="T102" s="154" t="s">
        <v>215</v>
      </c>
      <c r="U102" s="152">
        <v>85.94</v>
      </c>
      <c r="V102" s="152">
        <v>13.88</v>
      </c>
      <c r="W102" s="152">
        <v>0.12</v>
      </c>
      <c r="X102" s="152">
        <v>0.06</v>
      </c>
      <c r="Y102" s="152">
        <v>0</v>
      </c>
      <c r="AA102" s="154">
        <f t="shared" si="72"/>
        <v>100</v>
      </c>
      <c r="AB102" s="152">
        <v>85.94</v>
      </c>
      <c r="AC102" s="152">
        <v>13.88</v>
      </c>
      <c r="AD102" s="152">
        <v>0.12</v>
      </c>
      <c r="AE102" s="152">
        <v>0.06</v>
      </c>
      <c r="AF102" s="152">
        <v>0</v>
      </c>
      <c r="AG102" s="155"/>
      <c r="AH102"/>
      <c r="AI102">
        <v>40.982999999999997</v>
      </c>
      <c r="AJ102" s="3"/>
      <c r="AK102">
        <f>AL102*(Q102+R102+S102)/(Q102+R102)</f>
        <v>41.044566850275409</v>
      </c>
      <c r="AL102">
        <v>40.982999999999997</v>
      </c>
      <c r="AM102">
        <f>AL102*(Q102+R102+S102)/(P102+Q102+R102+S102)</f>
        <v>40.974803399999999</v>
      </c>
      <c r="AN102" s="157">
        <v>18</v>
      </c>
    </row>
    <row r="103" spans="1:40" s="152" customFormat="1">
      <c r="A103" s="152">
        <f t="shared" si="48"/>
        <v>102</v>
      </c>
      <c r="B103" s="153" t="s">
        <v>1028</v>
      </c>
      <c r="C103" s="152">
        <v>4</v>
      </c>
      <c r="D103" s="152" t="s">
        <v>1046</v>
      </c>
      <c r="E103" s="152" t="s">
        <v>1047</v>
      </c>
      <c r="G103" s="153"/>
      <c r="J103" s="37" t="s">
        <v>453</v>
      </c>
      <c r="K103" s="153">
        <v>0.25</v>
      </c>
      <c r="O103" s="154"/>
      <c r="T103" s="154" t="s">
        <v>215</v>
      </c>
      <c r="U103" s="152">
        <v>85.62</v>
      </c>
      <c r="V103" s="152">
        <v>13.86</v>
      </c>
      <c r="W103" s="152">
        <v>0.51</v>
      </c>
      <c r="X103" s="152">
        <v>0</v>
      </c>
      <c r="Y103" s="152">
        <v>0</v>
      </c>
      <c r="Z103" s="152">
        <v>0</v>
      </c>
      <c r="AA103" s="154">
        <f t="shared" si="72"/>
        <v>99.990000000000009</v>
      </c>
      <c r="AB103" s="152">
        <f>100*U103/$AA$103</f>
        <v>85.628562856285626</v>
      </c>
      <c r="AC103" s="152">
        <f t="shared" ref="AC103:AG103" si="75">100*V103/$AA$103</f>
        <v>13.861386138613859</v>
      </c>
      <c r="AD103" s="152">
        <f t="shared" si="75"/>
        <v>0.51005100510051005</v>
      </c>
      <c r="AE103" s="152">
        <f t="shared" si="75"/>
        <v>0</v>
      </c>
      <c r="AF103" s="152">
        <f t="shared" si="75"/>
        <v>0</v>
      </c>
      <c r="AG103" s="155">
        <f t="shared" si="75"/>
        <v>0</v>
      </c>
      <c r="AH103"/>
      <c r="AI103">
        <v>44.262999999999998</v>
      </c>
      <c r="AJ103" s="3"/>
      <c r="AK103"/>
      <c r="AL103">
        <v>44.262999999999998</v>
      </c>
      <c r="AM103"/>
      <c r="AN103" s="157">
        <v>18</v>
      </c>
    </row>
    <row r="104" spans="1:40" s="152" customFormat="1">
      <c r="A104" s="152">
        <f t="shared" si="48"/>
        <v>103</v>
      </c>
      <c r="B104" s="153" t="s">
        <v>1028</v>
      </c>
      <c r="C104" s="152">
        <v>4</v>
      </c>
      <c r="D104" s="152" t="s">
        <v>1046</v>
      </c>
      <c r="E104" s="152" t="s">
        <v>1047</v>
      </c>
      <c r="G104" s="153"/>
      <c r="J104" s="37" t="s">
        <v>453</v>
      </c>
      <c r="K104" s="153">
        <v>0.02</v>
      </c>
      <c r="L104" s="152">
        <v>99.85</v>
      </c>
      <c r="M104" s="152">
        <v>0</v>
      </c>
      <c r="N104" s="152">
        <v>0.15</v>
      </c>
      <c r="O104" s="154">
        <f t="shared" ref="O104:O109" si="76">SUM(K104:N104)</f>
        <v>100.02</v>
      </c>
      <c r="P104" s="152">
        <v>0.02</v>
      </c>
      <c r="Q104" s="30">
        <f>(100-$P$104)*L104/100</f>
        <v>99.830030000000008</v>
      </c>
      <c r="R104" s="152">
        <f t="shared" ref="R104:S104" si="77">(100-$P$104)*M104/100</f>
        <v>0</v>
      </c>
      <c r="S104" s="152">
        <f t="shared" si="77"/>
        <v>0.14996999999999999</v>
      </c>
      <c r="T104" s="154" t="s">
        <v>215</v>
      </c>
      <c r="U104" s="152">
        <v>85.45</v>
      </c>
      <c r="V104" s="152">
        <v>14.32</v>
      </c>
      <c r="W104" s="152">
        <v>0.16</v>
      </c>
      <c r="X104" s="152">
        <v>7.0000000000000007E-2</v>
      </c>
      <c r="Y104" s="152">
        <v>0</v>
      </c>
      <c r="Z104" s="152">
        <v>0</v>
      </c>
      <c r="AA104" s="154">
        <f t="shared" si="72"/>
        <v>100</v>
      </c>
      <c r="AB104" s="152">
        <v>85.45</v>
      </c>
      <c r="AC104" s="152">
        <v>14.32</v>
      </c>
      <c r="AD104" s="152">
        <v>0.16</v>
      </c>
      <c r="AE104" s="152">
        <v>7.0000000000000007E-2</v>
      </c>
      <c r="AF104" s="152">
        <v>0</v>
      </c>
      <c r="AG104" s="155">
        <v>0</v>
      </c>
      <c r="AH104"/>
      <c r="AI104">
        <v>46.317999999999998</v>
      </c>
      <c r="AJ104" s="3"/>
      <c r="AK104">
        <f>AL104*(Q104+R104+S104)/(Q104+R104)</f>
        <v>46.387581372058079</v>
      </c>
      <c r="AL104">
        <v>46.317999999999998</v>
      </c>
      <c r="AM104">
        <f t="shared" ref="AM104:AM107" si="78">AL104*(Q104+R104+S104)/(P104+Q104+R104+S104)</f>
        <v>46.308736400000001</v>
      </c>
      <c r="AN104" s="157">
        <v>18</v>
      </c>
    </row>
    <row r="105" spans="1:40" s="152" customFormat="1">
      <c r="A105" s="152">
        <f t="shared" si="48"/>
        <v>104</v>
      </c>
      <c r="B105" s="153" t="s">
        <v>1028</v>
      </c>
      <c r="C105" s="152">
        <v>4</v>
      </c>
      <c r="D105" s="152" t="s">
        <v>1046</v>
      </c>
      <c r="E105" s="152" t="s">
        <v>1047</v>
      </c>
      <c r="G105" s="153"/>
      <c r="J105" s="37" t="s">
        <v>453</v>
      </c>
      <c r="K105" s="153">
        <v>0.39</v>
      </c>
      <c r="L105" s="152">
        <v>99.7</v>
      </c>
      <c r="M105" s="152">
        <v>0</v>
      </c>
      <c r="N105" s="152">
        <v>0.3</v>
      </c>
      <c r="O105" s="154">
        <f t="shared" si="76"/>
        <v>100.39</v>
      </c>
      <c r="P105" s="152">
        <v>0.39</v>
      </c>
      <c r="Q105" s="30">
        <f>(100-$P$105)*L105/100</f>
        <v>99.311170000000004</v>
      </c>
      <c r="R105" s="152">
        <f t="shared" ref="R105:S105" si="79">(100-$P$105)*M105/100</f>
        <v>0</v>
      </c>
      <c r="S105" s="152">
        <f t="shared" si="79"/>
        <v>0.29882999999999998</v>
      </c>
      <c r="T105" s="154" t="s">
        <v>215</v>
      </c>
      <c r="U105" s="152">
        <v>84.97</v>
      </c>
      <c r="V105" s="152">
        <v>14.3</v>
      </c>
      <c r="W105" s="152">
        <v>0.7</v>
      </c>
      <c r="X105" s="152">
        <v>0.02</v>
      </c>
      <c r="Y105" s="152">
        <v>0</v>
      </c>
      <c r="Z105" s="152">
        <v>0</v>
      </c>
      <c r="AA105" s="154">
        <f t="shared" si="72"/>
        <v>99.99</v>
      </c>
      <c r="AB105" s="152">
        <f>100*U105/$AA$105</f>
        <v>84.978497849784986</v>
      </c>
      <c r="AC105" s="152">
        <f t="shared" ref="AC105:AG105" si="80">100*V105/$AA$105</f>
        <v>14.301430143014302</v>
      </c>
      <c r="AD105" s="152">
        <f t="shared" si="80"/>
        <v>0.7000700070007001</v>
      </c>
      <c r="AE105" s="152">
        <f t="shared" si="80"/>
        <v>2.0002000200020003E-2</v>
      </c>
      <c r="AF105" s="152">
        <f t="shared" si="80"/>
        <v>0</v>
      </c>
      <c r="AG105" s="155">
        <f t="shared" si="80"/>
        <v>0</v>
      </c>
      <c r="AH105"/>
      <c r="AI105">
        <v>46.478999999999999</v>
      </c>
      <c r="AJ105" s="3"/>
      <c r="AK105">
        <f>AL105*(Q105+R105+S105)/(Q105+R105)</f>
        <v>46.618856569709124</v>
      </c>
      <c r="AL105">
        <v>46.478999999999999</v>
      </c>
      <c r="AM105">
        <f t="shared" si="78"/>
        <v>46.297731900000002</v>
      </c>
      <c r="AN105" s="157">
        <v>18</v>
      </c>
    </row>
    <row r="106" spans="1:40" s="152" customFormat="1">
      <c r="A106" s="152">
        <f t="shared" si="48"/>
        <v>105</v>
      </c>
      <c r="B106" s="153" t="s">
        <v>1028</v>
      </c>
      <c r="C106" s="152">
        <v>4</v>
      </c>
      <c r="D106" s="152" t="s">
        <v>1046</v>
      </c>
      <c r="E106" s="152" t="s">
        <v>1047</v>
      </c>
      <c r="G106" s="153"/>
      <c r="J106" s="37" t="s">
        <v>453</v>
      </c>
      <c r="K106" s="153">
        <v>0.2</v>
      </c>
      <c r="L106" s="152">
        <v>98.7</v>
      </c>
      <c r="M106" s="152">
        <v>0.1</v>
      </c>
      <c r="N106" s="152">
        <v>1.2</v>
      </c>
      <c r="O106" s="154">
        <f t="shared" si="76"/>
        <v>100.2</v>
      </c>
      <c r="P106" s="152">
        <v>0.2</v>
      </c>
      <c r="Q106" s="30">
        <f>(100-$P$106)*L106/100</f>
        <v>98.502600000000001</v>
      </c>
      <c r="R106" s="152">
        <f t="shared" ref="R106:S106" si="81">(100-$P$106)*M106/100</f>
        <v>9.98E-2</v>
      </c>
      <c r="S106" s="152">
        <f t="shared" si="81"/>
        <v>1.1976</v>
      </c>
      <c r="T106" s="154" t="s">
        <v>215</v>
      </c>
      <c r="U106" s="152">
        <v>85.2</v>
      </c>
      <c r="V106" s="152">
        <v>14.2</v>
      </c>
      <c r="W106" s="152">
        <v>0.1</v>
      </c>
      <c r="X106" s="152">
        <v>0.1</v>
      </c>
      <c r="Y106" s="152">
        <v>0</v>
      </c>
      <c r="AA106" s="154">
        <f t="shared" si="72"/>
        <v>99.6</v>
      </c>
      <c r="AB106" s="152">
        <f>100*U106/$AA$106</f>
        <v>85.5421686746988</v>
      </c>
      <c r="AC106" s="152">
        <f>100*V106/$AA$106</f>
        <v>14.257028112449801</v>
      </c>
      <c r="AD106" s="152">
        <f>100*W106/$AA$106</f>
        <v>0.10040160642570281</v>
      </c>
      <c r="AE106" s="152">
        <f>100*X106/$AA$106</f>
        <v>0.10040160642570281</v>
      </c>
      <c r="AF106" s="152">
        <f>100*Y106/$AA$106</f>
        <v>0</v>
      </c>
      <c r="AG106" s="155"/>
      <c r="AH106"/>
      <c r="AI106">
        <v>43.552</v>
      </c>
      <c r="AJ106" s="3"/>
      <c r="AK106">
        <f>AL106*(Q106+R106+S106)/(Q106+R106)</f>
        <v>44.080971659919022</v>
      </c>
      <c r="AL106">
        <v>43.552</v>
      </c>
      <c r="AM106">
        <f t="shared" si="78"/>
        <v>43.464895999999996</v>
      </c>
      <c r="AN106" s="157">
        <v>18</v>
      </c>
    </row>
    <row r="107" spans="1:40">
      <c r="A107">
        <f t="shared" si="48"/>
        <v>106</v>
      </c>
      <c r="B107" s="153" t="s">
        <v>1028</v>
      </c>
      <c r="C107" s="152">
        <v>4</v>
      </c>
      <c r="D107" s="152" t="s">
        <v>1046</v>
      </c>
      <c r="E107" s="152" t="s">
        <v>1047</v>
      </c>
      <c r="F107" s="152"/>
      <c r="J107" s="37" t="s">
        <v>453</v>
      </c>
      <c r="K107" s="153">
        <v>0.28000000000000003</v>
      </c>
      <c r="L107" s="152">
        <v>98.58</v>
      </c>
      <c r="M107" s="152">
        <v>0</v>
      </c>
      <c r="N107" s="152">
        <v>1.42</v>
      </c>
      <c r="O107" s="154">
        <f t="shared" si="76"/>
        <v>100.28</v>
      </c>
      <c r="P107" s="152">
        <v>0.28000000000000003</v>
      </c>
      <c r="Q107" s="30">
        <f>(100-$P$107)*L107/100</f>
        <v>98.303976000000006</v>
      </c>
      <c r="R107">
        <f t="shared" ref="R107:S107" si="82">(100-$P$107)*M107/100</f>
        <v>0</v>
      </c>
      <c r="S107">
        <f t="shared" si="82"/>
        <v>1.4160239999999999</v>
      </c>
      <c r="T107" s="154" t="s">
        <v>215</v>
      </c>
      <c r="U107" s="152">
        <v>85.15</v>
      </c>
      <c r="V107" s="152">
        <v>14.36</v>
      </c>
      <c r="W107" s="152">
        <v>7.0000000000000007E-2</v>
      </c>
      <c r="X107" s="152">
        <v>0.19</v>
      </c>
      <c r="Y107" s="152">
        <v>0.22</v>
      </c>
      <c r="Z107" s="152">
        <v>0</v>
      </c>
      <c r="AA107" s="12">
        <f t="shared" si="72"/>
        <v>99.99</v>
      </c>
      <c r="AB107" s="152">
        <f>100*U107/$AA$107</f>
        <v>85.158515851585165</v>
      </c>
      <c r="AC107" s="152">
        <f t="shared" ref="AC107:AG107" si="83">100*V107/$AA$107</f>
        <v>14.361436143614362</v>
      </c>
      <c r="AD107" s="152">
        <f t="shared" si="83"/>
        <v>7.0007000700070016E-2</v>
      </c>
      <c r="AE107" s="152">
        <f t="shared" si="83"/>
        <v>0.19001900190019003</v>
      </c>
      <c r="AF107" s="152">
        <f t="shared" si="83"/>
        <v>0.22002200220022003</v>
      </c>
      <c r="AG107" s="155">
        <f t="shared" si="83"/>
        <v>0</v>
      </c>
      <c r="AI107">
        <v>47.284999999999997</v>
      </c>
      <c r="AK107">
        <f>AL107*(Q107+R107+S107)/(Q107+R107)</f>
        <v>47.966118888212613</v>
      </c>
      <c r="AL107">
        <v>47.284999999999997</v>
      </c>
      <c r="AM107">
        <f t="shared" si="78"/>
        <v>47.152601999999995</v>
      </c>
      <c r="AN107" s="157">
        <v>18</v>
      </c>
    </row>
    <row r="108" spans="1:40" s="152" customFormat="1">
      <c r="A108" s="152">
        <f t="shared" si="48"/>
        <v>107</v>
      </c>
      <c r="B108" s="153" t="s">
        <v>1028</v>
      </c>
      <c r="C108" s="152">
        <v>4</v>
      </c>
      <c r="D108" s="152" t="s">
        <v>1046</v>
      </c>
      <c r="E108" s="152" t="s">
        <v>1047</v>
      </c>
      <c r="G108" s="153"/>
      <c r="J108" s="37" t="s">
        <v>453</v>
      </c>
      <c r="K108" s="153">
        <v>0.56999999999999995</v>
      </c>
      <c r="L108" s="152">
        <v>97.41</v>
      </c>
      <c r="M108" s="152">
        <v>0</v>
      </c>
      <c r="N108" s="152">
        <v>2.59</v>
      </c>
      <c r="O108" s="154">
        <f t="shared" si="76"/>
        <v>100.57</v>
      </c>
      <c r="P108" s="152">
        <v>0.56999999999999995</v>
      </c>
      <c r="Q108" s="30">
        <f>(100-$P$108)*L108/100</f>
        <v>96.854763000000005</v>
      </c>
      <c r="R108" s="152">
        <f t="shared" ref="R108:S108" si="84">(100-$P$108)*M108/100</f>
        <v>0</v>
      </c>
      <c r="S108" s="152">
        <f t="shared" si="84"/>
        <v>2.575237</v>
      </c>
      <c r="T108" s="154"/>
      <c r="AA108" s="154">
        <f t="shared" si="72"/>
        <v>0</v>
      </c>
      <c r="AG108" s="155"/>
      <c r="AJ108" s="155"/>
      <c r="AM108" s="155"/>
      <c r="AN108" s="157">
        <v>18</v>
      </c>
    </row>
    <row r="109" spans="1:40">
      <c r="A109">
        <f t="shared" si="48"/>
        <v>108</v>
      </c>
      <c r="B109" s="153" t="s">
        <v>1028</v>
      </c>
      <c r="C109" s="152">
        <v>4</v>
      </c>
      <c r="D109" s="152" t="s">
        <v>1046</v>
      </c>
      <c r="E109" s="152" t="s">
        <v>1047</v>
      </c>
      <c r="F109" s="152"/>
      <c r="J109" s="37" t="s">
        <v>453</v>
      </c>
      <c r="K109" s="153">
        <v>0.09</v>
      </c>
      <c r="L109" s="152">
        <v>98.96</v>
      </c>
      <c r="M109" s="152">
        <v>0.48</v>
      </c>
      <c r="N109" s="152">
        <v>0.56000000000000005</v>
      </c>
      <c r="O109" s="154">
        <f t="shared" si="76"/>
        <v>100.09</v>
      </c>
      <c r="P109" s="152">
        <v>0.09</v>
      </c>
      <c r="Q109" s="30">
        <f>(100-$P$109)*L109/100</f>
        <v>98.870935999999986</v>
      </c>
      <c r="R109">
        <f t="shared" ref="R109:S109" si="85">(100-$P$109)*M109/100</f>
        <v>0.47956799999999994</v>
      </c>
      <c r="S109">
        <f t="shared" si="85"/>
        <v>0.55949599999999999</v>
      </c>
      <c r="T109" s="154" t="s">
        <v>215</v>
      </c>
      <c r="U109" s="152">
        <v>85.34</v>
      </c>
      <c r="V109" s="152">
        <v>14.57</v>
      </c>
      <c r="W109" s="152">
        <v>0</v>
      </c>
      <c r="X109" s="152">
        <v>0</v>
      </c>
      <c r="Y109">
        <v>0.09</v>
      </c>
      <c r="AA109" s="12">
        <f t="shared" si="72"/>
        <v>100</v>
      </c>
      <c r="AB109" s="152">
        <v>85.34</v>
      </c>
      <c r="AC109" s="152">
        <v>14.57</v>
      </c>
      <c r="AD109" s="152">
        <v>0</v>
      </c>
      <c r="AE109" s="152">
        <v>0</v>
      </c>
      <c r="AF109">
        <v>0.09</v>
      </c>
      <c r="AN109" s="157">
        <v>18</v>
      </c>
    </row>
    <row r="110" spans="1:40" s="152" customFormat="1">
      <c r="A110" s="152">
        <f t="shared" si="48"/>
        <v>109</v>
      </c>
      <c r="B110" s="153" t="s">
        <v>1028</v>
      </c>
      <c r="C110" s="152">
        <v>4</v>
      </c>
      <c r="D110" s="152" t="s">
        <v>1046</v>
      </c>
      <c r="E110" s="152" t="s">
        <v>1047</v>
      </c>
      <c r="G110" s="153"/>
      <c r="J110" s="153"/>
      <c r="K110" s="153"/>
      <c r="O110" s="154"/>
      <c r="T110" s="154" t="s">
        <v>215</v>
      </c>
      <c r="U110" s="152">
        <v>85.59</v>
      </c>
      <c r="V110" s="152">
        <v>14.41</v>
      </c>
      <c r="W110" s="152">
        <v>0</v>
      </c>
      <c r="X110" s="152">
        <v>0</v>
      </c>
      <c r="Y110" s="152">
        <v>0</v>
      </c>
      <c r="AA110" s="154">
        <f t="shared" si="72"/>
        <v>100</v>
      </c>
      <c r="AB110" s="152">
        <v>85.59</v>
      </c>
      <c r="AC110" s="152">
        <v>14.41</v>
      </c>
      <c r="AD110" s="152">
        <v>0</v>
      </c>
      <c r="AE110" s="152">
        <v>0</v>
      </c>
      <c r="AF110" s="152">
        <v>0</v>
      </c>
      <c r="AG110" s="155"/>
      <c r="AH110"/>
      <c r="AI110"/>
      <c r="AJ110" s="3"/>
      <c r="AK110"/>
      <c r="AL110"/>
      <c r="AM110" s="3"/>
      <c r="AN110" s="157">
        <v>18</v>
      </c>
    </row>
    <row r="111" spans="1:40">
      <c r="A111">
        <f t="shared" si="48"/>
        <v>110</v>
      </c>
      <c r="B111" s="153" t="s">
        <v>1028</v>
      </c>
      <c r="C111" s="152">
        <v>4</v>
      </c>
      <c r="D111" s="152" t="s">
        <v>1046</v>
      </c>
      <c r="E111" s="152" t="s">
        <v>1047</v>
      </c>
      <c r="F111" s="152"/>
      <c r="T111" s="154" t="s">
        <v>215</v>
      </c>
      <c r="U111" s="152">
        <v>86.54</v>
      </c>
      <c r="V111">
        <v>13.61</v>
      </c>
      <c r="W111" s="152">
        <v>0</v>
      </c>
      <c r="X111" s="152">
        <v>0</v>
      </c>
      <c r="Y111">
        <v>0</v>
      </c>
      <c r="Z111">
        <v>0</v>
      </c>
      <c r="AA111" s="12">
        <f t="shared" si="72"/>
        <v>100.15</v>
      </c>
      <c r="AB111" s="152">
        <f>100*U111/$AA$111</f>
        <v>86.410384423364945</v>
      </c>
      <c r="AC111">
        <f t="shared" ref="AC111:AG111" si="86">100*V111/$AA$111</f>
        <v>13.589615576635047</v>
      </c>
      <c r="AD111" s="152">
        <f t="shared" si="86"/>
        <v>0</v>
      </c>
      <c r="AE111" s="152">
        <f t="shared" si="86"/>
        <v>0</v>
      </c>
      <c r="AF111">
        <f t="shared" si="86"/>
        <v>0</v>
      </c>
      <c r="AG111" s="3">
        <f t="shared" si="86"/>
        <v>0</v>
      </c>
      <c r="AN111" s="157">
        <v>18</v>
      </c>
    </row>
    <row r="112" spans="1:40">
      <c r="A112">
        <f t="shared" si="48"/>
        <v>111</v>
      </c>
      <c r="B112" s="153" t="s">
        <v>1028</v>
      </c>
      <c r="C112" s="152">
        <v>4</v>
      </c>
      <c r="D112" s="152" t="s">
        <v>1046</v>
      </c>
      <c r="E112" s="152" t="s">
        <v>1047</v>
      </c>
      <c r="F112" s="152"/>
      <c r="T112" s="154" t="s">
        <v>215</v>
      </c>
      <c r="U112" s="152">
        <v>85.96</v>
      </c>
      <c r="V112">
        <v>14.04</v>
      </c>
      <c r="W112" s="152">
        <v>0</v>
      </c>
      <c r="X112" s="152">
        <v>0</v>
      </c>
      <c r="Y112">
        <v>0</v>
      </c>
      <c r="Z112">
        <v>0</v>
      </c>
      <c r="AA112" s="12">
        <f t="shared" si="72"/>
        <v>100</v>
      </c>
      <c r="AB112" s="152">
        <v>85.96</v>
      </c>
      <c r="AC112">
        <v>14.04</v>
      </c>
      <c r="AD112" s="152">
        <v>0</v>
      </c>
      <c r="AE112" s="152">
        <v>0</v>
      </c>
      <c r="AF112">
        <v>0</v>
      </c>
      <c r="AG112" s="3">
        <v>0</v>
      </c>
      <c r="AN112" s="157">
        <v>18</v>
      </c>
    </row>
    <row r="113" spans="1:40">
      <c r="A113">
        <f t="shared" si="48"/>
        <v>112</v>
      </c>
      <c r="B113" s="153" t="s">
        <v>1028</v>
      </c>
      <c r="C113" s="152">
        <v>4</v>
      </c>
      <c r="D113" s="152" t="s">
        <v>1046</v>
      </c>
      <c r="E113" s="152" t="s">
        <v>1047</v>
      </c>
      <c r="F113" s="152"/>
      <c r="T113" s="154" t="s">
        <v>215</v>
      </c>
      <c r="U113" s="152">
        <v>86.1</v>
      </c>
      <c r="V113" s="152">
        <v>13</v>
      </c>
      <c r="W113" s="152">
        <v>0</v>
      </c>
      <c r="X113" s="152">
        <v>0</v>
      </c>
      <c r="Y113" s="152">
        <v>0.9</v>
      </c>
      <c r="Z113" s="152"/>
      <c r="AA113" s="154">
        <f t="shared" si="72"/>
        <v>100</v>
      </c>
      <c r="AB113" s="152">
        <v>86.1</v>
      </c>
      <c r="AC113" s="152">
        <v>13</v>
      </c>
      <c r="AD113" s="152">
        <v>0</v>
      </c>
      <c r="AE113" s="152">
        <v>0</v>
      </c>
      <c r="AF113" s="152">
        <v>0.9</v>
      </c>
      <c r="AG113" s="155"/>
      <c r="AN113" s="157">
        <v>18</v>
      </c>
    </row>
    <row r="114" spans="1:40" s="152" customFormat="1">
      <c r="A114" s="152">
        <f t="shared" si="48"/>
        <v>113</v>
      </c>
      <c r="B114" s="153" t="s">
        <v>1028</v>
      </c>
      <c r="C114" s="152">
        <v>4</v>
      </c>
      <c r="D114" s="152" t="s">
        <v>1046</v>
      </c>
      <c r="E114" s="152" t="s">
        <v>1047</v>
      </c>
      <c r="G114" s="8"/>
      <c r="H114"/>
      <c r="I114"/>
      <c r="J114" s="153" t="s">
        <v>453</v>
      </c>
      <c r="K114" s="8">
        <v>0.02</v>
      </c>
      <c r="L114">
        <v>99.85</v>
      </c>
      <c r="M114">
        <v>0</v>
      </c>
      <c r="N114">
        <v>0.15</v>
      </c>
      <c r="O114" s="12"/>
      <c r="P114"/>
      <c r="Q114"/>
      <c r="R114"/>
      <c r="S114"/>
      <c r="T114" s="154" t="s">
        <v>1049</v>
      </c>
      <c r="U114" s="152">
        <v>85.81</v>
      </c>
      <c r="V114" s="152">
        <v>13.86</v>
      </c>
      <c r="W114" s="152">
        <v>0.12</v>
      </c>
      <c r="X114" s="152">
        <v>0.06</v>
      </c>
      <c r="Y114" s="152">
        <v>0</v>
      </c>
      <c r="AA114" s="154">
        <f>Z114+Y114+X114+W114+V114+U114</f>
        <v>99.85</v>
      </c>
      <c r="AB114" s="152">
        <f>U114*(100/AA114)</f>
        <v>85.938908362543827</v>
      </c>
      <c r="AC114" s="152">
        <f>V114*(100/AA114)</f>
        <v>13.880821231847772</v>
      </c>
      <c r="AD114" s="152">
        <f>W114*(100/AA114)</f>
        <v>0.12018027040560841</v>
      </c>
      <c r="AE114" s="152">
        <f>X114*(100/AA114)</f>
        <v>6.0090135202804207E-2</v>
      </c>
      <c r="AF114" s="152">
        <f>Y114*(100/AA114)</f>
        <v>0</v>
      </c>
      <c r="AG114" s="155"/>
      <c r="AH114"/>
      <c r="AI114"/>
      <c r="AJ114" s="3"/>
      <c r="AK114"/>
      <c r="AL114"/>
      <c r="AM114" s="3"/>
      <c r="AN114" s="157">
        <v>126</v>
      </c>
    </row>
    <row r="115" spans="1:40" s="152" customFormat="1" ht="13.5" customHeight="1">
      <c r="A115" s="152">
        <f t="shared" si="48"/>
        <v>114</v>
      </c>
      <c r="B115" s="153" t="s">
        <v>1028</v>
      </c>
      <c r="C115" s="152">
        <v>4</v>
      </c>
      <c r="D115" s="152" t="s">
        <v>1046</v>
      </c>
      <c r="E115" s="152" t="s">
        <v>1047</v>
      </c>
      <c r="F115" s="152" t="s">
        <v>1198</v>
      </c>
      <c r="G115" s="153"/>
      <c r="H115" s="152">
        <v>0.34</v>
      </c>
      <c r="I115" s="152">
        <v>2.2999999999999998</v>
      </c>
      <c r="J115" s="153"/>
      <c r="K115" s="153"/>
      <c r="O115" s="154"/>
      <c r="T115" s="154"/>
      <c r="AA115" s="154"/>
      <c r="AG115" s="155"/>
      <c r="AH115"/>
      <c r="AI115"/>
      <c r="AJ115" s="3"/>
      <c r="AK115"/>
      <c r="AL115"/>
      <c r="AM115" s="3"/>
      <c r="AN115" s="174">
        <v>75</v>
      </c>
    </row>
    <row r="116" spans="1:40" s="152" customFormat="1">
      <c r="A116" s="152">
        <f t="shared" si="48"/>
        <v>115</v>
      </c>
      <c r="B116" s="153" t="s">
        <v>1028</v>
      </c>
      <c r="C116" s="152">
        <v>4</v>
      </c>
      <c r="D116" s="152" t="s">
        <v>1046</v>
      </c>
      <c r="E116" s="152" t="s">
        <v>1048</v>
      </c>
      <c r="F116" s="152" t="s">
        <v>1207</v>
      </c>
      <c r="G116" s="153">
        <v>0.91</v>
      </c>
      <c r="J116" s="153"/>
      <c r="K116" s="153"/>
      <c r="O116" s="154"/>
      <c r="T116" s="154"/>
      <c r="AA116" s="154"/>
      <c r="AG116" s="155"/>
      <c r="AH116"/>
      <c r="AI116"/>
      <c r="AJ116" s="3"/>
      <c r="AK116"/>
      <c r="AL116"/>
      <c r="AM116" s="3"/>
      <c r="AN116" s="156">
        <v>95</v>
      </c>
    </row>
    <row r="117" spans="1:40" s="161" customFormat="1">
      <c r="A117" s="161">
        <f t="shared" si="48"/>
        <v>116</v>
      </c>
      <c r="B117" s="162" t="s">
        <v>1028</v>
      </c>
      <c r="C117" s="161">
        <v>5</v>
      </c>
      <c r="D117" s="161" t="s">
        <v>1050</v>
      </c>
      <c r="E117" s="161" t="s">
        <v>1051</v>
      </c>
      <c r="G117" s="162"/>
      <c r="J117" s="162" t="s">
        <v>453</v>
      </c>
      <c r="K117" s="162">
        <v>0.61</v>
      </c>
      <c r="L117" s="161">
        <v>86.83</v>
      </c>
      <c r="M117" s="161">
        <v>13.17</v>
      </c>
      <c r="N117" s="161">
        <v>0</v>
      </c>
      <c r="O117" s="163">
        <f t="shared" ref="O117:O121" si="87">SUM(K117:N117)</f>
        <v>100.61</v>
      </c>
      <c r="P117" s="161">
        <v>0.61</v>
      </c>
      <c r="Q117" s="38">
        <f>(100-$P$117)*L117/100</f>
        <v>86.300336999999999</v>
      </c>
      <c r="R117" s="38">
        <f t="shared" ref="R117:S117" si="88">(100-$P$117)*M117/100</f>
        <v>13.089663</v>
      </c>
      <c r="S117" s="38">
        <f t="shared" si="88"/>
        <v>0</v>
      </c>
      <c r="T117" s="163" t="s">
        <v>1036</v>
      </c>
      <c r="U117" s="161">
        <v>62.51</v>
      </c>
      <c r="V117" s="161">
        <v>4.1900000000000004</v>
      </c>
      <c r="W117" s="161">
        <v>0</v>
      </c>
      <c r="X117" s="161">
        <v>0</v>
      </c>
      <c r="Y117" s="161">
        <v>33.299999999999997</v>
      </c>
      <c r="Z117" s="161">
        <v>0</v>
      </c>
      <c r="AA117" s="163">
        <f>Z117+Y117+X117+W117+V117+U117</f>
        <v>100</v>
      </c>
      <c r="AB117" s="161">
        <f>U117*(100/AA117)</f>
        <v>62.51</v>
      </c>
      <c r="AC117" s="161">
        <f>V117*(100/AA117)</f>
        <v>4.1900000000000004</v>
      </c>
      <c r="AD117" s="161">
        <f>W117*(100/AA117)</f>
        <v>0</v>
      </c>
      <c r="AE117" s="161">
        <f>X117*(100/AA117)</f>
        <v>0</v>
      </c>
      <c r="AF117" s="161">
        <f>Y117*(100/AA117)</f>
        <v>33.299999999999997</v>
      </c>
      <c r="AG117" s="164">
        <f>Z117*(100/AA117)</f>
        <v>0</v>
      </c>
      <c r="AH117" s="6"/>
      <c r="AI117" s="6"/>
      <c r="AJ117" s="7"/>
      <c r="AK117" s="6"/>
      <c r="AL117" s="6"/>
      <c r="AM117" s="7"/>
      <c r="AN117" s="177">
        <v>119</v>
      </c>
    </row>
    <row r="118" spans="1:40" s="152" customFormat="1">
      <c r="A118" s="152">
        <f t="shared" si="48"/>
        <v>117</v>
      </c>
      <c r="B118" s="153" t="s">
        <v>1028</v>
      </c>
      <c r="C118" s="152">
        <v>5</v>
      </c>
      <c r="D118" s="152" t="s">
        <v>1050</v>
      </c>
      <c r="E118" s="152" t="s">
        <v>1051</v>
      </c>
      <c r="G118" s="153"/>
      <c r="J118" s="153" t="s">
        <v>1036</v>
      </c>
      <c r="K118" s="153">
        <v>0</v>
      </c>
      <c r="L118" s="152">
        <v>86.85</v>
      </c>
      <c r="M118" s="152">
        <v>13.15</v>
      </c>
      <c r="N118" s="152">
        <v>0</v>
      </c>
      <c r="O118" s="154">
        <f t="shared" si="87"/>
        <v>100</v>
      </c>
      <c r="P118" s="152">
        <v>0</v>
      </c>
      <c r="Q118" s="152">
        <f t="shared" ref="Q118:Q141" si="89">L118*(100/O118)</f>
        <v>86.85</v>
      </c>
      <c r="R118" s="152">
        <f t="shared" ref="R118:R141" si="90">M118*(100/O118)</f>
        <v>13.15</v>
      </c>
      <c r="S118" s="152">
        <f t="shared" ref="S118:S141" si="91">N118*(100/O118)</f>
        <v>0</v>
      </c>
      <c r="T118" s="154" t="s">
        <v>221</v>
      </c>
      <c r="U118" s="152">
        <v>62.5</v>
      </c>
      <c r="V118" s="152">
        <v>4.21</v>
      </c>
      <c r="W118" s="152">
        <v>0</v>
      </c>
      <c r="X118" s="152">
        <v>0</v>
      </c>
      <c r="Y118" s="152">
        <v>33.29</v>
      </c>
      <c r="Z118" s="152">
        <v>0</v>
      </c>
      <c r="AA118" s="154">
        <f>Z118+Y118+X118+W118+V118+U118</f>
        <v>100</v>
      </c>
      <c r="AB118" s="152">
        <f>U118*(100/AA118)</f>
        <v>62.5</v>
      </c>
      <c r="AC118" s="152">
        <f>V118*(100/AA118)</f>
        <v>4.21</v>
      </c>
      <c r="AD118" s="152">
        <f>W118*(100/AA118)</f>
        <v>0</v>
      </c>
      <c r="AE118" s="152">
        <f>X118*(100/AA118)</f>
        <v>0</v>
      </c>
      <c r="AF118" s="152">
        <f>Y118*(100/AA118)</f>
        <v>33.29</v>
      </c>
      <c r="AG118" s="155">
        <f>Z118*(100/AA118)</f>
        <v>0</v>
      </c>
      <c r="AH118"/>
      <c r="AI118"/>
      <c r="AJ118" s="3"/>
      <c r="AK118"/>
      <c r="AL118"/>
      <c r="AM118" s="3"/>
      <c r="AN118" s="158">
        <v>94</v>
      </c>
    </row>
    <row r="119" spans="1:40" s="152" customFormat="1">
      <c r="A119" s="152">
        <f t="shared" si="48"/>
        <v>118</v>
      </c>
      <c r="B119" s="153" t="s">
        <v>1028</v>
      </c>
      <c r="C119" s="152">
        <v>5</v>
      </c>
      <c r="D119" s="152" t="s">
        <v>1050</v>
      </c>
      <c r="E119" s="152" t="s">
        <v>1051</v>
      </c>
      <c r="G119" s="153"/>
      <c r="J119" s="153" t="s">
        <v>1036</v>
      </c>
      <c r="K119" s="153">
        <v>0.1</v>
      </c>
      <c r="L119" s="152">
        <v>88.1</v>
      </c>
      <c r="M119" s="152">
        <v>11.8</v>
      </c>
      <c r="N119" s="152">
        <v>0</v>
      </c>
      <c r="O119" s="154">
        <f t="shared" si="87"/>
        <v>99.999999999999986</v>
      </c>
      <c r="P119" s="152">
        <f>K119*(100/O119)</f>
        <v>0.10000000000000003</v>
      </c>
      <c r="Q119" s="152">
        <f t="shared" si="89"/>
        <v>88.100000000000009</v>
      </c>
      <c r="R119" s="152">
        <f t="shared" si="90"/>
        <v>11.800000000000002</v>
      </c>
      <c r="S119" s="152">
        <f t="shared" si="91"/>
        <v>0</v>
      </c>
      <c r="T119" s="154" t="s">
        <v>1031</v>
      </c>
      <c r="U119" s="152">
        <v>62.1</v>
      </c>
      <c r="V119" s="152">
        <v>4.4000000000000004</v>
      </c>
      <c r="W119" s="152">
        <v>0</v>
      </c>
      <c r="X119" s="152">
        <v>0</v>
      </c>
      <c r="Y119" s="152">
        <v>33.5</v>
      </c>
      <c r="AA119" s="154">
        <f>Z119+Y119+X119+W119+V119+U119</f>
        <v>100</v>
      </c>
      <c r="AB119" s="152">
        <f>U119*(100/AA119)</f>
        <v>62.1</v>
      </c>
      <c r="AC119" s="152">
        <f>V119*(100/AA119)</f>
        <v>4.4000000000000004</v>
      </c>
      <c r="AD119" s="152">
        <f>W119*(100/AA119)</f>
        <v>0</v>
      </c>
      <c r="AE119" s="152">
        <f>X119*(100/AA119)</f>
        <v>0</v>
      </c>
      <c r="AF119" s="152">
        <f>Y119*(100/AA119)</f>
        <v>33.5</v>
      </c>
      <c r="AG119" s="155"/>
      <c r="AH119"/>
      <c r="AI119"/>
      <c r="AJ119" s="3">
        <v>46.16</v>
      </c>
      <c r="AK119">
        <f>AL119*(Q119+R119+S119)/(Q119+R119)</f>
        <v>46.206206206206204</v>
      </c>
      <c r="AL119">
        <f>AM119*(P119+Q119+R119+S119)/(Q119+R119+S119)</f>
        <v>46.206206206206204</v>
      </c>
      <c r="AM119" s="3">
        <v>46.16</v>
      </c>
      <c r="AN119" s="156">
        <v>61</v>
      </c>
    </row>
    <row r="120" spans="1:40" s="152" customFormat="1">
      <c r="A120" s="152">
        <f t="shared" si="48"/>
        <v>119</v>
      </c>
      <c r="B120" s="153" t="s">
        <v>1028</v>
      </c>
      <c r="C120" s="152">
        <v>5</v>
      </c>
      <c r="D120" s="152" t="s">
        <v>1050</v>
      </c>
      <c r="E120" s="152" t="s">
        <v>1051</v>
      </c>
      <c r="G120" s="153"/>
      <c r="J120" s="153" t="s">
        <v>1032</v>
      </c>
      <c r="K120" s="153">
        <v>0</v>
      </c>
      <c r="L120" s="152">
        <v>88.61</v>
      </c>
      <c r="M120" s="152">
        <v>11.39</v>
      </c>
      <c r="N120" s="152">
        <v>0</v>
      </c>
      <c r="O120" s="154">
        <f t="shared" si="87"/>
        <v>100</v>
      </c>
      <c r="P120" s="152">
        <v>0</v>
      </c>
      <c r="Q120" s="152">
        <f t="shared" si="89"/>
        <v>88.61</v>
      </c>
      <c r="R120" s="152">
        <f t="shared" si="90"/>
        <v>11.39</v>
      </c>
      <c r="S120" s="152">
        <f t="shared" si="91"/>
        <v>0</v>
      </c>
      <c r="T120" s="154" t="s">
        <v>1033</v>
      </c>
      <c r="U120" s="152">
        <v>64.22</v>
      </c>
      <c r="V120" s="152">
        <v>4.6500000000000004</v>
      </c>
      <c r="W120" s="152">
        <v>0.05</v>
      </c>
      <c r="X120" s="152">
        <v>0.55000000000000004</v>
      </c>
      <c r="Y120" s="152">
        <v>30.53</v>
      </c>
      <c r="AA120" s="154">
        <f>Z120+Y120+X120+W120+V120+U120</f>
        <v>100</v>
      </c>
      <c r="AB120" s="152">
        <f>U120*(100/AA120)</f>
        <v>64.22</v>
      </c>
      <c r="AC120" s="152">
        <f>V120*(100/AA120)</f>
        <v>4.6500000000000004</v>
      </c>
      <c r="AD120" s="152">
        <f>W120*(100/AA120)</f>
        <v>0.05</v>
      </c>
      <c r="AE120" s="152">
        <f>X120*(100/AA120)</f>
        <v>0.55000000000000004</v>
      </c>
      <c r="AF120" s="152">
        <f>Y120*(100/AA120)</f>
        <v>30.53</v>
      </c>
      <c r="AG120" s="155"/>
      <c r="AH120"/>
      <c r="AI120"/>
      <c r="AJ120" s="3"/>
      <c r="AK120"/>
      <c r="AL120"/>
      <c r="AM120" s="3"/>
      <c r="AN120" s="158">
        <v>118</v>
      </c>
    </row>
    <row r="121" spans="1:40" s="152" customFormat="1">
      <c r="A121" s="152">
        <f t="shared" si="48"/>
        <v>120</v>
      </c>
      <c r="B121" s="153" t="s">
        <v>1028</v>
      </c>
      <c r="C121" s="152">
        <v>5</v>
      </c>
      <c r="D121" s="152" t="s">
        <v>1050</v>
      </c>
      <c r="E121" s="152" t="s">
        <v>1051</v>
      </c>
      <c r="G121" s="153"/>
      <c r="J121" s="153" t="s">
        <v>1036</v>
      </c>
      <c r="K121" s="153">
        <v>0</v>
      </c>
      <c r="L121" s="152">
        <v>94.4</v>
      </c>
      <c r="M121" s="152">
        <v>5.6</v>
      </c>
      <c r="N121" s="152">
        <v>0</v>
      </c>
      <c r="O121" s="154">
        <f t="shared" si="87"/>
        <v>100</v>
      </c>
      <c r="P121" s="152">
        <v>0</v>
      </c>
      <c r="Q121" s="152">
        <f t="shared" si="89"/>
        <v>94.4</v>
      </c>
      <c r="R121" s="152">
        <f t="shared" si="90"/>
        <v>5.6</v>
      </c>
      <c r="S121" s="152">
        <f t="shared" si="91"/>
        <v>0</v>
      </c>
      <c r="T121" s="154" t="s">
        <v>1031</v>
      </c>
      <c r="U121" s="152">
        <v>62.57</v>
      </c>
      <c r="V121" s="152">
        <v>4.4000000000000004</v>
      </c>
      <c r="W121" s="152">
        <v>0</v>
      </c>
      <c r="X121" s="152">
        <v>0</v>
      </c>
      <c r="Y121" s="152">
        <v>33.03</v>
      </c>
      <c r="AA121" s="154">
        <f>Z121+Y121+X121+W121+V121+U121</f>
        <v>100</v>
      </c>
      <c r="AB121" s="152">
        <f>U121*(100/AA121)</f>
        <v>62.57</v>
      </c>
      <c r="AC121" s="152">
        <f>V121*(100/AA121)</f>
        <v>4.4000000000000004</v>
      </c>
      <c r="AD121" s="152">
        <f>W121*(100/AA121)</f>
        <v>0</v>
      </c>
      <c r="AE121" s="152">
        <f>X121*(100/AA121)</f>
        <v>0</v>
      </c>
      <c r="AF121" s="152">
        <f>Y121*(100/AA121)</f>
        <v>33.03</v>
      </c>
      <c r="AG121" s="155"/>
      <c r="AH121"/>
      <c r="AI121"/>
      <c r="AJ121" s="3"/>
      <c r="AK121"/>
      <c r="AL121"/>
      <c r="AM121" s="3"/>
      <c r="AN121" s="156">
        <v>62</v>
      </c>
    </row>
    <row r="122" spans="1:40" s="152" customFormat="1">
      <c r="A122" s="152">
        <f t="shared" si="48"/>
        <v>121</v>
      </c>
      <c r="B122" s="153" t="s">
        <v>1028</v>
      </c>
      <c r="C122" s="152">
        <v>5</v>
      </c>
      <c r="D122" s="152" t="s">
        <v>1050</v>
      </c>
      <c r="E122" s="152" t="s">
        <v>1051</v>
      </c>
      <c r="G122" s="153"/>
      <c r="J122" s="153" t="s">
        <v>1036</v>
      </c>
      <c r="K122" s="153">
        <v>0.53500000000000003</v>
      </c>
      <c r="L122" s="152">
        <v>89.29</v>
      </c>
      <c r="M122" s="152">
        <v>10.47</v>
      </c>
      <c r="N122" s="152">
        <v>0.01</v>
      </c>
      <c r="O122" s="154">
        <f>SUM(K122:N122)</f>
        <v>100.30500000000001</v>
      </c>
      <c r="P122" s="152">
        <f>K122*(100/O122)</f>
        <v>0.53337321170430185</v>
      </c>
      <c r="Q122" s="152">
        <f t="shared" si="89"/>
        <v>89.018493594536665</v>
      </c>
      <c r="R122" s="152">
        <f t="shared" si="90"/>
        <v>10.438163601016898</v>
      </c>
      <c r="S122" s="152">
        <f t="shared" si="91"/>
        <v>9.9695927421364836E-3</v>
      </c>
      <c r="T122" s="154"/>
      <c r="AA122" s="154"/>
      <c r="AG122" s="155"/>
      <c r="AH122"/>
      <c r="AI122"/>
      <c r="AJ122" s="3"/>
      <c r="AK122"/>
      <c r="AL122"/>
      <c r="AM122" s="3"/>
      <c r="AN122" s="158">
        <v>57</v>
      </c>
    </row>
    <row r="123" spans="1:40" s="152" customFormat="1">
      <c r="A123" s="152">
        <f t="shared" si="48"/>
        <v>122</v>
      </c>
      <c r="B123" s="153" t="s">
        <v>1028</v>
      </c>
      <c r="C123" s="152">
        <v>5</v>
      </c>
      <c r="D123" s="152" t="s">
        <v>1050</v>
      </c>
      <c r="E123" s="152" t="s">
        <v>1051</v>
      </c>
      <c r="G123" s="153"/>
      <c r="J123" s="153" t="s">
        <v>453</v>
      </c>
      <c r="K123" s="153">
        <v>0.36</v>
      </c>
      <c r="L123" s="152">
        <v>89.3</v>
      </c>
      <c r="M123" s="152">
        <v>10.6</v>
      </c>
      <c r="N123" s="152">
        <v>0.1</v>
      </c>
      <c r="O123" s="154">
        <f t="shared" ref="O123:O141" si="92">SUM(K123:N123)</f>
        <v>100.35999999999999</v>
      </c>
      <c r="P123" s="152">
        <v>0.36</v>
      </c>
      <c r="Q123" s="30">
        <f>(100-$P$123)*L123/100</f>
        <v>88.978519999999989</v>
      </c>
      <c r="R123" s="30">
        <f>(100-$P$123)*M123/100</f>
        <v>10.56184</v>
      </c>
      <c r="S123" s="30">
        <f>(100-$P$123)*N123/100</f>
        <v>9.9640000000000006E-2</v>
      </c>
      <c r="T123" s="154"/>
      <c r="AA123" s="154"/>
      <c r="AG123" s="155"/>
      <c r="AH123"/>
      <c r="AI123"/>
      <c r="AJ123" s="3">
        <v>42.68</v>
      </c>
      <c r="AK123">
        <f>AL123*(Q123+R123+S123)/(Q123+R123)</f>
        <v>42.877080211484056</v>
      </c>
      <c r="AL123">
        <f>AM123*(P123+Q123+R123+S123)/(Q123+R123+S123)</f>
        <v>42.834203131272581</v>
      </c>
      <c r="AM123" s="3">
        <v>42.68</v>
      </c>
      <c r="AN123" s="158">
        <v>81</v>
      </c>
    </row>
    <row r="124" spans="1:40" s="152" customFormat="1">
      <c r="A124" s="152">
        <f t="shared" si="48"/>
        <v>123</v>
      </c>
      <c r="B124" s="153" t="s">
        <v>1028</v>
      </c>
      <c r="C124" s="152">
        <v>5</v>
      </c>
      <c r="D124" s="152" t="s">
        <v>1050</v>
      </c>
      <c r="E124" s="152" t="s">
        <v>1051</v>
      </c>
      <c r="G124" s="153"/>
      <c r="J124" s="153" t="s">
        <v>1036</v>
      </c>
      <c r="K124" s="153">
        <v>0.23</v>
      </c>
      <c r="L124" s="152">
        <v>99.2</v>
      </c>
      <c r="M124" s="152">
        <v>0</v>
      </c>
      <c r="N124" s="152">
        <v>0.1</v>
      </c>
      <c r="O124" s="154">
        <f t="shared" si="92"/>
        <v>99.53</v>
      </c>
      <c r="P124" s="152">
        <f>K124*(100/O124)</f>
        <v>0.23108610469205268</v>
      </c>
      <c r="Q124" s="152">
        <f t="shared" si="89"/>
        <v>99.668441675876636</v>
      </c>
      <c r="R124" s="152">
        <f t="shared" si="90"/>
        <v>0</v>
      </c>
      <c r="S124" s="152">
        <f t="shared" si="91"/>
        <v>0.10047221943132725</v>
      </c>
      <c r="T124" s="154" t="s">
        <v>1031</v>
      </c>
      <c r="U124" s="152">
        <v>58.93</v>
      </c>
      <c r="V124" s="152">
        <v>3.98</v>
      </c>
      <c r="W124" s="152">
        <v>0.13</v>
      </c>
      <c r="X124" s="152">
        <v>0</v>
      </c>
      <c r="Y124" s="152">
        <v>36.96</v>
      </c>
      <c r="AA124" s="154">
        <f>Z124+Y124+X124+W124+V124+U124</f>
        <v>100</v>
      </c>
      <c r="AB124" s="152">
        <f>U124*(100/AA124)</f>
        <v>58.93</v>
      </c>
      <c r="AC124" s="152">
        <f>V124*(100/AA124)</f>
        <v>3.98</v>
      </c>
      <c r="AD124" s="152">
        <f>W124*(100/AA124)</f>
        <v>0.13</v>
      </c>
      <c r="AE124" s="152">
        <f>X124*(100/AA124)</f>
        <v>0</v>
      </c>
      <c r="AF124" s="152">
        <f>Y124*(100/AA124)</f>
        <v>36.96</v>
      </c>
      <c r="AG124" s="155">
        <f>Z124*(100/AA124)</f>
        <v>0</v>
      </c>
      <c r="AH124"/>
      <c r="AI124"/>
      <c r="AJ124" s="3"/>
      <c r="AK124"/>
      <c r="AL124"/>
      <c r="AM124" s="3"/>
      <c r="AN124" s="156">
        <v>67</v>
      </c>
    </row>
    <row r="125" spans="1:40" s="152" customFormat="1">
      <c r="A125" s="152">
        <f t="shared" si="48"/>
        <v>124</v>
      </c>
      <c r="B125" s="153" t="s">
        <v>1028</v>
      </c>
      <c r="C125" s="152">
        <v>5</v>
      </c>
      <c r="D125" s="152" t="s">
        <v>1050</v>
      </c>
      <c r="E125" s="152" t="s">
        <v>1051</v>
      </c>
      <c r="G125" s="153"/>
      <c r="J125" s="153" t="s">
        <v>1036</v>
      </c>
      <c r="K125" s="153">
        <v>0</v>
      </c>
      <c r="L125" s="152">
        <v>87.96</v>
      </c>
      <c r="M125" s="152">
        <v>12</v>
      </c>
      <c r="N125" s="152">
        <v>0.04</v>
      </c>
      <c r="O125" s="154">
        <f t="shared" si="92"/>
        <v>100</v>
      </c>
      <c r="P125" s="152">
        <v>0</v>
      </c>
      <c r="Q125" s="152">
        <f t="shared" si="89"/>
        <v>87.96</v>
      </c>
      <c r="R125" s="152">
        <f t="shared" si="90"/>
        <v>12</v>
      </c>
      <c r="S125" s="152">
        <f t="shared" si="91"/>
        <v>0.04</v>
      </c>
      <c r="T125" s="154" t="s">
        <v>1036</v>
      </c>
      <c r="U125" s="152">
        <v>62.8</v>
      </c>
      <c r="V125" s="152">
        <v>4.3</v>
      </c>
      <c r="W125" s="152">
        <v>7.0000000000000007E-2</v>
      </c>
      <c r="X125" s="152">
        <v>0.04</v>
      </c>
      <c r="Y125" s="152">
        <v>32.79</v>
      </c>
      <c r="AA125" s="154">
        <f>Z125+Y125+X125+W125+V125+U125</f>
        <v>100</v>
      </c>
      <c r="AB125" s="152">
        <f>U125*(100/AA125)</f>
        <v>62.8</v>
      </c>
      <c r="AC125" s="152">
        <f>V125*(100/AA125)</f>
        <v>4.3</v>
      </c>
      <c r="AD125" s="152">
        <f>W125*(100/AA125)</f>
        <v>7.0000000000000007E-2</v>
      </c>
      <c r="AE125" s="152">
        <f>X125*(100/AA125)</f>
        <v>0.04</v>
      </c>
      <c r="AF125" s="152">
        <f>Y125*(100/AA125)</f>
        <v>32.79</v>
      </c>
      <c r="AG125" s="155"/>
      <c r="AH125"/>
      <c r="AI125">
        <v>22.77</v>
      </c>
      <c r="AJ125" s="3"/>
      <c r="AK125">
        <f>AL125*(Q125+R125+S125)/(Q125+R125)</f>
        <v>22.779111644657863</v>
      </c>
      <c r="AL125">
        <v>22.77</v>
      </c>
      <c r="AM125">
        <f>AL125*(Q125+R125+S125)/(P125+Q125+R125+S125)</f>
        <v>22.77</v>
      </c>
      <c r="AN125" s="157">
        <v>127</v>
      </c>
    </row>
    <row r="126" spans="1:40">
      <c r="A126">
        <f t="shared" si="48"/>
        <v>125</v>
      </c>
      <c r="B126" s="153" t="s">
        <v>1028</v>
      </c>
      <c r="C126" s="152">
        <v>5</v>
      </c>
      <c r="D126" s="152" t="s">
        <v>1050</v>
      </c>
      <c r="E126" s="152" t="s">
        <v>1051</v>
      </c>
      <c r="F126" s="152" t="s">
        <v>1203</v>
      </c>
      <c r="G126" s="8">
        <v>0.9</v>
      </c>
      <c r="AN126" s="183">
        <v>93</v>
      </c>
    </row>
    <row r="127" spans="1:40" s="152" customFormat="1">
      <c r="A127" s="152">
        <f t="shared" si="48"/>
        <v>126</v>
      </c>
      <c r="B127" s="153" t="s">
        <v>1028</v>
      </c>
      <c r="C127" s="152">
        <v>5</v>
      </c>
      <c r="D127" s="152" t="s">
        <v>1050</v>
      </c>
      <c r="E127" s="152" t="s">
        <v>1052</v>
      </c>
      <c r="G127" s="153"/>
      <c r="J127" s="153"/>
      <c r="K127" s="153"/>
      <c r="O127" s="154"/>
      <c r="T127" s="154" t="s">
        <v>215</v>
      </c>
      <c r="U127" s="152">
        <v>62</v>
      </c>
      <c r="V127" s="152">
        <v>5.2</v>
      </c>
      <c r="W127" s="152">
        <v>0</v>
      </c>
      <c r="X127" s="152">
        <v>0</v>
      </c>
      <c r="Y127" s="152">
        <v>32.799999999999997</v>
      </c>
      <c r="AA127" s="154">
        <f>Z127+Y127+X127+W127+V127+U127</f>
        <v>100</v>
      </c>
      <c r="AB127" s="152">
        <f>U127*(100/AA127)</f>
        <v>62</v>
      </c>
      <c r="AC127" s="152">
        <f>V127*(100/AA127)</f>
        <v>5.2</v>
      </c>
      <c r="AD127" s="152">
        <f>W127*(100/AA127)</f>
        <v>0</v>
      </c>
      <c r="AE127" s="152">
        <f>X127*(100/AA127)</f>
        <v>0</v>
      </c>
      <c r="AF127" s="152">
        <f>Y127*(100/AA127)</f>
        <v>32.799999999999997</v>
      </c>
      <c r="AG127" s="155"/>
      <c r="AH127"/>
      <c r="AI127"/>
      <c r="AJ127" s="3"/>
      <c r="AK127"/>
      <c r="AL127"/>
      <c r="AM127" s="3"/>
      <c r="AN127" s="157">
        <v>31</v>
      </c>
    </row>
    <row r="128" spans="1:40" s="152" customFormat="1">
      <c r="A128" s="152">
        <f t="shared" si="48"/>
        <v>127</v>
      </c>
      <c r="B128" s="153" t="s">
        <v>1028</v>
      </c>
      <c r="C128" s="152">
        <v>5</v>
      </c>
      <c r="D128" s="152" t="s">
        <v>1050</v>
      </c>
      <c r="E128" s="152" t="s">
        <v>1052</v>
      </c>
      <c r="G128" s="153"/>
      <c r="J128" s="153"/>
      <c r="K128" s="153"/>
      <c r="O128" s="154"/>
      <c r="T128" s="154" t="s">
        <v>215</v>
      </c>
      <c r="U128" s="152">
        <v>62.02</v>
      </c>
      <c r="V128" s="152">
        <v>4.1900000000000004</v>
      </c>
      <c r="W128" s="152">
        <v>0.32</v>
      </c>
      <c r="X128" s="152">
        <v>7.0000000000000007E-2</v>
      </c>
      <c r="Y128" s="152">
        <v>33.4</v>
      </c>
      <c r="AA128" s="154">
        <f>Z128+Y128+X128+W128+V128+U128</f>
        <v>100</v>
      </c>
      <c r="AB128" s="152">
        <f>U128*(100/AA128)</f>
        <v>62.02</v>
      </c>
      <c r="AC128" s="152">
        <f>V128*(100/AA128)</f>
        <v>4.1900000000000004</v>
      </c>
      <c r="AD128" s="152">
        <f>W128*(100/AA128)</f>
        <v>0.32</v>
      </c>
      <c r="AE128" s="152">
        <f>X128*(100/AA128)</f>
        <v>7.0000000000000007E-2</v>
      </c>
      <c r="AF128" s="152">
        <f>Y128*(100/AA128)</f>
        <v>33.4</v>
      </c>
      <c r="AG128" s="155"/>
      <c r="AH128"/>
      <c r="AI128"/>
      <c r="AJ128" s="3"/>
      <c r="AK128"/>
      <c r="AL128"/>
      <c r="AM128" s="3"/>
      <c r="AN128" s="157">
        <v>31</v>
      </c>
    </row>
    <row r="129" spans="1:40" s="152" customFormat="1">
      <c r="A129" s="152">
        <f t="shared" si="48"/>
        <v>128</v>
      </c>
      <c r="B129" s="153" t="s">
        <v>1028</v>
      </c>
      <c r="C129" s="152">
        <v>5</v>
      </c>
      <c r="D129" s="152" t="s">
        <v>1050</v>
      </c>
      <c r="E129" s="152" t="s">
        <v>1052</v>
      </c>
      <c r="G129" s="153"/>
      <c r="J129" s="153" t="s">
        <v>1049</v>
      </c>
      <c r="K129" s="153">
        <v>0</v>
      </c>
      <c r="L129" s="152">
        <v>90.44</v>
      </c>
      <c r="M129" s="152">
        <v>9.4700000000000006</v>
      </c>
      <c r="N129" s="152">
        <v>0.09</v>
      </c>
      <c r="O129" s="154">
        <f>SUM(K129:N129)</f>
        <v>100</v>
      </c>
      <c r="P129" s="152">
        <v>0</v>
      </c>
      <c r="Q129" s="152">
        <f>L129*(100/O129)</f>
        <v>90.44</v>
      </c>
      <c r="R129" s="152">
        <f>M129*(100/O129)</f>
        <v>9.4700000000000006</v>
      </c>
      <c r="S129" s="152">
        <f>N129*(100/O129)</f>
        <v>0.09</v>
      </c>
      <c r="T129" s="154" t="s">
        <v>215</v>
      </c>
      <c r="U129" s="152">
        <v>62.93</v>
      </c>
      <c r="V129" s="152">
        <v>4.26</v>
      </c>
      <c r="W129" s="152">
        <v>0.04</v>
      </c>
      <c r="X129" s="152">
        <v>0.13</v>
      </c>
      <c r="Y129" s="152">
        <v>32.64</v>
      </c>
      <c r="AA129" s="154">
        <f>Z129+Y129+X129+W129+V129+U129</f>
        <v>100</v>
      </c>
      <c r="AB129" s="152">
        <f>U129*(100/AA129)</f>
        <v>62.93</v>
      </c>
      <c r="AC129" s="152">
        <f>V129*(100/AA129)</f>
        <v>4.26</v>
      </c>
      <c r="AD129" s="152">
        <f>W129*(100/AA129)</f>
        <v>0.04</v>
      </c>
      <c r="AE129" s="152">
        <f>X129*(100/AA129)</f>
        <v>0.13</v>
      </c>
      <c r="AF129" s="152">
        <f>Y129*(100/AA129)</f>
        <v>32.64</v>
      </c>
      <c r="AG129" s="155"/>
      <c r="AH129"/>
      <c r="AI129">
        <v>23.09</v>
      </c>
      <c r="AJ129" s="3"/>
      <c r="AK129">
        <f>AL129*(Q129+R129+S129)/(Q129+R129)</f>
        <v>23.110799719747774</v>
      </c>
      <c r="AL129">
        <v>23.09</v>
      </c>
      <c r="AM129">
        <f>AL129*(Q129+R129+S129)/(P129+Q129+R129+S129)</f>
        <v>23.09</v>
      </c>
      <c r="AN129" s="157">
        <v>31</v>
      </c>
    </row>
    <row r="130" spans="1:40" s="152" customFormat="1">
      <c r="A130" s="152">
        <f t="shared" si="48"/>
        <v>129</v>
      </c>
      <c r="B130" s="153" t="s">
        <v>1028</v>
      </c>
      <c r="C130" s="152">
        <v>5</v>
      </c>
      <c r="D130" s="152" t="s">
        <v>1050</v>
      </c>
      <c r="E130" s="152" t="s">
        <v>1052</v>
      </c>
      <c r="G130" s="153"/>
      <c r="J130" s="153" t="s">
        <v>1049</v>
      </c>
      <c r="K130" s="153">
        <v>0</v>
      </c>
      <c r="L130" s="152">
        <v>94.09</v>
      </c>
      <c r="M130" s="152">
        <v>5.6</v>
      </c>
      <c r="N130" s="152">
        <v>0.31</v>
      </c>
      <c r="O130" s="154">
        <f>SUM(K130:N130)</f>
        <v>100</v>
      </c>
      <c r="P130" s="152">
        <v>0</v>
      </c>
      <c r="Q130" s="152">
        <f>L130*(100/O130)</f>
        <v>94.09</v>
      </c>
      <c r="R130" s="152">
        <f>M130*(100/O130)</f>
        <v>5.6</v>
      </c>
      <c r="S130" s="152">
        <f>N130*(100/O130)</f>
        <v>0.31</v>
      </c>
      <c r="T130" s="154" t="s">
        <v>215</v>
      </c>
      <c r="U130" s="152">
        <v>62.26</v>
      </c>
      <c r="V130" s="152">
        <v>4.0599999999999996</v>
      </c>
      <c r="W130" s="152">
        <v>0</v>
      </c>
      <c r="X130" s="152">
        <v>0</v>
      </c>
      <c r="Y130" s="152">
        <v>33.69</v>
      </c>
      <c r="AA130" s="154">
        <f>Z130+Y130+X130+W130+V130+U130</f>
        <v>100.00999999999999</v>
      </c>
      <c r="AB130" s="152">
        <f>U130*(100/AA130)</f>
        <v>62.253774622537748</v>
      </c>
      <c r="AC130" s="152">
        <f>V130*(100/AA130)</f>
        <v>4.0595940405959405</v>
      </c>
      <c r="AD130" s="152">
        <f>W130*(100/AA130)</f>
        <v>0</v>
      </c>
      <c r="AE130" s="152">
        <f>X130*(100/AA130)</f>
        <v>0</v>
      </c>
      <c r="AF130" s="152">
        <f>Y130*(100/AA130)</f>
        <v>33.686631336866313</v>
      </c>
      <c r="AG130" s="155"/>
      <c r="AH130"/>
      <c r="AI130"/>
      <c r="AJ130" s="3"/>
      <c r="AK130"/>
      <c r="AL130"/>
      <c r="AM130" s="3"/>
      <c r="AN130" s="157">
        <v>31</v>
      </c>
    </row>
    <row r="131" spans="1:40" s="152" customFormat="1">
      <c r="A131" s="152">
        <f t="shared" si="48"/>
        <v>130</v>
      </c>
      <c r="B131" s="153" t="s">
        <v>1028</v>
      </c>
      <c r="C131" s="152">
        <v>5</v>
      </c>
      <c r="D131" s="152" t="s">
        <v>1050</v>
      </c>
      <c r="E131" s="152" t="s">
        <v>1052</v>
      </c>
      <c r="G131" s="153"/>
      <c r="J131" s="153" t="s">
        <v>1049</v>
      </c>
      <c r="K131" s="153">
        <v>0</v>
      </c>
      <c r="L131" s="152">
        <v>90.44</v>
      </c>
      <c r="M131" s="152">
        <v>9.4700000000000006</v>
      </c>
      <c r="N131" s="152">
        <v>0.09</v>
      </c>
      <c r="O131" s="154">
        <f>SUM(K131:N131)</f>
        <v>100</v>
      </c>
      <c r="P131" s="152">
        <v>0</v>
      </c>
      <c r="Q131" s="152">
        <v>90.44</v>
      </c>
      <c r="R131" s="152">
        <v>9.4700000000000006</v>
      </c>
      <c r="S131" s="152">
        <v>0.09</v>
      </c>
      <c r="T131" s="154" t="s">
        <v>215</v>
      </c>
      <c r="U131" s="152">
        <v>63.01</v>
      </c>
      <c r="V131" s="152">
        <v>4.2699999999999996</v>
      </c>
      <c r="W131" s="152">
        <v>0.04</v>
      </c>
      <c r="X131" s="152">
        <v>0</v>
      </c>
      <c r="Y131" s="152">
        <v>32.69</v>
      </c>
      <c r="AA131" s="154">
        <f>Z131+Y131+X131+W131+V131+U131</f>
        <v>100.00999999999999</v>
      </c>
      <c r="AB131" s="152">
        <f>U131*(100/AA131)</f>
        <v>63.003699630036998</v>
      </c>
      <c r="AC131" s="152">
        <f>V131*(100/AA131)</f>
        <v>4.2695730426957308</v>
      </c>
      <c r="AD131" s="152">
        <f>W131*(100/AA131)</f>
        <v>3.9996000399960006E-2</v>
      </c>
      <c r="AE131" s="152">
        <f>X131*(100/AA131)</f>
        <v>0</v>
      </c>
      <c r="AF131" s="152">
        <f>Y131*(100/AA131)</f>
        <v>32.686731326867317</v>
      </c>
      <c r="AG131" s="155"/>
      <c r="AH131"/>
      <c r="AI131">
        <v>23.09</v>
      </c>
      <c r="AJ131" s="3"/>
      <c r="AK131">
        <f>AL131*(Q131+R131+S131)/(Q131+R131)</f>
        <v>23.110799719747774</v>
      </c>
      <c r="AL131">
        <v>23.09</v>
      </c>
      <c r="AM131">
        <f>AL131*(Q131+R131+S131)/(P131+Q131+R131+S131)</f>
        <v>23.09</v>
      </c>
      <c r="AN131" s="157">
        <v>42</v>
      </c>
    </row>
    <row r="132" spans="1:40">
      <c r="A132">
        <f t="shared" si="48"/>
        <v>131</v>
      </c>
      <c r="B132" s="153" t="s">
        <v>1028</v>
      </c>
      <c r="C132" s="152">
        <v>5</v>
      </c>
      <c r="D132" s="152" t="s">
        <v>1050</v>
      </c>
      <c r="E132" t="s">
        <v>1051</v>
      </c>
      <c r="F132" t="s">
        <v>1176</v>
      </c>
      <c r="G132" s="8">
        <v>1.375</v>
      </c>
      <c r="H132">
        <v>0.15</v>
      </c>
      <c r="I132">
        <v>1.1719999999999999</v>
      </c>
      <c r="AN132" s="181">
        <v>130</v>
      </c>
    </row>
    <row r="133" spans="1:40" s="152" customFormat="1">
      <c r="A133" s="152">
        <f t="shared" si="48"/>
        <v>132</v>
      </c>
      <c r="B133" s="153" t="s">
        <v>1028</v>
      </c>
      <c r="C133" s="152">
        <v>5</v>
      </c>
      <c r="D133" s="152" t="s">
        <v>1050</v>
      </c>
      <c r="E133" t="s">
        <v>1051</v>
      </c>
      <c r="G133" s="153"/>
      <c r="J133" s="153" t="s">
        <v>221</v>
      </c>
      <c r="K133" s="153">
        <v>0</v>
      </c>
      <c r="L133" s="152">
        <v>85</v>
      </c>
      <c r="M133" s="152">
        <v>10.6</v>
      </c>
      <c r="N133" s="152">
        <v>4.4000000000000004</v>
      </c>
      <c r="O133" s="154">
        <f t="shared" si="92"/>
        <v>100</v>
      </c>
      <c r="P133" s="152">
        <v>0</v>
      </c>
      <c r="Q133" s="152">
        <v>85</v>
      </c>
      <c r="R133" s="152">
        <v>10.6</v>
      </c>
      <c r="S133" s="152">
        <v>4.4000000000000004</v>
      </c>
      <c r="T133" s="154" t="s">
        <v>215</v>
      </c>
      <c r="U133" s="152">
        <v>66.2</v>
      </c>
      <c r="V133" s="152">
        <v>4.9000000000000004</v>
      </c>
      <c r="W133" s="152">
        <v>0</v>
      </c>
      <c r="X133" s="152">
        <v>0</v>
      </c>
      <c r="Y133" s="152">
        <v>28.9</v>
      </c>
      <c r="AA133" s="154">
        <f>Z133+Y133+X133+W133+V133+U133</f>
        <v>100</v>
      </c>
      <c r="AB133" s="152">
        <v>66.2</v>
      </c>
      <c r="AC133" s="152">
        <v>4.9000000000000004</v>
      </c>
      <c r="AD133" s="152">
        <v>0</v>
      </c>
      <c r="AE133" s="152">
        <v>0</v>
      </c>
      <c r="AF133" s="152">
        <v>28.9</v>
      </c>
      <c r="AG133" s="155"/>
      <c r="AH133"/>
      <c r="AI133"/>
      <c r="AJ133" s="3"/>
      <c r="AK133"/>
      <c r="AL133"/>
      <c r="AM133" s="3"/>
      <c r="AN133" s="157">
        <v>11</v>
      </c>
    </row>
    <row r="134" spans="1:40" s="152" customFormat="1">
      <c r="A134" s="152">
        <f t="shared" si="48"/>
        <v>133</v>
      </c>
      <c r="B134" s="153" t="s">
        <v>1028</v>
      </c>
      <c r="C134" s="152">
        <v>5</v>
      </c>
      <c r="D134" s="152" t="s">
        <v>1050</v>
      </c>
      <c r="E134" s="152" t="s">
        <v>1051</v>
      </c>
      <c r="G134" s="153"/>
      <c r="J134" s="153" t="s">
        <v>1036</v>
      </c>
      <c r="K134" s="153">
        <v>0.03</v>
      </c>
      <c r="L134" s="152">
        <v>99.53</v>
      </c>
      <c r="M134" s="152">
        <v>0</v>
      </c>
      <c r="N134" s="152">
        <v>0.44</v>
      </c>
      <c r="O134" s="154">
        <f t="shared" si="92"/>
        <v>100</v>
      </c>
      <c r="P134" s="152">
        <v>0.03</v>
      </c>
      <c r="Q134" s="152">
        <v>99.53</v>
      </c>
      <c r="R134" s="152">
        <v>0</v>
      </c>
      <c r="S134" s="152">
        <v>0.44</v>
      </c>
      <c r="T134" s="154"/>
      <c r="AA134" s="154"/>
      <c r="AG134" s="155"/>
      <c r="AH134">
        <v>45.734999999999999</v>
      </c>
      <c r="AI134"/>
      <c r="AJ134" s="3"/>
      <c r="AK134">
        <v>45.734999999999999</v>
      </c>
      <c r="AL134">
        <f>AK134*(Q134+R134)/(Q134+R134+S134)</f>
        <v>45.533705611683502</v>
      </c>
      <c r="AM134">
        <f>AL134*(Q134+R134+S134)/(P134+Q134+R134+S134)</f>
        <v>45.520045499999995</v>
      </c>
      <c r="AN134" s="156">
        <v>64</v>
      </c>
    </row>
    <row r="135" spans="1:40" s="152" customFormat="1">
      <c r="A135" s="152">
        <f t="shared" ref="A135:A198" si="93">A134+1</f>
        <v>134</v>
      </c>
      <c r="B135" s="153" t="s">
        <v>1028</v>
      </c>
      <c r="C135" s="152">
        <v>5</v>
      </c>
      <c r="D135" s="152" t="s">
        <v>1050</v>
      </c>
      <c r="E135" s="152" t="s">
        <v>1052</v>
      </c>
      <c r="G135" s="153">
        <v>1.3525</v>
      </c>
      <c r="I135" s="152">
        <v>1.1833</v>
      </c>
      <c r="J135" s="153"/>
      <c r="K135" s="153"/>
      <c r="O135" s="154"/>
      <c r="T135" s="154"/>
      <c r="AA135" s="154"/>
      <c r="AG135" s="155"/>
      <c r="AH135"/>
      <c r="AI135"/>
      <c r="AJ135" s="3"/>
      <c r="AK135"/>
      <c r="AL135"/>
      <c r="AM135" s="3"/>
      <c r="AN135" s="156">
        <v>100</v>
      </c>
    </row>
    <row r="136" spans="1:40" s="152" customFormat="1">
      <c r="A136" s="152">
        <f t="shared" si="93"/>
        <v>135</v>
      </c>
      <c r="B136" s="153" t="s">
        <v>1028</v>
      </c>
      <c r="C136" s="152">
        <v>5</v>
      </c>
      <c r="D136" s="152" t="s">
        <v>1050</v>
      </c>
      <c r="E136" s="152" t="s">
        <v>1051</v>
      </c>
      <c r="G136" s="153"/>
      <c r="J136" s="37" t="s">
        <v>453</v>
      </c>
      <c r="K136" s="153">
        <v>0.4</v>
      </c>
      <c r="L136" s="152">
        <v>85.4</v>
      </c>
      <c r="M136" s="152">
        <v>13.7</v>
      </c>
      <c r="N136" s="152">
        <v>0.9</v>
      </c>
      <c r="O136" s="154">
        <f t="shared" si="92"/>
        <v>100.40000000000002</v>
      </c>
      <c r="P136" s="152">
        <v>0.4</v>
      </c>
      <c r="Q136" s="30">
        <f>(100-$P$136)*L136/100</f>
        <v>85.058400000000006</v>
      </c>
      <c r="R136" s="30">
        <f t="shared" ref="R136:S136" si="94">(100-$P$136)*M136/100</f>
        <v>13.645199999999997</v>
      </c>
      <c r="S136" s="30">
        <f t="shared" si="94"/>
        <v>0.89639999999999997</v>
      </c>
      <c r="T136" s="154" t="s">
        <v>1036</v>
      </c>
      <c r="U136" s="152">
        <v>62</v>
      </c>
      <c r="V136" s="152">
        <v>5.36</v>
      </c>
      <c r="W136" s="152">
        <v>0.03</v>
      </c>
      <c r="X136" s="152">
        <v>0.01</v>
      </c>
      <c r="Y136" s="152">
        <f>100-SUM(U136:X136)</f>
        <v>32.599999999999994</v>
      </c>
      <c r="AA136" s="154">
        <f>Z136+Y136+X136+W136+V136+U136</f>
        <v>100</v>
      </c>
      <c r="AB136" s="152">
        <v>62</v>
      </c>
      <c r="AC136" s="152">
        <v>5.36</v>
      </c>
      <c r="AD136" s="152">
        <v>0.03</v>
      </c>
      <c r="AE136" s="152">
        <v>0.01</v>
      </c>
      <c r="AF136" s="152">
        <v>32.599999999999994</v>
      </c>
      <c r="AG136" s="155"/>
      <c r="AH136"/>
      <c r="AI136"/>
      <c r="AJ136" s="3">
        <v>24.04</v>
      </c>
      <c r="AK136">
        <f>AL136*(Q136+R136+S136)/(Q136+R136)</f>
        <v>24.355747915982803</v>
      </c>
      <c r="AL136">
        <f>AM136*(P136+Q136+R136+S136)/(Q136+R136+S136)</f>
        <v>24.136546184738958</v>
      </c>
      <c r="AM136" s="3">
        <v>24.04</v>
      </c>
      <c r="AN136" s="158">
        <v>60</v>
      </c>
    </row>
    <row r="137" spans="1:40" s="152" customFormat="1">
      <c r="A137" s="152">
        <f t="shared" si="93"/>
        <v>136</v>
      </c>
      <c r="B137" s="153" t="s">
        <v>1028</v>
      </c>
      <c r="C137" s="152">
        <v>5</v>
      </c>
      <c r="D137" s="152" t="s">
        <v>1050</v>
      </c>
      <c r="E137" s="152" t="s">
        <v>1051</v>
      </c>
      <c r="G137" s="153"/>
      <c r="J137" s="153" t="s">
        <v>1037</v>
      </c>
      <c r="K137" s="153">
        <v>0.06</v>
      </c>
      <c r="L137" s="152">
        <v>85.64</v>
      </c>
      <c r="M137" s="152">
        <v>13.1</v>
      </c>
      <c r="N137" s="152">
        <v>1.2</v>
      </c>
      <c r="O137" s="154">
        <f t="shared" si="92"/>
        <v>100</v>
      </c>
      <c r="P137" s="152">
        <f>K137*(100/O137)</f>
        <v>0.06</v>
      </c>
      <c r="Q137" s="152">
        <f t="shared" si="89"/>
        <v>85.64</v>
      </c>
      <c r="R137" s="152">
        <f t="shared" si="90"/>
        <v>13.1</v>
      </c>
      <c r="S137" s="152">
        <f t="shared" si="91"/>
        <v>1.2</v>
      </c>
      <c r="T137" s="154" t="s">
        <v>1031</v>
      </c>
      <c r="U137" s="152">
        <v>63.04</v>
      </c>
      <c r="V137" s="152">
        <v>4.34</v>
      </c>
      <c r="W137" s="152">
        <v>0.03</v>
      </c>
      <c r="X137" s="152">
        <v>0.18</v>
      </c>
      <c r="Y137" s="152">
        <v>32.590000000000003</v>
      </c>
      <c r="AA137" s="154">
        <f>Z137+Y137+X137+W137+V137+U137</f>
        <v>100.18</v>
      </c>
      <c r="AB137" s="152">
        <f>U137*(100/AA137)</f>
        <v>62.926731882611293</v>
      </c>
      <c r="AC137" s="152">
        <f>V137*(100/AA137)</f>
        <v>4.3322020363345972</v>
      </c>
      <c r="AD137" s="152">
        <f>W137*(100/AA137)</f>
        <v>2.9946097025354359E-2</v>
      </c>
      <c r="AE137" s="152">
        <f>X137*(100/AA137)</f>
        <v>0.17967658215212615</v>
      </c>
      <c r="AF137" s="152">
        <f>Y137*(100/AA137)</f>
        <v>32.531443401876622</v>
      </c>
      <c r="AG137" s="155"/>
      <c r="AH137"/>
      <c r="AI137"/>
      <c r="AJ137" s="3"/>
      <c r="AK137"/>
      <c r="AL137"/>
      <c r="AM137" s="3"/>
      <c r="AN137" s="158">
        <v>65</v>
      </c>
    </row>
    <row r="138" spans="1:40" s="152" customFormat="1">
      <c r="A138" s="152">
        <f t="shared" si="93"/>
        <v>137</v>
      </c>
      <c r="B138" s="153" t="s">
        <v>1028</v>
      </c>
      <c r="C138" s="152">
        <v>5</v>
      </c>
      <c r="D138" s="152" t="s">
        <v>1050</v>
      </c>
      <c r="E138" s="152" t="s">
        <v>1051</v>
      </c>
      <c r="G138" s="153"/>
      <c r="J138" s="153" t="s">
        <v>1036</v>
      </c>
      <c r="K138" s="153">
        <v>0</v>
      </c>
      <c r="L138" s="152">
        <v>98.7</v>
      </c>
      <c r="M138" s="152">
        <v>0</v>
      </c>
      <c r="N138" s="152">
        <v>1.3</v>
      </c>
      <c r="O138" s="154">
        <f t="shared" si="92"/>
        <v>100</v>
      </c>
      <c r="P138" s="152">
        <v>0</v>
      </c>
      <c r="Q138" s="152">
        <f t="shared" si="89"/>
        <v>98.7</v>
      </c>
      <c r="R138" s="152">
        <f t="shared" si="90"/>
        <v>0</v>
      </c>
      <c r="S138" s="152">
        <f t="shared" si="91"/>
        <v>1.3</v>
      </c>
      <c r="T138" s="154"/>
      <c r="AA138" s="154"/>
      <c r="AG138" s="155"/>
      <c r="AH138"/>
      <c r="AI138"/>
      <c r="AJ138" s="3"/>
      <c r="AK138"/>
      <c r="AL138"/>
      <c r="AM138" s="3"/>
      <c r="AN138" s="156">
        <v>68</v>
      </c>
    </row>
    <row r="139" spans="1:40" s="152" customFormat="1">
      <c r="A139" s="152">
        <f t="shared" si="93"/>
        <v>138</v>
      </c>
      <c r="B139" s="153" t="s">
        <v>1028</v>
      </c>
      <c r="C139" s="152">
        <v>5</v>
      </c>
      <c r="D139" s="152" t="s">
        <v>1050</v>
      </c>
      <c r="E139" s="152" t="s">
        <v>1051</v>
      </c>
      <c r="G139" s="153"/>
      <c r="J139" s="153" t="s">
        <v>1036</v>
      </c>
      <c r="K139" s="153">
        <v>0.46</v>
      </c>
      <c r="L139" s="152">
        <v>83.92</v>
      </c>
      <c r="M139" s="152">
        <v>13.78</v>
      </c>
      <c r="N139" s="152">
        <v>1.84</v>
      </c>
      <c r="O139" s="154">
        <f t="shared" si="92"/>
        <v>100</v>
      </c>
      <c r="P139" s="152">
        <v>0.46</v>
      </c>
      <c r="Q139" s="152">
        <f t="shared" si="89"/>
        <v>83.92</v>
      </c>
      <c r="R139" s="152">
        <f t="shared" si="90"/>
        <v>13.78</v>
      </c>
      <c r="S139" s="152">
        <f t="shared" si="91"/>
        <v>1.84</v>
      </c>
      <c r="T139" s="154" t="s">
        <v>1031</v>
      </c>
      <c r="U139" s="152">
        <v>62.48</v>
      </c>
      <c r="V139" s="152">
        <v>4.8</v>
      </c>
      <c r="W139" s="152">
        <v>0.32</v>
      </c>
      <c r="X139" s="152">
        <v>0</v>
      </c>
      <c r="Y139" s="152">
        <v>32.4</v>
      </c>
      <c r="AA139" s="154">
        <f>Z139+Y139+X139+W139+V139+U139</f>
        <v>100</v>
      </c>
      <c r="AB139" s="152">
        <f>U139*(100/AA139)</f>
        <v>62.48</v>
      </c>
      <c r="AC139" s="152">
        <f>V139*(100/AA139)</f>
        <v>4.8</v>
      </c>
      <c r="AD139" s="152">
        <f>W139*(100/AA139)</f>
        <v>0.32</v>
      </c>
      <c r="AE139" s="152">
        <f>X139*(100/AA139)</f>
        <v>0</v>
      </c>
      <c r="AF139" s="152">
        <f>Y139*(100/AA139)</f>
        <v>32.4</v>
      </c>
      <c r="AG139" s="155"/>
      <c r="AH139"/>
      <c r="AI139"/>
      <c r="AJ139" s="3">
        <v>23.97</v>
      </c>
      <c r="AK139">
        <f>AL139*(Q139+R139+S139)/(Q139+R139)</f>
        <v>24.534288638689866</v>
      </c>
      <c r="AL139">
        <f>AM139*(P139+Q139+R139+S139)/(Q139+R139+S139)</f>
        <v>24.080771549125977</v>
      </c>
      <c r="AM139" s="3">
        <v>23.97</v>
      </c>
      <c r="AN139" s="158">
        <v>114</v>
      </c>
    </row>
    <row r="140" spans="1:40" s="152" customFormat="1">
      <c r="A140" s="152">
        <f t="shared" si="93"/>
        <v>139</v>
      </c>
      <c r="B140" s="153" t="s">
        <v>1028</v>
      </c>
      <c r="C140" s="152">
        <v>5</v>
      </c>
      <c r="D140" s="152" t="s">
        <v>1050</v>
      </c>
      <c r="E140" s="152" t="s">
        <v>1051</v>
      </c>
      <c r="G140" s="153"/>
      <c r="J140" s="153" t="s">
        <v>1032</v>
      </c>
      <c r="K140" s="153">
        <v>0.27</v>
      </c>
      <c r="L140" s="152">
        <v>79.92</v>
      </c>
      <c r="M140" s="152">
        <v>17.89</v>
      </c>
      <c r="N140" s="152">
        <v>1.92</v>
      </c>
      <c r="O140" s="154">
        <f t="shared" si="92"/>
        <v>100</v>
      </c>
      <c r="P140" s="152">
        <v>0.27</v>
      </c>
      <c r="Q140" s="152">
        <f t="shared" si="89"/>
        <v>79.92</v>
      </c>
      <c r="R140" s="152">
        <f t="shared" si="90"/>
        <v>17.89</v>
      </c>
      <c r="S140" s="152">
        <f t="shared" si="91"/>
        <v>1.92</v>
      </c>
      <c r="T140" s="154" t="s">
        <v>1033</v>
      </c>
      <c r="U140" s="152">
        <v>62.317999999999998</v>
      </c>
      <c r="V140" s="152">
        <v>4.2210000000000001</v>
      </c>
      <c r="W140" s="152">
        <v>0</v>
      </c>
      <c r="X140" s="152">
        <v>0</v>
      </c>
      <c r="Y140" s="152">
        <v>33.46</v>
      </c>
      <c r="AA140" s="154">
        <f>Z140+Y140+X140+W140+V140+U140</f>
        <v>99.998999999999995</v>
      </c>
      <c r="AB140" s="152">
        <f>U140*(100/AA140)</f>
        <v>62.318623186231861</v>
      </c>
      <c r="AC140" s="152">
        <f>V140*(100/AA140)</f>
        <v>4.2210422104221044</v>
      </c>
      <c r="AD140" s="152">
        <f>W140*(100/AA140)</f>
        <v>0</v>
      </c>
      <c r="AE140" s="152">
        <f>X140*(100/AA140)</f>
        <v>0</v>
      </c>
      <c r="AF140" s="152">
        <f>Y140*(100/AA140)</f>
        <v>33.460334603346034</v>
      </c>
      <c r="AG140" s="155"/>
      <c r="AH140"/>
      <c r="AI140"/>
      <c r="AJ140" s="3"/>
      <c r="AK140"/>
      <c r="AL140"/>
      <c r="AM140" s="3"/>
      <c r="AN140" s="156">
        <v>89</v>
      </c>
    </row>
    <row r="141" spans="1:40" s="152" customFormat="1">
      <c r="A141" s="152">
        <f t="shared" si="93"/>
        <v>140</v>
      </c>
      <c r="B141" s="153" t="s">
        <v>1028</v>
      </c>
      <c r="C141" s="152">
        <v>5</v>
      </c>
      <c r="D141" s="152" t="s">
        <v>1050</v>
      </c>
      <c r="E141" s="152" t="s">
        <v>1051</v>
      </c>
      <c r="G141" s="153"/>
      <c r="J141" s="153" t="s">
        <v>1036</v>
      </c>
      <c r="K141" s="153">
        <v>0</v>
      </c>
      <c r="L141" s="152">
        <v>88.54</v>
      </c>
      <c r="M141" s="152">
        <v>9.3699999999999992</v>
      </c>
      <c r="N141" s="152">
        <v>2.09</v>
      </c>
      <c r="O141" s="154">
        <f t="shared" si="92"/>
        <v>100.00000000000001</v>
      </c>
      <c r="P141" s="152">
        <v>0</v>
      </c>
      <c r="Q141" s="152">
        <f t="shared" si="89"/>
        <v>88.539999999999992</v>
      </c>
      <c r="R141" s="152">
        <f t="shared" si="90"/>
        <v>9.3699999999999974</v>
      </c>
      <c r="S141" s="152">
        <f t="shared" si="91"/>
        <v>2.0899999999999994</v>
      </c>
      <c r="T141" s="154" t="s">
        <v>1049</v>
      </c>
      <c r="U141" s="152">
        <v>61.87</v>
      </c>
      <c r="V141" s="152">
        <v>4.3499999999999996</v>
      </c>
      <c r="W141" s="152">
        <v>0</v>
      </c>
      <c r="X141" s="152">
        <v>0</v>
      </c>
      <c r="Y141" s="152">
        <v>33.78</v>
      </c>
      <c r="AA141" s="154">
        <f>Z141+Y141+X141+W141+V141+U141</f>
        <v>100</v>
      </c>
      <c r="AB141" s="152">
        <f>U141*(100/AA141)</f>
        <v>61.87</v>
      </c>
      <c r="AC141" s="152">
        <f>V141*(100/AA141)</f>
        <v>4.3499999999999996</v>
      </c>
      <c r="AD141" s="152">
        <f>W141*(100/AA141)</f>
        <v>0</v>
      </c>
      <c r="AE141" s="152">
        <f>X141*(100/AA141)</f>
        <v>0</v>
      </c>
      <c r="AF141" s="152">
        <f>Y141*(100/AA141)</f>
        <v>33.78</v>
      </c>
      <c r="AG141" s="155"/>
      <c r="AH141"/>
      <c r="AI141"/>
      <c r="AJ141" s="3"/>
      <c r="AK141"/>
      <c r="AL141"/>
      <c r="AM141" s="3"/>
      <c r="AN141" s="156">
        <v>58</v>
      </c>
    </row>
    <row r="142" spans="1:40" s="152" customFormat="1">
      <c r="A142" s="152">
        <f t="shared" si="93"/>
        <v>141</v>
      </c>
      <c r="B142" s="153" t="s">
        <v>1028</v>
      </c>
      <c r="C142" s="152">
        <v>5</v>
      </c>
      <c r="D142" s="152" t="s">
        <v>1050</v>
      </c>
      <c r="E142" s="152" t="s">
        <v>1052</v>
      </c>
      <c r="G142" s="153"/>
      <c r="H142" s="152">
        <v>0.27500000000000002</v>
      </c>
      <c r="I142" s="152">
        <v>1.2749999999999999</v>
      </c>
      <c r="J142" s="153"/>
      <c r="K142" s="153"/>
      <c r="O142" s="154"/>
      <c r="T142" s="154"/>
      <c r="AA142" s="154"/>
      <c r="AG142" s="155"/>
      <c r="AH142"/>
      <c r="AI142"/>
      <c r="AJ142" s="3"/>
      <c r="AK142"/>
      <c r="AL142"/>
      <c r="AM142" s="3"/>
      <c r="AN142" s="158">
        <v>74</v>
      </c>
    </row>
    <row r="143" spans="1:40" s="152" customFormat="1">
      <c r="A143" s="152">
        <f t="shared" si="93"/>
        <v>142</v>
      </c>
      <c r="B143" s="153" t="s">
        <v>1028</v>
      </c>
      <c r="C143" s="152">
        <v>5</v>
      </c>
      <c r="D143" s="152" t="s">
        <v>1050</v>
      </c>
      <c r="E143" s="152" t="s">
        <v>1052</v>
      </c>
      <c r="F143" s="152" t="s">
        <v>1207</v>
      </c>
      <c r="G143" s="153">
        <v>1.03</v>
      </c>
      <c r="J143" s="153"/>
      <c r="K143" s="153"/>
      <c r="O143" s="154"/>
      <c r="T143" s="154"/>
      <c r="AA143" s="154"/>
      <c r="AG143" s="155"/>
      <c r="AH143"/>
      <c r="AI143"/>
      <c r="AJ143" s="3"/>
      <c r="AK143"/>
      <c r="AL143"/>
      <c r="AM143" s="3"/>
      <c r="AN143" s="156">
        <v>95</v>
      </c>
    </row>
    <row r="144" spans="1:40" s="152" customFormat="1">
      <c r="A144" s="152">
        <f t="shared" si="93"/>
        <v>143</v>
      </c>
      <c r="B144" s="153" t="s">
        <v>1028</v>
      </c>
      <c r="C144" s="152">
        <v>5</v>
      </c>
      <c r="D144" s="152" t="s">
        <v>1050</v>
      </c>
      <c r="E144" s="152" t="s">
        <v>1051</v>
      </c>
      <c r="G144" s="153">
        <v>1.3859999999999999</v>
      </c>
      <c r="J144" s="153"/>
      <c r="K144" s="153"/>
      <c r="O144" s="154"/>
      <c r="T144" s="154"/>
      <c r="AA144" s="154"/>
      <c r="AG144" s="155"/>
      <c r="AH144"/>
      <c r="AI144"/>
      <c r="AJ144" s="3"/>
      <c r="AK144"/>
      <c r="AL144"/>
      <c r="AM144" s="3"/>
      <c r="AN144" s="158">
        <v>106</v>
      </c>
    </row>
    <row r="145" spans="1:40">
      <c r="A145">
        <f t="shared" si="93"/>
        <v>144</v>
      </c>
      <c r="B145" s="153" t="s">
        <v>1028</v>
      </c>
      <c r="C145" s="152">
        <v>5</v>
      </c>
      <c r="D145" s="152" t="s">
        <v>1050</v>
      </c>
      <c r="E145" s="152" t="s">
        <v>1051</v>
      </c>
      <c r="F145" t="s">
        <v>1188</v>
      </c>
      <c r="H145">
        <v>0.2</v>
      </c>
      <c r="AN145" s="181">
        <v>132</v>
      </c>
    </row>
    <row r="146" spans="1:40">
      <c r="A146">
        <f t="shared" si="93"/>
        <v>145</v>
      </c>
      <c r="B146" s="153" t="s">
        <v>1028</v>
      </c>
      <c r="C146" s="152">
        <v>5</v>
      </c>
      <c r="D146" s="152" t="s">
        <v>1050</v>
      </c>
      <c r="E146" s="152" t="s">
        <v>1051</v>
      </c>
      <c r="F146" s="152" t="s">
        <v>1207</v>
      </c>
      <c r="H146">
        <v>0.27500000000000002</v>
      </c>
      <c r="I146">
        <v>1.2749999999999999</v>
      </c>
      <c r="AN146" s="183">
        <v>98</v>
      </c>
    </row>
    <row r="147" spans="1:40" s="161" customFormat="1">
      <c r="A147" s="161">
        <f t="shared" si="93"/>
        <v>146</v>
      </c>
      <c r="B147" s="162" t="s">
        <v>1028</v>
      </c>
      <c r="C147" s="161">
        <v>6</v>
      </c>
      <c r="D147" s="161" t="s">
        <v>1053</v>
      </c>
      <c r="E147" s="161" t="s">
        <v>1054</v>
      </c>
      <c r="G147" s="162"/>
      <c r="J147" s="162"/>
      <c r="K147" s="162"/>
      <c r="O147" s="163"/>
      <c r="T147" s="163" t="s">
        <v>1033</v>
      </c>
      <c r="U147" s="161">
        <v>85.19</v>
      </c>
      <c r="V147" s="161">
        <v>14.81</v>
      </c>
      <c r="W147" s="161">
        <v>0</v>
      </c>
      <c r="X147" s="161">
        <v>0</v>
      </c>
      <c r="Y147" s="161">
        <v>0</v>
      </c>
      <c r="Z147" s="161">
        <v>0</v>
      </c>
      <c r="AA147" s="163">
        <f t="shared" ref="AA147:AA167" si="95">Z147+Y147+X147+W147+V147+U147</f>
        <v>100</v>
      </c>
      <c r="AB147" s="161">
        <v>85.19</v>
      </c>
      <c r="AC147" s="161">
        <v>14.81</v>
      </c>
      <c r="AD147" s="161">
        <v>0</v>
      </c>
      <c r="AE147" s="161">
        <v>0</v>
      </c>
      <c r="AF147" s="161">
        <v>0</v>
      </c>
      <c r="AG147" s="164">
        <v>0</v>
      </c>
      <c r="AH147" s="6"/>
      <c r="AI147" s="6"/>
      <c r="AJ147" s="7"/>
      <c r="AK147" s="6"/>
      <c r="AL147" s="6"/>
      <c r="AM147" s="7"/>
      <c r="AN147" s="175">
        <v>124</v>
      </c>
    </row>
    <row r="148" spans="1:40" s="152" customFormat="1">
      <c r="A148" s="152">
        <f t="shared" si="93"/>
        <v>147</v>
      </c>
      <c r="B148" s="153" t="s">
        <v>1028</v>
      </c>
      <c r="C148" s="152">
        <v>6</v>
      </c>
      <c r="D148" s="152" t="s">
        <v>1053</v>
      </c>
      <c r="E148" s="152" t="s">
        <v>1054</v>
      </c>
      <c r="G148" s="153"/>
      <c r="J148" s="153" t="s">
        <v>1033</v>
      </c>
      <c r="K148" s="153">
        <v>0.15</v>
      </c>
      <c r="L148" s="152">
        <v>95.08</v>
      </c>
      <c r="M148" s="152">
        <v>1.22</v>
      </c>
      <c r="N148" s="152">
        <v>3.55</v>
      </c>
      <c r="O148" s="154">
        <f t="shared" ref="O148" si="96">SUM(K148:N148)</f>
        <v>100</v>
      </c>
      <c r="P148" s="152">
        <f>K148*(100/$O$148)</f>
        <v>0.15</v>
      </c>
      <c r="Q148" s="152">
        <f>L148*(100/$O$148)</f>
        <v>95.08</v>
      </c>
      <c r="R148" s="152">
        <f t="shared" ref="R148:S148" si="97">M148*(100/$O$148)</f>
        <v>1.22</v>
      </c>
      <c r="S148" s="152">
        <f t="shared" si="97"/>
        <v>3.55</v>
      </c>
      <c r="T148" s="154" t="s">
        <v>1033</v>
      </c>
      <c r="U148" s="152">
        <v>80.3</v>
      </c>
      <c r="V148" s="152">
        <v>13.2</v>
      </c>
      <c r="W148" s="152">
        <v>0</v>
      </c>
      <c r="X148" s="152">
        <v>0</v>
      </c>
      <c r="Y148" s="152">
        <v>0</v>
      </c>
      <c r="Z148" s="152">
        <v>0.06</v>
      </c>
      <c r="AA148" s="154">
        <f t="shared" si="95"/>
        <v>93.56</v>
      </c>
      <c r="AB148" s="152">
        <f>U148*(100/$AA$148)</f>
        <v>85.82727661393757</v>
      </c>
      <c r="AC148" s="152">
        <f t="shared" ref="AC148:AG148" si="98">V148*(100/$AA$148)</f>
        <v>14.108593415989738</v>
      </c>
      <c r="AD148" s="152">
        <f t="shared" si="98"/>
        <v>0</v>
      </c>
      <c r="AE148" s="152">
        <f t="shared" si="98"/>
        <v>0</v>
      </c>
      <c r="AF148" s="152">
        <f t="shared" si="98"/>
        <v>0</v>
      </c>
      <c r="AG148" s="155">
        <f t="shared" si="98"/>
        <v>6.412997007268062E-2</v>
      </c>
      <c r="AH148"/>
      <c r="AI148"/>
      <c r="AJ148" s="3"/>
      <c r="AK148"/>
      <c r="AL148"/>
      <c r="AM148" s="3"/>
      <c r="AN148" s="157">
        <v>125</v>
      </c>
    </row>
    <row r="149" spans="1:40" s="152" customFormat="1">
      <c r="A149" s="152">
        <f t="shared" si="93"/>
        <v>148</v>
      </c>
      <c r="B149" s="153" t="s">
        <v>1028</v>
      </c>
      <c r="C149" s="152">
        <v>6</v>
      </c>
      <c r="D149" s="152" t="s">
        <v>1053</v>
      </c>
      <c r="E149" s="152" t="s">
        <v>1054</v>
      </c>
      <c r="G149" s="153"/>
      <c r="J149" s="153" t="s">
        <v>1033</v>
      </c>
      <c r="K149" s="153">
        <v>0</v>
      </c>
      <c r="L149" s="152">
        <v>99.3</v>
      </c>
      <c r="M149" s="152">
        <v>0</v>
      </c>
      <c r="N149" s="152">
        <v>0.7</v>
      </c>
      <c r="O149" s="154">
        <f t="shared" ref="O149:O163" si="99">SUM(K149:N149)</f>
        <v>100</v>
      </c>
      <c r="P149" s="152">
        <v>0</v>
      </c>
      <c r="Q149" s="152">
        <f t="shared" ref="Q149:Q172" si="100">L149*(100/O149)</f>
        <v>99.3</v>
      </c>
      <c r="R149" s="152">
        <f t="shared" ref="R149:R174" si="101">M149*(100/O149)</f>
        <v>0</v>
      </c>
      <c r="S149" s="152">
        <f t="shared" ref="S149:S174" si="102">N149*(100/O149)</f>
        <v>0.7</v>
      </c>
      <c r="T149" s="154" t="s">
        <v>1033</v>
      </c>
      <c r="U149" s="167">
        <v>82.92</v>
      </c>
      <c r="V149" s="167">
        <v>14.47</v>
      </c>
      <c r="W149" s="152">
        <v>0.16</v>
      </c>
      <c r="X149" s="152">
        <v>0</v>
      </c>
      <c r="Y149" s="152">
        <v>1.75</v>
      </c>
      <c r="AA149" s="154">
        <f t="shared" si="95"/>
        <v>99.3</v>
      </c>
      <c r="AB149" s="152">
        <f t="shared" ref="AB149:AB167" si="103">U149*(100/AA149)</f>
        <v>83.504531722054381</v>
      </c>
      <c r="AC149" s="152">
        <f t="shared" ref="AC149:AC167" si="104">V149*(100/AA149)</f>
        <v>14.572004028197382</v>
      </c>
      <c r="AD149" s="152">
        <f t="shared" ref="AD149:AD167" si="105">W149*(100/AA149)</f>
        <v>0.16112789526686808</v>
      </c>
      <c r="AE149" s="152">
        <f t="shared" ref="AE149:AE167" si="106">X149*(100/AA149)</f>
        <v>0</v>
      </c>
      <c r="AF149" s="152">
        <f t="shared" ref="AF149:AF167" si="107">Y149*(100/AA149)</f>
        <v>1.7623363544813695</v>
      </c>
      <c r="AG149" s="155"/>
      <c r="AH149"/>
      <c r="AI149"/>
      <c r="AJ149" s="3"/>
      <c r="AK149"/>
      <c r="AL149"/>
      <c r="AM149" s="3"/>
      <c r="AN149" s="158">
        <v>107</v>
      </c>
    </row>
    <row r="150" spans="1:40" s="152" customFormat="1">
      <c r="A150" s="152">
        <f t="shared" si="93"/>
        <v>149</v>
      </c>
      <c r="B150" s="153" t="s">
        <v>1028</v>
      </c>
      <c r="C150" s="152">
        <v>6</v>
      </c>
      <c r="D150" s="152" t="s">
        <v>1053</v>
      </c>
      <c r="E150" s="152" t="s">
        <v>1054</v>
      </c>
      <c r="G150" s="153"/>
      <c r="J150" s="153" t="s">
        <v>221</v>
      </c>
      <c r="K150" s="153">
        <v>0</v>
      </c>
      <c r="L150" s="152">
        <v>99.97</v>
      </c>
      <c r="M150" s="152">
        <v>0.03</v>
      </c>
      <c r="N150" s="152">
        <v>0</v>
      </c>
      <c r="O150" s="154">
        <f t="shared" si="99"/>
        <v>100</v>
      </c>
      <c r="P150" s="152">
        <v>0</v>
      </c>
      <c r="Q150" s="152">
        <f t="shared" si="100"/>
        <v>99.97</v>
      </c>
      <c r="R150" s="152">
        <f t="shared" si="101"/>
        <v>0.03</v>
      </c>
      <c r="S150" s="152">
        <f t="shared" si="102"/>
        <v>0</v>
      </c>
      <c r="T150" s="154" t="s">
        <v>1033</v>
      </c>
      <c r="U150" s="152">
        <v>84.13</v>
      </c>
      <c r="V150" s="152">
        <v>14.96</v>
      </c>
      <c r="W150" s="152">
        <v>0.23</v>
      </c>
      <c r="X150" s="152">
        <v>0.24</v>
      </c>
      <c r="Y150" s="152">
        <v>0.43</v>
      </c>
      <c r="AA150" s="154">
        <f t="shared" si="95"/>
        <v>99.99</v>
      </c>
      <c r="AB150" s="152">
        <f t="shared" si="103"/>
        <v>84.13841384138415</v>
      </c>
      <c r="AC150" s="152">
        <f t="shared" si="104"/>
        <v>14.961496149614964</v>
      </c>
      <c r="AD150" s="152">
        <f t="shared" si="105"/>
        <v>0.23002300230023007</v>
      </c>
      <c r="AE150" s="152">
        <f t="shared" si="106"/>
        <v>0.24002400240024005</v>
      </c>
      <c r="AF150" s="152">
        <f t="shared" si="107"/>
        <v>0.43004300430043008</v>
      </c>
      <c r="AG150" s="155"/>
      <c r="AH150"/>
      <c r="AI150"/>
      <c r="AJ150" s="3"/>
      <c r="AK150"/>
      <c r="AL150"/>
      <c r="AM150" s="3"/>
      <c r="AN150" s="166">
        <v>14</v>
      </c>
    </row>
    <row r="151" spans="1:40">
      <c r="A151">
        <f t="shared" si="93"/>
        <v>150</v>
      </c>
      <c r="B151" s="153" t="s">
        <v>1028</v>
      </c>
      <c r="C151" s="152">
        <v>6</v>
      </c>
      <c r="D151" s="152" t="s">
        <v>1053</v>
      </c>
      <c r="E151" t="s">
        <v>1054</v>
      </c>
      <c r="H151">
        <v>0.14499999999999999</v>
      </c>
      <c r="AN151" s="181">
        <v>135</v>
      </c>
    </row>
    <row r="152" spans="1:40" s="152" customFormat="1">
      <c r="A152" s="152">
        <f t="shared" si="93"/>
        <v>151</v>
      </c>
      <c r="B152" s="153" t="s">
        <v>1028</v>
      </c>
      <c r="C152" s="152">
        <v>6</v>
      </c>
      <c r="D152" s="152" t="s">
        <v>1053</v>
      </c>
      <c r="E152" s="152" t="s">
        <v>1054</v>
      </c>
      <c r="G152" s="153"/>
      <c r="J152" s="153" t="s">
        <v>221</v>
      </c>
      <c r="K152" s="153">
        <v>0</v>
      </c>
      <c r="L152" s="152">
        <v>100</v>
      </c>
      <c r="M152" s="152">
        <v>0</v>
      </c>
      <c r="N152" s="152">
        <v>0</v>
      </c>
      <c r="O152" s="154">
        <f t="shared" si="99"/>
        <v>100</v>
      </c>
      <c r="P152" s="152">
        <v>0</v>
      </c>
      <c r="Q152" s="152">
        <f t="shared" si="100"/>
        <v>100</v>
      </c>
      <c r="R152" s="152">
        <f t="shared" si="101"/>
        <v>0</v>
      </c>
      <c r="S152" s="152">
        <f t="shared" si="102"/>
        <v>0</v>
      </c>
      <c r="T152" s="154" t="s">
        <v>1036</v>
      </c>
      <c r="U152" s="152">
        <v>85.14</v>
      </c>
      <c r="V152" s="152">
        <v>14.85</v>
      </c>
      <c r="W152" s="152">
        <v>0.01</v>
      </c>
      <c r="X152" s="152">
        <v>0</v>
      </c>
      <c r="Y152" s="152">
        <v>0</v>
      </c>
      <c r="AA152" s="154">
        <f t="shared" si="95"/>
        <v>100</v>
      </c>
      <c r="AB152" s="152">
        <f t="shared" si="103"/>
        <v>85.14</v>
      </c>
      <c r="AC152" s="152">
        <f t="shared" si="104"/>
        <v>14.85</v>
      </c>
      <c r="AD152" s="152">
        <f t="shared" si="105"/>
        <v>0.01</v>
      </c>
      <c r="AE152" s="152">
        <f t="shared" si="106"/>
        <v>0</v>
      </c>
      <c r="AF152" s="152">
        <f t="shared" si="107"/>
        <v>0</v>
      </c>
      <c r="AG152" s="155"/>
      <c r="AH152"/>
      <c r="AI152"/>
      <c r="AJ152" s="3"/>
      <c r="AK152"/>
      <c r="AL152"/>
      <c r="AM152" s="3"/>
      <c r="AN152" s="156">
        <v>80</v>
      </c>
    </row>
    <row r="153" spans="1:40" s="152" customFormat="1">
      <c r="A153" s="152">
        <f t="shared" si="93"/>
        <v>152</v>
      </c>
      <c r="B153" s="153" t="s">
        <v>1028</v>
      </c>
      <c r="C153" s="152">
        <v>6</v>
      </c>
      <c r="D153" s="152" t="s">
        <v>1053</v>
      </c>
      <c r="E153" s="152" t="s">
        <v>1054</v>
      </c>
      <c r="F153" s="152" t="s">
        <v>1192</v>
      </c>
      <c r="G153" s="153">
        <v>0.9</v>
      </c>
      <c r="I153" s="152">
        <v>1.68</v>
      </c>
      <c r="J153" s="153"/>
      <c r="K153" s="153"/>
      <c r="O153" s="154"/>
      <c r="T153" s="154"/>
      <c r="AA153" s="154"/>
      <c r="AG153" s="155"/>
      <c r="AH153"/>
      <c r="AI153"/>
      <c r="AJ153" s="3"/>
      <c r="AK153"/>
      <c r="AL153"/>
      <c r="AM153" s="3"/>
      <c r="AN153" s="157">
        <v>134</v>
      </c>
    </row>
    <row r="154" spans="1:40" s="152" customFormat="1">
      <c r="A154" s="152">
        <f t="shared" si="93"/>
        <v>153</v>
      </c>
      <c r="B154" s="153" t="s">
        <v>1028</v>
      </c>
      <c r="C154" s="152">
        <v>6</v>
      </c>
      <c r="D154" s="152" t="s">
        <v>1053</v>
      </c>
      <c r="E154" s="152" t="s">
        <v>1054</v>
      </c>
      <c r="G154" s="153">
        <v>0.95499999999999996</v>
      </c>
      <c r="J154" s="153" t="s">
        <v>1036</v>
      </c>
      <c r="K154" s="153">
        <v>0</v>
      </c>
      <c r="L154" s="152">
        <v>100</v>
      </c>
      <c r="M154" s="152">
        <v>0</v>
      </c>
      <c r="N154" s="152">
        <v>0</v>
      </c>
      <c r="O154" s="154">
        <f t="shared" si="99"/>
        <v>100</v>
      </c>
      <c r="P154" s="152">
        <v>0</v>
      </c>
      <c r="Q154" s="152">
        <f t="shared" si="100"/>
        <v>100</v>
      </c>
      <c r="R154" s="152">
        <f t="shared" si="101"/>
        <v>0</v>
      </c>
      <c r="S154" s="152">
        <f t="shared" si="102"/>
        <v>0</v>
      </c>
      <c r="T154" s="154" t="s">
        <v>1031</v>
      </c>
      <c r="U154" s="152">
        <v>86.1</v>
      </c>
      <c r="V154" s="152">
        <v>13.7</v>
      </c>
      <c r="W154" s="152">
        <v>0</v>
      </c>
      <c r="X154" s="152">
        <v>0</v>
      </c>
      <c r="Y154" s="152">
        <v>0.2</v>
      </c>
      <c r="Z154" s="152">
        <v>0</v>
      </c>
      <c r="AA154" s="154">
        <f t="shared" si="95"/>
        <v>100</v>
      </c>
      <c r="AB154" s="152">
        <f t="shared" si="103"/>
        <v>86.1</v>
      </c>
      <c r="AC154" s="152">
        <f t="shared" si="104"/>
        <v>13.7</v>
      </c>
      <c r="AD154" s="152">
        <f t="shared" si="105"/>
        <v>0</v>
      </c>
      <c r="AE154" s="152">
        <f t="shared" si="106"/>
        <v>0</v>
      </c>
      <c r="AF154" s="152">
        <f t="shared" si="107"/>
        <v>0.2</v>
      </c>
      <c r="AG154" s="155">
        <f t="shared" ref="AG154:AG162" si="108">Z154*(100/AA154)</f>
        <v>0</v>
      </c>
      <c r="AH154"/>
      <c r="AI154"/>
      <c r="AJ154" s="3">
        <v>46.4</v>
      </c>
      <c r="AK154">
        <f>AL154*(Q154+R154+S154)/(Q154+R154)</f>
        <v>46.4</v>
      </c>
      <c r="AL154">
        <f>AM154*(P154+Q154+R154+S154)/(Q154+R154+S154)</f>
        <v>46.4</v>
      </c>
      <c r="AM154" s="3">
        <v>46.4</v>
      </c>
      <c r="AN154" s="158">
        <v>88</v>
      </c>
    </row>
    <row r="155" spans="1:40" s="152" customFormat="1">
      <c r="A155" s="152">
        <f t="shared" si="93"/>
        <v>154</v>
      </c>
      <c r="B155" s="153" t="s">
        <v>1028</v>
      </c>
      <c r="C155" s="152">
        <v>6</v>
      </c>
      <c r="D155" s="152" t="s">
        <v>1053</v>
      </c>
      <c r="E155" s="152" t="s">
        <v>1054</v>
      </c>
      <c r="G155" s="153">
        <v>0.9</v>
      </c>
      <c r="H155" s="152">
        <v>0.15</v>
      </c>
      <c r="I155" s="152">
        <v>1.7</v>
      </c>
      <c r="J155" s="153" t="s">
        <v>1036</v>
      </c>
      <c r="K155" s="153">
        <v>0</v>
      </c>
      <c r="L155" s="152">
        <v>100</v>
      </c>
      <c r="M155" s="152">
        <v>0</v>
      </c>
      <c r="N155" s="152">
        <v>0</v>
      </c>
      <c r="O155" s="154">
        <f t="shared" si="99"/>
        <v>100</v>
      </c>
      <c r="P155" s="152">
        <v>0</v>
      </c>
      <c r="Q155" s="152">
        <f t="shared" si="100"/>
        <v>100</v>
      </c>
      <c r="R155" s="152">
        <f t="shared" si="101"/>
        <v>0</v>
      </c>
      <c r="S155" s="152">
        <f t="shared" si="102"/>
        <v>0</v>
      </c>
      <c r="T155" s="154" t="s">
        <v>1031</v>
      </c>
      <c r="U155" s="152">
        <v>85.1</v>
      </c>
      <c r="V155" s="152">
        <v>13.38</v>
      </c>
      <c r="W155" s="152">
        <v>0</v>
      </c>
      <c r="X155" s="152">
        <v>0</v>
      </c>
      <c r="Y155" s="152">
        <v>1.52</v>
      </c>
      <c r="AA155" s="154">
        <f t="shared" si="95"/>
        <v>100</v>
      </c>
      <c r="AB155" s="152">
        <f t="shared" si="103"/>
        <v>85.1</v>
      </c>
      <c r="AC155" s="152">
        <f t="shared" si="104"/>
        <v>13.38</v>
      </c>
      <c r="AD155" s="152">
        <f t="shared" si="105"/>
        <v>0</v>
      </c>
      <c r="AE155" s="152">
        <f t="shared" si="106"/>
        <v>0</v>
      </c>
      <c r="AF155" s="152">
        <f t="shared" si="107"/>
        <v>1.52</v>
      </c>
      <c r="AG155" s="155"/>
      <c r="AH155"/>
      <c r="AI155"/>
      <c r="AJ155" s="3"/>
      <c r="AK155"/>
      <c r="AL155"/>
      <c r="AM155" s="3"/>
      <c r="AN155" s="157">
        <v>11</v>
      </c>
    </row>
    <row r="156" spans="1:40" s="152" customFormat="1">
      <c r="A156" s="152">
        <f t="shared" si="93"/>
        <v>155</v>
      </c>
      <c r="B156" s="153" t="s">
        <v>1028</v>
      </c>
      <c r="C156" s="152">
        <v>6</v>
      </c>
      <c r="D156" s="152" t="s">
        <v>1053</v>
      </c>
      <c r="E156" s="152" t="s">
        <v>1054</v>
      </c>
      <c r="G156" s="153"/>
      <c r="J156" s="153" t="s">
        <v>1036</v>
      </c>
      <c r="K156" s="153">
        <v>0</v>
      </c>
      <c r="L156" s="152">
        <v>99.98</v>
      </c>
      <c r="M156" s="152">
        <v>0</v>
      </c>
      <c r="N156" s="152">
        <v>0.02</v>
      </c>
      <c r="O156" s="154">
        <f t="shared" si="99"/>
        <v>100</v>
      </c>
      <c r="P156" s="152">
        <v>0</v>
      </c>
      <c r="Q156" s="152">
        <f t="shared" si="100"/>
        <v>99.98</v>
      </c>
      <c r="R156" s="152">
        <f t="shared" si="101"/>
        <v>0</v>
      </c>
      <c r="S156" s="152">
        <f t="shared" si="102"/>
        <v>0.02</v>
      </c>
      <c r="T156" s="154" t="s">
        <v>1031</v>
      </c>
      <c r="U156" s="152">
        <v>83.51</v>
      </c>
      <c r="V156" s="152">
        <v>10.64</v>
      </c>
      <c r="W156" s="152">
        <v>0.22</v>
      </c>
      <c r="X156" s="152">
        <v>0</v>
      </c>
      <c r="Y156" s="152">
        <v>5.63</v>
      </c>
      <c r="AA156" s="154">
        <f t="shared" si="95"/>
        <v>100</v>
      </c>
      <c r="AB156" s="152">
        <f t="shared" si="103"/>
        <v>83.51</v>
      </c>
      <c r="AC156" s="152">
        <f t="shared" si="104"/>
        <v>10.64</v>
      </c>
      <c r="AD156" s="152">
        <f t="shared" si="105"/>
        <v>0.22</v>
      </c>
      <c r="AE156" s="152">
        <f t="shared" si="106"/>
        <v>0</v>
      </c>
      <c r="AF156" s="152">
        <f t="shared" si="107"/>
        <v>5.63</v>
      </c>
      <c r="AG156" s="155"/>
      <c r="AH156"/>
      <c r="AI156">
        <v>45.2</v>
      </c>
      <c r="AJ156" s="3"/>
      <c r="AK156">
        <f>AL156*(Q156+R156+S156)/(Q156+R156)</f>
        <v>45.209041808361668</v>
      </c>
      <c r="AL156">
        <v>45.2</v>
      </c>
      <c r="AM156">
        <f>AL156*(Q156+R156+S156)/(P156+Q156+R156+S156)</f>
        <v>45.2</v>
      </c>
      <c r="AN156" s="166">
        <v>42</v>
      </c>
    </row>
    <row r="157" spans="1:40" s="152" customFormat="1">
      <c r="A157" s="152">
        <f t="shared" si="93"/>
        <v>156</v>
      </c>
      <c r="B157" s="153" t="s">
        <v>1028</v>
      </c>
      <c r="C157" s="152">
        <v>6</v>
      </c>
      <c r="D157" s="152" t="s">
        <v>1053</v>
      </c>
      <c r="E157" s="152" t="s">
        <v>1054</v>
      </c>
      <c r="G157" s="153"/>
      <c r="J157" s="153" t="s">
        <v>1042</v>
      </c>
      <c r="K157" s="153">
        <v>0.03</v>
      </c>
      <c r="L157" s="152">
        <v>99.9</v>
      </c>
      <c r="M157" s="152">
        <v>0.03</v>
      </c>
      <c r="N157" s="152">
        <v>0.04</v>
      </c>
      <c r="O157" s="154">
        <f t="shared" si="99"/>
        <v>100.00000000000001</v>
      </c>
      <c r="P157" s="152">
        <v>0.03</v>
      </c>
      <c r="Q157" s="152">
        <f t="shared" si="100"/>
        <v>99.899999999999991</v>
      </c>
      <c r="R157" s="152">
        <f t="shared" si="101"/>
        <v>2.9999999999999995E-2</v>
      </c>
      <c r="S157" s="152">
        <f t="shared" si="102"/>
        <v>3.9999999999999994E-2</v>
      </c>
      <c r="T157" s="154" t="s">
        <v>1042</v>
      </c>
      <c r="U157" s="152">
        <v>85.71</v>
      </c>
      <c r="V157" s="152">
        <v>14.18</v>
      </c>
      <c r="W157" s="152">
        <v>0.03</v>
      </c>
      <c r="X157" s="152">
        <v>0.04</v>
      </c>
      <c r="Y157" s="152">
        <v>0.04</v>
      </c>
      <c r="Z157" s="152">
        <v>0</v>
      </c>
      <c r="AA157" s="154">
        <f t="shared" si="95"/>
        <v>100</v>
      </c>
      <c r="AB157" s="152">
        <f t="shared" si="103"/>
        <v>85.71</v>
      </c>
      <c r="AC157" s="152">
        <f t="shared" si="104"/>
        <v>14.18</v>
      </c>
      <c r="AD157" s="152">
        <f t="shared" si="105"/>
        <v>0.03</v>
      </c>
      <c r="AE157" s="152">
        <f t="shared" si="106"/>
        <v>0.04</v>
      </c>
      <c r="AF157" s="152">
        <f t="shared" si="107"/>
        <v>0.04</v>
      </c>
      <c r="AG157" s="155">
        <f t="shared" si="108"/>
        <v>0</v>
      </c>
      <c r="AH157"/>
      <c r="AI157"/>
      <c r="AJ157" s="3"/>
      <c r="AK157"/>
      <c r="AL157"/>
      <c r="AM157" s="3"/>
      <c r="AN157" s="156">
        <v>105</v>
      </c>
    </row>
    <row r="158" spans="1:40" s="152" customFormat="1">
      <c r="A158" s="152">
        <f t="shared" si="93"/>
        <v>157</v>
      </c>
      <c r="B158" s="153" t="s">
        <v>1028</v>
      </c>
      <c r="C158" s="152">
        <v>6</v>
      </c>
      <c r="D158" s="152" t="s">
        <v>1053</v>
      </c>
      <c r="E158" s="152" t="s">
        <v>1054</v>
      </c>
      <c r="G158" s="153"/>
      <c r="J158" s="153" t="s">
        <v>221</v>
      </c>
      <c r="K158" s="153">
        <v>0</v>
      </c>
      <c r="L158" s="152">
        <v>99.85</v>
      </c>
      <c r="M158" s="152">
        <v>0</v>
      </c>
      <c r="N158" s="152">
        <v>0.15</v>
      </c>
      <c r="O158" s="154">
        <f t="shared" si="99"/>
        <v>100</v>
      </c>
      <c r="P158" s="152">
        <v>0</v>
      </c>
      <c r="Q158" s="152">
        <f t="shared" si="100"/>
        <v>99.85</v>
      </c>
      <c r="R158" s="152">
        <f t="shared" si="101"/>
        <v>0</v>
      </c>
      <c r="S158" s="152">
        <f t="shared" si="102"/>
        <v>0.15</v>
      </c>
      <c r="T158" s="154" t="s">
        <v>1036</v>
      </c>
      <c r="U158" s="152">
        <v>85.03</v>
      </c>
      <c r="V158" s="152">
        <v>14.8</v>
      </c>
      <c r="W158" s="152">
        <v>0</v>
      </c>
      <c r="X158" s="152">
        <v>0</v>
      </c>
      <c r="Y158" s="152">
        <v>0</v>
      </c>
      <c r="AA158" s="154">
        <f t="shared" si="95"/>
        <v>99.83</v>
      </c>
      <c r="AB158" s="152">
        <f t="shared" si="103"/>
        <v>85.174797155163787</v>
      </c>
      <c r="AC158" s="152">
        <f t="shared" si="104"/>
        <v>14.825202844836223</v>
      </c>
      <c r="AD158" s="152">
        <f t="shared" si="105"/>
        <v>0</v>
      </c>
      <c r="AE158" s="152">
        <f t="shared" si="106"/>
        <v>0</v>
      </c>
      <c r="AF158" s="152">
        <f t="shared" si="107"/>
        <v>0</v>
      </c>
      <c r="AG158" s="155"/>
      <c r="AH158"/>
      <c r="AI158"/>
      <c r="AJ158" s="3">
        <v>42.8</v>
      </c>
      <c r="AK158">
        <f>AL158*(Q158+R158+S158)/(Q158+R158)</f>
        <v>42.864296444667005</v>
      </c>
      <c r="AL158">
        <f>AM158*(P158+Q158+R158+S158)/(Q158+R158+S158)</f>
        <v>42.8</v>
      </c>
      <c r="AM158" s="3">
        <v>42.8</v>
      </c>
      <c r="AN158" s="166">
        <v>43</v>
      </c>
    </row>
    <row r="159" spans="1:40">
      <c r="A159">
        <f t="shared" si="93"/>
        <v>158</v>
      </c>
      <c r="B159" s="153" t="s">
        <v>1028</v>
      </c>
      <c r="C159" s="152">
        <v>6</v>
      </c>
      <c r="D159" s="152" t="s">
        <v>1053</v>
      </c>
      <c r="E159" t="s">
        <v>1054</v>
      </c>
      <c r="G159" s="8">
        <v>0.93700000000000006</v>
      </c>
      <c r="H159">
        <v>0.11</v>
      </c>
      <c r="I159">
        <v>2</v>
      </c>
      <c r="AN159" s="181">
        <v>133</v>
      </c>
    </row>
    <row r="160" spans="1:40" s="152" customFormat="1">
      <c r="A160" s="152">
        <f t="shared" si="93"/>
        <v>159</v>
      </c>
      <c r="B160" s="153" t="s">
        <v>1028</v>
      </c>
      <c r="C160" s="152">
        <v>6</v>
      </c>
      <c r="D160" s="152" t="s">
        <v>1053</v>
      </c>
      <c r="E160" s="152" t="s">
        <v>1055</v>
      </c>
      <c r="G160" s="153"/>
      <c r="J160" s="153" t="s">
        <v>1033</v>
      </c>
      <c r="K160" s="153">
        <v>7.5999999999999998E-2</v>
      </c>
      <c r="L160" s="152">
        <v>99.63</v>
      </c>
      <c r="M160" s="152">
        <v>0</v>
      </c>
      <c r="N160" s="152">
        <v>0.29399999999999998</v>
      </c>
      <c r="O160" s="154">
        <f t="shared" si="99"/>
        <v>99.999999999999986</v>
      </c>
      <c r="P160" s="152">
        <v>7.5999999999999998E-2</v>
      </c>
      <c r="Q160" s="152">
        <f t="shared" si="100"/>
        <v>99.630000000000024</v>
      </c>
      <c r="R160" s="152">
        <f t="shared" si="101"/>
        <v>0</v>
      </c>
      <c r="S160" s="152">
        <f t="shared" si="102"/>
        <v>0.29400000000000004</v>
      </c>
      <c r="T160" s="154" t="s">
        <v>1033</v>
      </c>
      <c r="U160" s="152">
        <v>85</v>
      </c>
      <c r="V160" s="152">
        <v>14.73</v>
      </c>
      <c r="W160" s="152">
        <v>0.04</v>
      </c>
      <c r="X160" s="152">
        <v>0.23</v>
      </c>
      <c r="Y160" s="152">
        <v>0</v>
      </c>
      <c r="AA160" s="154">
        <f t="shared" si="95"/>
        <v>100</v>
      </c>
      <c r="AB160" s="152">
        <f t="shared" si="103"/>
        <v>85</v>
      </c>
      <c r="AC160" s="152">
        <f t="shared" si="104"/>
        <v>14.73</v>
      </c>
      <c r="AD160" s="152">
        <f t="shared" si="105"/>
        <v>0.04</v>
      </c>
      <c r="AE160" s="152">
        <f t="shared" si="106"/>
        <v>0.23</v>
      </c>
      <c r="AF160" s="152">
        <f t="shared" si="107"/>
        <v>0</v>
      </c>
      <c r="AG160" s="155"/>
      <c r="AH160"/>
      <c r="AI160"/>
      <c r="AJ160" s="3"/>
      <c r="AK160"/>
      <c r="AL160"/>
      <c r="AM160" s="3"/>
      <c r="AN160" s="156">
        <v>92</v>
      </c>
    </row>
    <row r="161" spans="1:40" s="152" customFormat="1">
      <c r="A161" s="152">
        <f t="shared" si="93"/>
        <v>160</v>
      </c>
      <c r="B161" s="153" t="s">
        <v>1028</v>
      </c>
      <c r="C161" s="152">
        <v>6</v>
      </c>
      <c r="D161" s="152" t="s">
        <v>1053</v>
      </c>
      <c r="E161" s="152" t="s">
        <v>1054</v>
      </c>
      <c r="G161" s="153"/>
      <c r="J161" s="153" t="s">
        <v>1037</v>
      </c>
      <c r="K161" s="153">
        <v>5.68</v>
      </c>
      <c r="L161" s="152">
        <v>95</v>
      </c>
      <c r="M161" s="152">
        <v>0</v>
      </c>
      <c r="N161" s="152">
        <v>0.39</v>
      </c>
      <c r="O161" s="154">
        <f t="shared" si="99"/>
        <v>101.07000000000001</v>
      </c>
      <c r="P161" s="152">
        <f>100*K161/$O$161</f>
        <v>5.6198674186207578</v>
      </c>
      <c r="Q161" s="152">
        <f t="shared" ref="Q161:S161" si="109">100*L161/$O$161</f>
        <v>93.994261402988016</v>
      </c>
      <c r="R161" s="152">
        <f t="shared" si="109"/>
        <v>0</v>
      </c>
      <c r="S161" s="152">
        <f t="shared" si="109"/>
        <v>0.38587117839121399</v>
      </c>
      <c r="T161" s="154" t="s">
        <v>1031</v>
      </c>
      <c r="U161" s="152">
        <v>78.849999999999994</v>
      </c>
      <c r="V161" s="152">
        <v>12.74</v>
      </c>
      <c r="W161" s="152">
        <v>0.04</v>
      </c>
      <c r="X161" s="152">
        <v>0.23</v>
      </c>
      <c r="Y161" s="152">
        <v>8.3800000000000008</v>
      </c>
      <c r="AA161" s="154">
        <f t="shared" si="95"/>
        <v>100.24</v>
      </c>
      <c r="AB161" s="152">
        <f t="shared" si="103"/>
        <v>78.661213088587388</v>
      </c>
      <c r="AC161" s="152">
        <f t="shared" si="104"/>
        <v>12.709497206703912</v>
      </c>
      <c r="AD161" s="152">
        <f t="shared" si="105"/>
        <v>3.9904229848363934E-2</v>
      </c>
      <c r="AE161" s="152">
        <f t="shared" si="106"/>
        <v>0.22944932162809262</v>
      </c>
      <c r="AF161" s="152">
        <f t="shared" si="107"/>
        <v>8.359936153232244</v>
      </c>
      <c r="AG161" s="155"/>
      <c r="AH161"/>
      <c r="AI161"/>
      <c r="AJ161" s="3"/>
      <c r="AK161"/>
      <c r="AL161"/>
      <c r="AM161" s="3"/>
      <c r="AN161" s="158">
        <v>65</v>
      </c>
    </row>
    <row r="162" spans="1:40" s="152" customFormat="1">
      <c r="A162" s="152">
        <f t="shared" si="93"/>
        <v>161</v>
      </c>
      <c r="B162" s="153" t="s">
        <v>1028</v>
      </c>
      <c r="C162" s="152">
        <v>6</v>
      </c>
      <c r="D162" s="152" t="s">
        <v>1053</v>
      </c>
      <c r="E162" s="152" t="s">
        <v>1054</v>
      </c>
      <c r="G162" s="153"/>
      <c r="J162" s="153" t="s">
        <v>221</v>
      </c>
      <c r="K162" s="153">
        <v>0</v>
      </c>
      <c r="L162" s="152">
        <v>99.19</v>
      </c>
      <c r="M162" s="152">
        <v>0.11</v>
      </c>
      <c r="N162" s="152">
        <v>0.7</v>
      </c>
      <c r="O162" s="154">
        <f t="shared" si="99"/>
        <v>100</v>
      </c>
      <c r="P162" s="152">
        <v>0</v>
      </c>
      <c r="Q162" s="152">
        <f t="shared" si="100"/>
        <v>99.19</v>
      </c>
      <c r="R162" s="152">
        <f t="shared" si="101"/>
        <v>0.11</v>
      </c>
      <c r="S162" s="152">
        <f t="shared" si="102"/>
        <v>0.7</v>
      </c>
      <c r="T162" s="154" t="s">
        <v>1204</v>
      </c>
      <c r="U162" s="167">
        <v>85.52</v>
      </c>
      <c r="V162" s="167">
        <v>14.4</v>
      </c>
      <c r="W162" s="152">
        <v>0</v>
      </c>
      <c r="X162" s="152">
        <v>0.08</v>
      </c>
      <c r="Y162" s="152">
        <v>0</v>
      </c>
      <c r="Z162" s="152">
        <v>0</v>
      </c>
      <c r="AA162" s="154">
        <f t="shared" si="95"/>
        <v>100</v>
      </c>
      <c r="AB162" s="152">
        <f t="shared" si="103"/>
        <v>85.52</v>
      </c>
      <c r="AC162" s="152">
        <f t="shared" si="104"/>
        <v>14.4</v>
      </c>
      <c r="AD162" s="152">
        <f t="shared" si="105"/>
        <v>0</v>
      </c>
      <c r="AE162" s="152">
        <f t="shared" si="106"/>
        <v>0.08</v>
      </c>
      <c r="AF162" s="152">
        <f t="shared" si="107"/>
        <v>0</v>
      </c>
      <c r="AG162" s="155">
        <f t="shared" si="108"/>
        <v>0</v>
      </c>
      <c r="AH162"/>
      <c r="AI162"/>
      <c r="AJ162" s="3"/>
      <c r="AK162"/>
      <c r="AL162"/>
      <c r="AM162" s="3"/>
      <c r="AN162" s="158">
        <v>94</v>
      </c>
    </row>
    <row r="163" spans="1:40" s="152" customFormat="1">
      <c r="A163" s="152">
        <f t="shared" si="93"/>
        <v>162</v>
      </c>
      <c r="B163" s="153" t="s">
        <v>1028</v>
      </c>
      <c r="C163" s="152">
        <v>6</v>
      </c>
      <c r="D163" s="152" t="s">
        <v>1053</v>
      </c>
      <c r="E163" s="152" t="s">
        <v>1054</v>
      </c>
      <c r="G163" s="153"/>
      <c r="J163" s="153" t="s">
        <v>221</v>
      </c>
      <c r="K163" s="153">
        <v>0</v>
      </c>
      <c r="L163" s="152">
        <v>100</v>
      </c>
      <c r="M163" s="152">
        <v>0</v>
      </c>
      <c r="N163" s="152">
        <v>0</v>
      </c>
      <c r="O163" s="154">
        <f t="shared" si="99"/>
        <v>100</v>
      </c>
      <c r="P163" s="152">
        <v>0</v>
      </c>
      <c r="Q163" s="152">
        <f t="shared" si="100"/>
        <v>100</v>
      </c>
      <c r="R163" s="152">
        <f t="shared" si="101"/>
        <v>0</v>
      </c>
      <c r="S163" s="152">
        <f t="shared" si="102"/>
        <v>0</v>
      </c>
      <c r="T163" s="154" t="s">
        <v>1049</v>
      </c>
      <c r="U163" s="167">
        <v>86</v>
      </c>
      <c r="V163" s="167">
        <v>14</v>
      </c>
      <c r="W163" s="152">
        <v>0</v>
      </c>
      <c r="X163" s="152">
        <v>0</v>
      </c>
      <c r="Y163" s="152">
        <v>0</v>
      </c>
      <c r="AA163" s="154">
        <f t="shared" si="95"/>
        <v>100</v>
      </c>
      <c r="AB163" s="167">
        <v>86</v>
      </c>
      <c r="AC163" s="167">
        <v>14</v>
      </c>
      <c r="AD163" s="152">
        <v>0</v>
      </c>
      <c r="AE163" s="152">
        <v>0</v>
      </c>
      <c r="AF163" s="152">
        <v>0</v>
      </c>
      <c r="AG163" s="155"/>
      <c r="AH163"/>
      <c r="AI163" s="152">
        <v>43.4</v>
      </c>
      <c r="AJ163" s="3"/>
      <c r="AK163">
        <f>AL163*(Q163+R163+S163)/(Q163+R163)</f>
        <v>43.4</v>
      </c>
      <c r="AL163" s="152">
        <v>43.4</v>
      </c>
      <c r="AM163">
        <f t="shared" ref="AM163:AM164" si="110">AL163*(Q163+R163+S163)/(P163+Q163+R163+S163)</f>
        <v>43.4</v>
      </c>
      <c r="AN163" s="166">
        <v>127</v>
      </c>
    </row>
    <row r="164" spans="1:40" s="152" customFormat="1">
      <c r="A164" s="152">
        <f t="shared" si="93"/>
        <v>163</v>
      </c>
      <c r="B164" s="153" t="s">
        <v>1028</v>
      </c>
      <c r="C164" s="152">
        <v>6</v>
      </c>
      <c r="D164" s="152" t="s">
        <v>1053</v>
      </c>
      <c r="E164" s="152" t="s">
        <v>1054</v>
      </c>
      <c r="G164" s="153"/>
      <c r="J164" s="153" t="s">
        <v>221</v>
      </c>
      <c r="K164" s="153">
        <v>0</v>
      </c>
      <c r="L164" s="152">
        <v>99.3</v>
      </c>
      <c r="M164" s="152">
        <v>0</v>
      </c>
      <c r="N164" s="152">
        <v>0.7</v>
      </c>
      <c r="O164" s="154">
        <f t="shared" ref="O164" si="111">SUM(K164:N164)</f>
        <v>100</v>
      </c>
      <c r="P164" s="152">
        <v>0</v>
      </c>
      <c r="Q164" s="152">
        <f t="shared" si="100"/>
        <v>99.3</v>
      </c>
      <c r="R164" s="152">
        <f t="shared" si="101"/>
        <v>0</v>
      </c>
      <c r="S164" s="152">
        <f t="shared" si="102"/>
        <v>0.7</v>
      </c>
      <c r="T164" s="154" t="s">
        <v>1167</v>
      </c>
      <c r="U164" s="152">
        <v>86.42</v>
      </c>
      <c r="V164" s="152">
        <v>12.28</v>
      </c>
      <c r="W164" s="152">
        <v>0.72</v>
      </c>
      <c r="X164" s="152">
        <v>0.17</v>
      </c>
      <c r="Y164" s="152">
        <v>0</v>
      </c>
      <c r="AA164" s="154">
        <f t="shared" si="95"/>
        <v>99.59</v>
      </c>
      <c r="AB164" s="152">
        <f t="shared" si="103"/>
        <v>86.775780700873582</v>
      </c>
      <c r="AC164" s="152">
        <f t="shared" si="104"/>
        <v>12.3305552766342</v>
      </c>
      <c r="AD164" s="152">
        <f t="shared" si="105"/>
        <v>0.72296415302741235</v>
      </c>
      <c r="AE164" s="152">
        <f t="shared" si="106"/>
        <v>0.17069986946480573</v>
      </c>
      <c r="AF164" s="152">
        <f t="shared" si="107"/>
        <v>0</v>
      </c>
      <c r="AG164" s="155"/>
      <c r="AH164"/>
      <c r="AI164">
        <v>44.7</v>
      </c>
      <c r="AJ164" s="3"/>
      <c r="AK164">
        <f>AL164*(Q164+R164+S164)/(Q164+R164)</f>
        <v>45.015105740181269</v>
      </c>
      <c r="AL164">
        <v>44.7</v>
      </c>
      <c r="AM164">
        <f t="shared" si="110"/>
        <v>44.7</v>
      </c>
      <c r="AN164" s="157">
        <v>128</v>
      </c>
    </row>
    <row r="165" spans="1:40" s="152" customFormat="1">
      <c r="A165" s="152">
        <f t="shared" si="93"/>
        <v>164</v>
      </c>
      <c r="B165" s="153" t="s">
        <v>1028</v>
      </c>
      <c r="C165" s="152">
        <v>6</v>
      </c>
      <c r="D165" s="152" t="s">
        <v>1053</v>
      </c>
      <c r="E165" s="152" t="s">
        <v>1054</v>
      </c>
      <c r="G165" s="153"/>
      <c r="J165" s="153" t="s">
        <v>1033</v>
      </c>
      <c r="K165" s="153">
        <v>0.2</v>
      </c>
      <c r="L165" s="152">
        <v>99</v>
      </c>
      <c r="M165" s="152">
        <v>0.1</v>
      </c>
      <c r="N165" s="152">
        <v>0.7</v>
      </c>
      <c r="O165" s="154">
        <f t="shared" ref="O165:O174" si="112">SUM(K165:N165)</f>
        <v>100</v>
      </c>
      <c r="P165" s="152">
        <v>0.2</v>
      </c>
      <c r="Q165" s="152">
        <f t="shared" si="100"/>
        <v>99</v>
      </c>
      <c r="R165" s="152">
        <f t="shared" si="101"/>
        <v>0.1</v>
      </c>
      <c r="S165" s="152">
        <f t="shared" si="102"/>
        <v>0.7</v>
      </c>
      <c r="T165" s="154" t="s">
        <v>1033</v>
      </c>
      <c r="U165" s="167">
        <v>83.54</v>
      </c>
      <c r="V165" s="167">
        <v>13.95</v>
      </c>
      <c r="W165" s="152">
        <v>0.12</v>
      </c>
      <c r="X165" s="152">
        <v>0</v>
      </c>
      <c r="Y165" s="152">
        <v>1.69</v>
      </c>
      <c r="AA165" s="154">
        <f t="shared" si="95"/>
        <v>99.300000000000011</v>
      </c>
      <c r="AB165" s="152">
        <f t="shared" si="103"/>
        <v>84.128902316213498</v>
      </c>
      <c r="AC165" s="152">
        <f t="shared" si="104"/>
        <v>14.04833836858006</v>
      </c>
      <c r="AD165" s="152">
        <f t="shared" si="105"/>
        <v>0.12084592145015105</v>
      </c>
      <c r="AE165" s="152">
        <f t="shared" si="106"/>
        <v>0</v>
      </c>
      <c r="AF165" s="152">
        <f t="shared" si="107"/>
        <v>1.701913393756294</v>
      </c>
      <c r="AG165" s="155"/>
      <c r="AH165"/>
      <c r="AI165"/>
      <c r="AJ165" s="3"/>
      <c r="AK165"/>
      <c r="AL165"/>
      <c r="AM165" s="3"/>
      <c r="AN165" s="158">
        <v>107</v>
      </c>
    </row>
    <row r="166" spans="1:40" s="152" customFormat="1">
      <c r="A166" s="152">
        <f t="shared" si="93"/>
        <v>165</v>
      </c>
      <c r="B166" s="153" t="s">
        <v>1028</v>
      </c>
      <c r="C166" s="152">
        <v>6</v>
      </c>
      <c r="D166" s="152" t="s">
        <v>1053</v>
      </c>
      <c r="E166" s="152" t="s">
        <v>1054</v>
      </c>
      <c r="G166" s="153"/>
      <c r="J166" s="153" t="s">
        <v>221</v>
      </c>
      <c r="K166" s="153">
        <v>0</v>
      </c>
      <c r="L166" s="152">
        <v>99.1</v>
      </c>
      <c r="M166" s="152">
        <v>0</v>
      </c>
      <c r="N166" s="152">
        <v>0.9</v>
      </c>
      <c r="O166" s="154">
        <f t="shared" si="112"/>
        <v>100</v>
      </c>
      <c r="P166" s="152">
        <v>0</v>
      </c>
      <c r="Q166" s="152">
        <f t="shared" si="100"/>
        <v>99.1</v>
      </c>
      <c r="R166" s="152">
        <f t="shared" si="101"/>
        <v>0</v>
      </c>
      <c r="S166" s="152">
        <f t="shared" si="102"/>
        <v>0.9</v>
      </c>
      <c r="T166" s="154" t="s">
        <v>1031</v>
      </c>
      <c r="U166" s="152">
        <v>85.1</v>
      </c>
      <c r="V166" s="152">
        <v>14.4</v>
      </c>
      <c r="W166" s="152">
        <v>0</v>
      </c>
      <c r="X166" s="152">
        <v>0.5</v>
      </c>
      <c r="Y166" s="152">
        <v>0</v>
      </c>
      <c r="AA166" s="154">
        <f t="shared" si="95"/>
        <v>100</v>
      </c>
      <c r="AB166" s="152">
        <f t="shared" si="103"/>
        <v>85.1</v>
      </c>
      <c r="AC166" s="152">
        <f t="shared" si="104"/>
        <v>14.4</v>
      </c>
      <c r="AD166" s="152">
        <f t="shared" si="105"/>
        <v>0</v>
      </c>
      <c r="AE166" s="152">
        <f t="shared" si="106"/>
        <v>0.5</v>
      </c>
      <c r="AF166" s="152">
        <f t="shared" si="107"/>
        <v>0</v>
      </c>
      <c r="AG166" s="155"/>
      <c r="AH166"/>
      <c r="AI166"/>
      <c r="AJ166" s="3"/>
      <c r="AK166"/>
      <c r="AL166"/>
      <c r="AM166" s="3"/>
      <c r="AN166" s="158">
        <v>111</v>
      </c>
    </row>
    <row r="167" spans="1:40" s="152" customFormat="1">
      <c r="A167" s="152">
        <f t="shared" si="93"/>
        <v>166</v>
      </c>
      <c r="B167" s="153" t="s">
        <v>1028</v>
      </c>
      <c r="C167" s="152">
        <v>6</v>
      </c>
      <c r="D167" s="152" t="s">
        <v>1053</v>
      </c>
      <c r="E167" s="152" t="s">
        <v>1054</v>
      </c>
      <c r="G167" s="153"/>
      <c r="J167" s="153" t="s">
        <v>221</v>
      </c>
      <c r="K167" s="153">
        <v>0</v>
      </c>
      <c r="L167" s="152">
        <v>95.1</v>
      </c>
      <c r="M167" s="152">
        <v>3.8</v>
      </c>
      <c r="N167" s="152">
        <v>1.1000000000000001</v>
      </c>
      <c r="O167" s="154">
        <f t="shared" si="112"/>
        <v>99.999999999999986</v>
      </c>
      <c r="P167" s="152">
        <v>0</v>
      </c>
      <c r="Q167" s="152">
        <f t="shared" si="100"/>
        <v>95.100000000000009</v>
      </c>
      <c r="R167" s="152">
        <f t="shared" si="101"/>
        <v>3.8000000000000007</v>
      </c>
      <c r="S167" s="152">
        <f t="shared" si="102"/>
        <v>1.1000000000000003</v>
      </c>
      <c r="T167" s="154" t="s">
        <v>1031</v>
      </c>
      <c r="U167" s="152">
        <v>83.8</v>
      </c>
      <c r="V167" s="152">
        <v>13.9</v>
      </c>
      <c r="W167" s="152">
        <v>0</v>
      </c>
      <c r="X167" s="152">
        <v>2.2999999999999998</v>
      </c>
      <c r="Y167" s="152">
        <v>0</v>
      </c>
      <c r="AA167" s="154">
        <f t="shared" si="95"/>
        <v>100</v>
      </c>
      <c r="AB167" s="152">
        <f t="shared" si="103"/>
        <v>83.8</v>
      </c>
      <c r="AC167" s="152">
        <f t="shared" si="104"/>
        <v>13.9</v>
      </c>
      <c r="AD167" s="152">
        <f t="shared" si="105"/>
        <v>0</v>
      </c>
      <c r="AE167" s="152">
        <f t="shared" si="106"/>
        <v>2.2999999999999998</v>
      </c>
      <c r="AF167" s="152">
        <f t="shared" si="107"/>
        <v>0</v>
      </c>
      <c r="AG167" s="155"/>
      <c r="AH167"/>
      <c r="AI167"/>
      <c r="AJ167" s="3"/>
      <c r="AK167"/>
      <c r="AL167"/>
      <c r="AM167" s="3"/>
      <c r="AN167" s="156">
        <v>117</v>
      </c>
    </row>
    <row r="168" spans="1:40" s="152" customFormat="1">
      <c r="A168" s="152">
        <f t="shared" si="93"/>
        <v>167</v>
      </c>
      <c r="B168" s="153" t="s">
        <v>1028</v>
      </c>
      <c r="C168" s="152">
        <v>6</v>
      </c>
      <c r="D168" s="152" t="s">
        <v>1053</v>
      </c>
      <c r="E168" s="152" t="s">
        <v>1055</v>
      </c>
      <c r="G168" s="153">
        <v>0.95199999999999996</v>
      </c>
      <c r="J168" s="153" t="s">
        <v>1033</v>
      </c>
      <c r="K168" s="153"/>
      <c r="N168" s="152">
        <v>1.1399999999999999</v>
      </c>
      <c r="O168" s="154">
        <f t="shared" si="112"/>
        <v>1.1399999999999999</v>
      </c>
      <c r="T168" s="154"/>
      <c r="AA168" s="154"/>
      <c r="AG168" s="155"/>
      <c r="AH168"/>
      <c r="AI168"/>
      <c r="AJ168" s="3"/>
      <c r="AK168"/>
      <c r="AL168"/>
      <c r="AM168" s="3"/>
      <c r="AN168" s="156">
        <v>112</v>
      </c>
    </row>
    <row r="169" spans="1:40" s="152" customFormat="1">
      <c r="A169" s="152">
        <f t="shared" si="93"/>
        <v>168</v>
      </c>
      <c r="B169" s="153" t="s">
        <v>1028</v>
      </c>
      <c r="C169" s="152">
        <v>6</v>
      </c>
      <c r="D169" s="152" t="s">
        <v>1053</v>
      </c>
      <c r="E169" s="152" t="s">
        <v>1054</v>
      </c>
      <c r="G169" s="153"/>
      <c r="J169" s="153" t="s">
        <v>221</v>
      </c>
      <c r="K169" s="153">
        <v>0.3</v>
      </c>
      <c r="L169" s="152">
        <v>96.6</v>
      </c>
      <c r="M169" s="152">
        <v>2.2000000000000002</v>
      </c>
      <c r="N169" s="152">
        <v>1.2</v>
      </c>
      <c r="O169" s="154">
        <f t="shared" si="112"/>
        <v>100.3</v>
      </c>
      <c r="P169" s="152">
        <v>0.3</v>
      </c>
      <c r="Q169" s="30">
        <f>(100-$P$169)*L169/100</f>
        <v>96.310200000000009</v>
      </c>
      <c r="R169" s="30">
        <f t="shared" ref="R169:S169" si="113">(100-$P$169)*M169/100</f>
        <v>2.1934000000000005</v>
      </c>
      <c r="S169" s="30">
        <f t="shared" si="113"/>
        <v>1.1963999999999999</v>
      </c>
      <c r="T169" s="154" t="s">
        <v>1036</v>
      </c>
      <c r="U169" s="167">
        <v>81.430000000000007</v>
      </c>
      <c r="V169" s="167">
        <v>12.6</v>
      </c>
      <c r="W169" s="167">
        <v>0.06</v>
      </c>
      <c r="X169" s="167">
        <v>0.01</v>
      </c>
      <c r="Y169" s="167">
        <f>100-U169-V169-W169-X169</f>
        <v>5.8999999999999941</v>
      </c>
      <c r="Z169" s="168"/>
      <c r="AA169" s="154">
        <f>Z169+Y169+X169+W169+V169+U169</f>
        <v>100</v>
      </c>
      <c r="AB169" s="152">
        <v>81.430000000000007</v>
      </c>
      <c r="AC169" s="152">
        <v>12.6</v>
      </c>
      <c r="AD169" s="152">
        <v>0.06</v>
      </c>
      <c r="AE169" s="152">
        <v>0.01</v>
      </c>
      <c r="AF169" s="152">
        <v>5.8999999999999941</v>
      </c>
      <c r="AG169" s="155"/>
      <c r="AH169"/>
      <c r="AI169"/>
      <c r="AJ169" s="3">
        <v>44.17</v>
      </c>
      <c r="AK169">
        <f>AL169*(Q169+R169+S169)/(Q169+R169)</f>
        <v>44.841000734998516</v>
      </c>
      <c r="AL169">
        <f>AM169*(P169+Q169+R169+S169)/(Q169+R169+S169)</f>
        <v>44.302908726178536</v>
      </c>
      <c r="AM169" s="3">
        <v>44.17</v>
      </c>
      <c r="AN169" s="158">
        <v>60</v>
      </c>
    </row>
    <row r="170" spans="1:40" s="152" customFormat="1">
      <c r="A170" s="152">
        <f t="shared" si="93"/>
        <v>169</v>
      </c>
      <c r="B170" s="153" t="s">
        <v>1028</v>
      </c>
      <c r="C170" s="152">
        <v>6</v>
      </c>
      <c r="D170" s="152" t="s">
        <v>1053</v>
      </c>
      <c r="E170" s="152" t="s">
        <v>1054</v>
      </c>
      <c r="G170" s="153"/>
      <c r="J170" s="37" t="s">
        <v>453</v>
      </c>
      <c r="K170" s="153">
        <v>0.18</v>
      </c>
      <c r="L170" s="152">
        <v>97.85</v>
      </c>
      <c r="M170" s="152">
        <v>0.16</v>
      </c>
      <c r="N170" s="152">
        <v>1.99</v>
      </c>
      <c r="O170" s="154">
        <f t="shared" si="112"/>
        <v>100.17999999999999</v>
      </c>
      <c r="P170" s="152">
        <v>0.18</v>
      </c>
      <c r="Q170" s="30">
        <f>(100-$P$170)*L170/100</f>
        <v>97.673869999999994</v>
      </c>
      <c r="R170" s="30">
        <f t="shared" ref="R170:S170" si="114">(100-$P$170)*M170/100</f>
        <v>0.15971199999999999</v>
      </c>
      <c r="S170" s="30">
        <f t="shared" si="114"/>
        <v>1.9864179999999998</v>
      </c>
      <c r="T170" s="154"/>
      <c r="AA170" s="154"/>
      <c r="AG170" s="155"/>
      <c r="AJ170" s="155"/>
      <c r="AM170" s="155"/>
      <c r="AN170" s="158">
        <v>119</v>
      </c>
    </row>
    <row r="171" spans="1:40" s="152" customFormat="1">
      <c r="A171" s="152">
        <f t="shared" si="93"/>
        <v>170</v>
      </c>
      <c r="B171" s="153" t="s">
        <v>1028</v>
      </c>
      <c r="C171" s="152">
        <v>6</v>
      </c>
      <c r="D171" s="152" t="s">
        <v>1053</v>
      </c>
      <c r="E171" s="152" t="s">
        <v>1054</v>
      </c>
      <c r="G171" s="153"/>
      <c r="J171" s="153" t="s">
        <v>1036</v>
      </c>
      <c r="K171" s="153">
        <v>0.16</v>
      </c>
      <c r="L171" s="152">
        <v>96.46</v>
      </c>
      <c r="M171" s="152">
        <v>0.69</v>
      </c>
      <c r="N171" s="152">
        <v>2.77</v>
      </c>
      <c r="O171" s="154">
        <f t="shared" si="112"/>
        <v>100.07999999999998</v>
      </c>
      <c r="P171" s="152">
        <f>K171*(100/O171)</f>
        <v>0.1598721023181455</v>
      </c>
      <c r="Q171" s="152">
        <f t="shared" si="100"/>
        <v>96.382893685051968</v>
      </c>
      <c r="R171" s="152">
        <f t="shared" si="101"/>
        <v>0.68944844124700244</v>
      </c>
      <c r="S171" s="152">
        <f t="shared" si="102"/>
        <v>2.7677857713828939</v>
      </c>
      <c r="T171" s="154"/>
      <c r="AA171" s="154"/>
      <c r="AG171" s="155"/>
      <c r="AH171"/>
      <c r="AI171"/>
      <c r="AJ171" s="3"/>
      <c r="AK171"/>
      <c r="AL171"/>
      <c r="AM171" s="3"/>
      <c r="AN171" s="158">
        <v>57</v>
      </c>
    </row>
    <row r="172" spans="1:40" s="152" customFormat="1">
      <c r="A172" s="152">
        <f t="shared" si="93"/>
        <v>171</v>
      </c>
      <c r="B172" s="153" t="s">
        <v>1028</v>
      </c>
      <c r="C172" s="152">
        <v>6</v>
      </c>
      <c r="D172" s="152" t="s">
        <v>1053</v>
      </c>
      <c r="E172" s="152" t="s">
        <v>1054</v>
      </c>
      <c r="G172" s="153"/>
      <c r="J172" s="153" t="s">
        <v>1033</v>
      </c>
      <c r="K172" s="153">
        <v>0</v>
      </c>
      <c r="L172" s="152">
        <v>94.73</v>
      </c>
      <c r="M172" s="152">
        <v>1.93</v>
      </c>
      <c r="N172" s="152">
        <v>3.34</v>
      </c>
      <c r="O172" s="154">
        <f t="shared" si="112"/>
        <v>100.00000000000001</v>
      </c>
      <c r="P172" s="152">
        <v>0</v>
      </c>
      <c r="Q172" s="152">
        <f t="shared" si="100"/>
        <v>94.72999999999999</v>
      </c>
      <c r="R172" s="152">
        <f t="shared" si="101"/>
        <v>1.9299999999999997</v>
      </c>
      <c r="S172" s="152">
        <f t="shared" si="102"/>
        <v>3.3399999999999994</v>
      </c>
      <c r="T172" s="154" t="s">
        <v>1033</v>
      </c>
      <c r="U172" s="152">
        <v>84.32</v>
      </c>
      <c r="V172" s="152">
        <v>14.19</v>
      </c>
      <c r="W172" s="152">
        <v>0.67</v>
      </c>
      <c r="X172" s="152">
        <v>0.06</v>
      </c>
      <c r="Y172" s="152">
        <v>0.15</v>
      </c>
      <c r="Z172" s="152">
        <v>0.61</v>
      </c>
      <c r="AA172" s="154">
        <f>Z172+Y172+X172+W172+V172+U172</f>
        <v>100</v>
      </c>
      <c r="AB172" s="152">
        <f>U172*(100/AA172)</f>
        <v>84.32</v>
      </c>
      <c r="AC172" s="152">
        <f>V172*(100/AA172)</f>
        <v>14.19</v>
      </c>
      <c r="AD172" s="152">
        <f>W172*(100/AA172)</f>
        <v>0.67</v>
      </c>
      <c r="AE172" s="152">
        <f>X172*(100/AA172)</f>
        <v>0.06</v>
      </c>
      <c r="AF172" s="152">
        <f>Y172*(100/AA172)</f>
        <v>0.15</v>
      </c>
      <c r="AG172" s="155">
        <f>Z172*(100/AA172)</f>
        <v>0.61</v>
      </c>
      <c r="AH172"/>
      <c r="AI172"/>
      <c r="AJ172" s="3"/>
      <c r="AK172"/>
      <c r="AL172"/>
      <c r="AM172" s="3"/>
      <c r="AN172" s="156">
        <v>59</v>
      </c>
    </row>
    <row r="173" spans="1:40">
      <c r="A173">
        <f t="shared" si="93"/>
        <v>172</v>
      </c>
      <c r="B173" s="153" t="s">
        <v>1028</v>
      </c>
      <c r="C173" s="152">
        <v>6</v>
      </c>
      <c r="D173" s="152" t="s">
        <v>1053</v>
      </c>
      <c r="E173" t="s">
        <v>1054</v>
      </c>
      <c r="G173" s="8">
        <v>0.89700000000000002</v>
      </c>
      <c r="H173">
        <v>0.22</v>
      </c>
      <c r="AN173" s="181">
        <v>136</v>
      </c>
    </row>
    <row r="174" spans="1:40" s="152" customFormat="1">
      <c r="A174" s="152">
        <f t="shared" si="93"/>
        <v>173</v>
      </c>
      <c r="B174" s="153" t="s">
        <v>1028</v>
      </c>
      <c r="C174" s="152">
        <v>6</v>
      </c>
      <c r="D174" s="152" t="s">
        <v>1053</v>
      </c>
      <c r="E174" s="152" t="s">
        <v>1054</v>
      </c>
      <c r="G174" s="153"/>
      <c r="J174" s="153" t="s">
        <v>221</v>
      </c>
      <c r="K174" s="153">
        <v>0.44</v>
      </c>
      <c r="L174" s="152">
        <v>93.84</v>
      </c>
      <c r="M174" s="152">
        <v>2.04</v>
      </c>
      <c r="N174" s="152">
        <v>3.68</v>
      </c>
      <c r="O174" s="154">
        <f t="shared" si="112"/>
        <v>100.00000000000001</v>
      </c>
      <c r="P174" s="152">
        <v>0.44</v>
      </c>
      <c r="Q174" s="152">
        <f>L174*(100/O174)</f>
        <v>93.839999999999989</v>
      </c>
      <c r="R174" s="152">
        <f t="shared" si="101"/>
        <v>2.0399999999999996</v>
      </c>
      <c r="S174" s="152">
        <f t="shared" si="102"/>
        <v>3.6799999999999997</v>
      </c>
      <c r="T174" s="154" t="s">
        <v>1031</v>
      </c>
      <c r="U174" s="167">
        <v>83.28</v>
      </c>
      <c r="V174" s="167">
        <v>13.81</v>
      </c>
      <c r="W174" s="152">
        <v>1.01</v>
      </c>
      <c r="X174" s="152">
        <v>1E-3</v>
      </c>
      <c r="Y174" s="152">
        <v>1.9</v>
      </c>
      <c r="AA174" s="154">
        <f>Z174+Y174+X174+W174+V174+U174</f>
        <v>100.001</v>
      </c>
      <c r="AB174" s="152">
        <f>U174*(100/AA174)</f>
        <v>83.27916720832792</v>
      </c>
      <c r="AC174" s="152">
        <f>V174*(100/AA174)</f>
        <v>13.809861901380986</v>
      </c>
      <c r="AD174" s="152">
        <f>W174*(100/AA174)</f>
        <v>1.0099899001009989</v>
      </c>
      <c r="AE174" s="152">
        <f>X174*(100/AA174)</f>
        <v>9.9999000009999887E-4</v>
      </c>
      <c r="AF174" s="152">
        <f>Y174*(100/AA174)</f>
        <v>1.8999810001899979</v>
      </c>
      <c r="AG174" s="155"/>
      <c r="AH174"/>
      <c r="AI174"/>
      <c r="AJ174" s="3">
        <v>44.43</v>
      </c>
      <c r="AK174">
        <f>AL174*(Q174+R174+S174)/(Q174+R174)</f>
        <v>46.339173967459324</v>
      </c>
      <c r="AL174">
        <f>AM174*(P174+Q174+R174+S174)/(Q174+R174+S174)</f>
        <v>44.626355966251502</v>
      </c>
      <c r="AM174" s="3">
        <v>44.43</v>
      </c>
      <c r="AN174" s="158">
        <v>114</v>
      </c>
    </row>
    <row r="175" spans="1:40" s="152" customFormat="1">
      <c r="A175" s="152">
        <f t="shared" si="93"/>
        <v>174</v>
      </c>
      <c r="B175" s="153" t="s">
        <v>1028</v>
      </c>
      <c r="C175" s="152">
        <v>6</v>
      </c>
      <c r="D175" s="152" t="s">
        <v>1053</v>
      </c>
      <c r="E175" s="152" t="s">
        <v>1054</v>
      </c>
      <c r="G175" s="153"/>
      <c r="J175" s="153" t="s">
        <v>1036</v>
      </c>
      <c r="K175" s="153">
        <v>0.7</v>
      </c>
      <c r="L175" s="152">
        <v>96.9</v>
      </c>
      <c r="M175" s="152">
        <v>2.1</v>
      </c>
      <c r="N175" s="152">
        <v>5</v>
      </c>
      <c r="O175" s="154">
        <f>SUM(K175:N175)</f>
        <v>104.7</v>
      </c>
      <c r="P175" s="152">
        <f>K175*100/$O$175</f>
        <v>0.66857688634192936</v>
      </c>
      <c r="Q175" s="152">
        <f t="shared" ref="Q175:S175" si="115">L175*100/$O$175</f>
        <v>92.550143266475644</v>
      </c>
      <c r="R175" s="152">
        <f t="shared" si="115"/>
        <v>2.005730659025788</v>
      </c>
      <c r="S175" s="152">
        <f t="shared" si="115"/>
        <v>4.7755491881566376</v>
      </c>
      <c r="T175" s="154" t="s">
        <v>1031</v>
      </c>
      <c r="U175" s="167">
        <v>80.2</v>
      </c>
      <c r="V175" s="167">
        <v>12.71</v>
      </c>
      <c r="W175" s="167">
        <v>0.23</v>
      </c>
      <c r="X175" s="167">
        <v>0.03</v>
      </c>
      <c r="Y175" s="167">
        <f>100-U175-V175-W175-X175</f>
        <v>6.8299999999999956</v>
      </c>
      <c r="Z175" s="168"/>
      <c r="AA175" s="154">
        <f>Z175+Y175+X175+W175+V175+U175</f>
        <v>100</v>
      </c>
      <c r="AB175" s="167">
        <v>80.2</v>
      </c>
      <c r="AC175" s="167">
        <v>12.71</v>
      </c>
      <c r="AD175" s="167">
        <v>0.23</v>
      </c>
      <c r="AE175" s="167">
        <v>0.03</v>
      </c>
      <c r="AF175" s="167">
        <f>100-AB175-AC175-AD175-AE175</f>
        <v>6.8299999999999956</v>
      </c>
      <c r="AG175" s="155"/>
      <c r="AH175"/>
      <c r="AI175"/>
      <c r="AJ175" s="3">
        <v>42.84</v>
      </c>
      <c r="AK175">
        <f>AL175*(Q175+R175+S175)/(Q175+R175)</f>
        <v>45.306545454545457</v>
      </c>
      <c r="AL175">
        <f>AM175*(P175+Q175+R175+S175)/(Q175+R175+S175)</f>
        <v>43.128346153846159</v>
      </c>
      <c r="AM175" s="3">
        <v>42.84</v>
      </c>
      <c r="AN175" s="158">
        <v>60</v>
      </c>
    </row>
    <row r="176" spans="1:40" s="152" customFormat="1">
      <c r="A176" s="152">
        <f t="shared" si="93"/>
        <v>175</v>
      </c>
      <c r="B176" s="153" t="s">
        <v>1028</v>
      </c>
      <c r="C176" s="152">
        <v>6</v>
      </c>
      <c r="D176" s="152" t="s">
        <v>1053</v>
      </c>
      <c r="E176" s="152" t="s">
        <v>1054</v>
      </c>
      <c r="G176" s="153"/>
      <c r="J176" s="37" t="s">
        <v>453</v>
      </c>
      <c r="K176" s="153">
        <v>0.05</v>
      </c>
      <c r="L176" s="152">
        <v>99.98</v>
      </c>
      <c r="M176" s="152">
        <v>0</v>
      </c>
      <c r="N176" s="152">
        <v>0.02</v>
      </c>
      <c r="O176" s="154">
        <f>SUM(K176:N176)</f>
        <v>100.05</v>
      </c>
      <c r="P176" s="152">
        <v>0.05</v>
      </c>
      <c r="Q176" s="30">
        <f>(100-$P$176)*L176/100</f>
        <v>99.930009999999996</v>
      </c>
      <c r="R176" s="152">
        <f>(100-$P$176)*M176/100</f>
        <v>0</v>
      </c>
      <c r="S176" s="152">
        <f>(100-$P$176)*N176/100</f>
        <v>1.9990000000000001E-2</v>
      </c>
      <c r="T176" s="154"/>
      <c r="U176" s="167"/>
      <c r="V176" s="167"/>
      <c r="W176" s="167"/>
      <c r="X176" s="167"/>
      <c r="Y176" s="167"/>
      <c r="Z176" s="168"/>
      <c r="AA176" s="154"/>
      <c r="AG176" s="155"/>
      <c r="AH176"/>
      <c r="AI176">
        <v>45.2</v>
      </c>
      <c r="AJ176" s="3"/>
      <c r="AK176">
        <f>AL176*(Q176+R176+S176)/(Q176+R176)</f>
        <v>45.209041808361683</v>
      </c>
      <c r="AL176">
        <v>45.2</v>
      </c>
      <c r="AM176">
        <f t="shared" ref="AM176:AM178" si="116">AL176*(Q176+R176+S176)/(P176+Q176+R176+S176)</f>
        <v>45.177400000000006</v>
      </c>
      <c r="AN176" s="166">
        <v>18</v>
      </c>
    </row>
    <row r="177" spans="1:40" s="152" customFormat="1">
      <c r="A177" s="152">
        <f t="shared" si="93"/>
        <v>176</v>
      </c>
      <c r="B177" s="153" t="s">
        <v>1028</v>
      </c>
      <c r="C177" s="152">
        <v>6</v>
      </c>
      <c r="D177" s="152" t="s">
        <v>1053</v>
      </c>
      <c r="E177" s="152" t="s">
        <v>1054</v>
      </c>
      <c r="G177" s="153"/>
      <c r="J177" s="37" t="s">
        <v>453</v>
      </c>
      <c r="K177" s="153">
        <v>0</v>
      </c>
      <c r="L177" s="152">
        <v>99.84</v>
      </c>
      <c r="M177" s="152">
        <v>0</v>
      </c>
      <c r="N177" s="152">
        <v>0.16</v>
      </c>
      <c r="O177" s="154">
        <f>SUM(K177:N177)</f>
        <v>100</v>
      </c>
      <c r="P177" s="152">
        <v>0</v>
      </c>
      <c r="Q177" s="152">
        <v>99.84</v>
      </c>
      <c r="R177" s="152">
        <v>0</v>
      </c>
      <c r="S177" s="152">
        <v>0.16</v>
      </c>
      <c r="T177" s="154" t="s">
        <v>1031</v>
      </c>
      <c r="U177" s="167">
        <v>84.3</v>
      </c>
      <c r="V177" s="167">
        <v>14.44</v>
      </c>
      <c r="W177" s="167">
        <v>0.18</v>
      </c>
      <c r="X177" s="167">
        <v>0.03</v>
      </c>
      <c r="Y177" s="167">
        <v>1.05</v>
      </c>
      <c r="Z177" s="168"/>
      <c r="AA177" s="154">
        <f t="shared" ref="AA177:AA179" si="117">SUM(U177:Z177)</f>
        <v>100</v>
      </c>
      <c r="AB177" s="167">
        <v>84.3</v>
      </c>
      <c r="AC177" s="167">
        <v>14.44</v>
      </c>
      <c r="AD177" s="167">
        <v>0.18</v>
      </c>
      <c r="AE177" s="167">
        <v>0.03</v>
      </c>
      <c r="AF177" s="167">
        <v>1.05</v>
      </c>
      <c r="AG177" s="178"/>
      <c r="AH177"/>
      <c r="AI177" s="167">
        <v>45.768999999999998</v>
      </c>
      <c r="AJ177" s="3"/>
      <c r="AK177">
        <f>AL177*(Q177+R177+S177)/(Q177+R177)</f>
        <v>45.842347756410248</v>
      </c>
      <c r="AL177" s="167">
        <v>45.768999999999998</v>
      </c>
      <c r="AM177">
        <f t="shared" si="116"/>
        <v>45.768999999999998</v>
      </c>
      <c r="AN177" s="166">
        <v>18</v>
      </c>
    </row>
    <row r="178" spans="1:40" s="152" customFormat="1">
      <c r="A178" s="152">
        <f t="shared" si="93"/>
        <v>177</v>
      </c>
      <c r="B178" s="153" t="s">
        <v>1028</v>
      </c>
      <c r="C178" s="152">
        <v>6</v>
      </c>
      <c r="D178" s="152" t="s">
        <v>1053</v>
      </c>
      <c r="E178" s="152" t="s">
        <v>1054</v>
      </c>
      <c r="G178" s="153"/>
      <c r="J178" s="37" t="s">
        <v>453</v>
      </c>
      <c r="K178" s="153">
        <v>0.05</v>
      </c>
      <c r="L178" s="152">
        <v>99.97</v>
      </c>
      <c r="M178" s="152">
        <v>0.01</v>
      </c>
      <c r="N178" s="152">
        <v>0.02</v>
      </c>
      <c r="O178" s="154">
        <f>SUM(K178:N178)</f>
        <v>100.05</v>
      </c>
      <c r="P178" s="152">
        <v>0.05</v>
      </c>
      <c r="Q178" s="30">
        <f>(100-$P$178)*L178/100</f>
        <v>99.920015000000006</v>
      </c>
      <c r="R178" s="152">
        <f t="shared" ref="R178:S178" si="118">(100-$P$178)*M178/100</f>
        <v>9.9950000000000004E-3</v>
      </c>
      <c r="S178" s="152">
        <f t="shared" si="118"/>
        <v>1.9990000000000001E-2</v>
      </c>
      <c r="T178" s="154" t="s">
        <v>1031</v>
      </c>
      <c r="U178" s="167">
        <v>85.41</v>
      </c>
      <c r="V178" s="167">
        <v>12.51</v>
      </c>
      <c r="W178" s="167">
        <v>0.23</v>
      </c>
      <c r="X178" s="167">
        <v>0</v>
      </c>
      <c r="Y178" s="167">
        <v>1.85</v>
      </c>
      <c r="Z178" s="168"/>
      <c r="AA178" s="154">
        <f t="shared" si="117"/>
        <v>100</v>
      </c>
      <c r="AB178" s="167">
        <v>85.41</v>
      </c>
      <c r="AC178" s="167">
        <v>12.51</v>
      </c>
      <c r="AD178" s="167">
        <v>0.23</v>
      </c>
      <c r="AE178" s="167">
        <v>0</v>
      </c>
      <c r="AF178" s="167">
        <v>1.85</v>
      </c>
      <c r="AG178" s="178"/>
      <c r="AH178"/>
      <c r="AI178" s="167">
        <v>46.238999999999997</v>
      </c>
      <c r="AJ178" s="3"/>
      <c r="AK178">
        <f>AL178*(Q178+R178+S178)/(Q178+R178)</f>
        <v>46.248249649929981</v>
      </c>
      <c r="AL178" s="167">
        <v>46.238999999999997</v>
      </c>
      <c r="AM178">
        <f t="shared" si="116"/>
        <v>46.215880499999997</v>
      </c>
      <c r="AN178" s="166">
        <v>18</v>
      </c>
    </row>
    <row r="179" spans="1:40" s="152" customFormat="1">
      <c r="A179" s="152">
        <f t="shared" si="93"/>
        <v>178</v>
      </c>
      <c r="B179" s="153" t="s">
        <v>1028</v>
      </c>
      <c r="C179" s="152">
        <v>6</v>
      </c>
      <c r="D179" s="152" t="s">
        <v>1053</v>
      </c>
      <c r="E179" s="152" t="s">
        <v>1054</v>
      </c>
      <c r="G179" s="153"/>
      <c r="J179" s="37" t="s">
        <v>453</v>
      </c>
      <c r="K179" s="153">
        <v>0</v>
      </c>
      <c r="L179" s="152">
        <v>99.18</v>
      </c>
      <c r="M179" s="152">
        <v>0</v>
      </c>
      <c r="N179" s="152">
        <v>0.82</v>
      </c>
      <c r="O179" s="154">
        <f>SUM(K179:N179)</f>
        <v>100</v>
      </c>
      <c r="P179" s="152">
        <v>0</v>
      </c>
      <c r="Q179" s="152">
        <v>99.18</v>
      </c>
      <c r="R179" s="152">
        <v>0</v>
      </c>
      <c r="S179" s="152">
        <v>0.82</v>
      </c>
      <c r="T179" s="154" t="s">
        <v>1031</v>
      </c>
      <c r="U179" s="167">
        <v>83.75</v>
      </c>
      <c r="V179" s="167">
        <v>13.98</v>
      </c>
      <c r="W179" s="167">
        <v>0</v>
      </c>
      <c r="X179" s="167">
        <v>0</v>
      </c>
      <c r="Y179" s="167">
        <v>2.27</v>
      </c>
      <c r="Z179" s="168">
        <v>0</v>
      </c>
      <c r="AA179" s="154">
        <f t="shared" si="117"/>
        <v>100</v>
      </c>
      <c r="AB179" s="167">
        <v>83.75</v>
      </c>
      <c r="AC179" s="167">
        <v>13.98</v>
      </c>
      <c r="AD179" s="167">
        <v>0</v>
      </c>
      <c r="AE179" s="167">
        <v>0</v>
      </c>
      <c r="AF179" s="167">
        <v>2.27</v>
      </c>
      <c r="AG179" s="178">
        <v>0</v>
      </c>
      <c r="AH179"/>
      <c r="AI179"/>
      <c r="AJ179" s="3"/>
      <c r="AK179"/>
      <c r="AL179"/>
      <c r="AM179" s="3"/>
      <c r="AN179" s="166">
        <v>18</v>
      </c>
    </row>
    <row r="180" spans="1:40" s="152" customFormat="1">
      <c r="A180" s="152">
        <f t="shared" si="93"/>
        <v>179</v>
      </c>
      <c r="B180" s="153" t="s">
        <v>1028</v>
      </c>
      <c r="C180" s="152">
        <v>6</v>
      </c>
      <c r="D180" s="152" t="s">
        <v>1053</v>
      </c>
      <c r="E180" s="152" t="s">
        <v>1054</v>
      </c>
      <c r="G180" s="153"/>
      <c r="J180" s="37" t="s">
        <v>453</v>
      </c>
      <c r="K180" s="153">
        <v>0</v>
      </c>
      <c r="L180" s="152">
        <v>98.9</v>
      </c>
      <c r="M180" s="152">
        <v>0</v>
      </c>
      <c r="N180" s="152">
        <v>1.1000000000000001</v>
      </c>
      <c r="O180" s="154">
        <f>N180+M180+L180</f>
        <v>100</v>
      </c>
      <c r="P180" s="152">
        <v>0</v>
      </c>
      <c r="Q180" s="152">
        <f>L180*(100/O180)</f>
        <v>98.9</v>
      </c>
      <c r="R180" s="152">
        <f>M180*(100/O180)</f>
        <v>0</v>
      </c>
      <c r="S180" s="152">
        <f>N180*(100/O180)</f>
        <v>1.1000000000000001</v>
      </c>
      <c r="T180" s="154"/>
      <c r="AA180" s="154"/>
      <c r="AG180" s="155"/>
      <c r="AH180"/>
      <c r="AI180"/>
      <c r="AJ180" s="3"/>
      <c r="AK180"/>
      <c r="AL180"/>
      <c r="AM180" s="3"/>
      <c r="AN180" s="166">
        <v>18</v>
      </c>
    </row>
    <row r="181" spans="1:40" s="152" customFormat="1">
      <c r="A181" s="152">
        <f t="shared" si="93"/>
        <v>180</v>
      </c>
      <c r="B181" s="153" t="s">
        <v>1028</v>
      </c>
      <c r="C181" s="152">
        <v>6</v>
      </c>
      <c r="D181" s="152" t="s">
        <v>1053</v>
      </c>
      <c r="E181" s="152" t="s">
        <v>1054</v>
      </c>
      <c r="G181" s="153"/>
      <c r="J181" s="37" t="s">
        <v>453</v>
      </c>
      <c r="K181" s="153">
        <v>0.23</v>
      </c>
      <c r="L181" s="152">
        <v>99.79</v>
      </c>
      <c r="M181" s="152">
        <v>0.13</v>
      </c>
      <c r="N181" s="152">
        <v>0.08</v>
      </c>
      <c r="O181" s="154">
        <f>SUM(K181:N181)</f>
        <v>100.23</v>
      </c>
      <c r="P181" s="152">
        <v>0.23</v>
      </c>
      <c r="Q181" s="30">
        <f>(100-$P$181)*L181/100</f>
        <v>99.560483000000005</v>
      </c>
      <c r="R181" s="152">
        <f t="shared" ref="R181:S181" si="119">(100-$P$181)*M181/100</f>
        <v>0.12970100000000001</v>
      </c>
      <c r="S181" s="152">
        <f t="shared" si="119"/>
        <v>7.9815999999999998E-2</v>
      </c>
      <c r="T181" s="154" t="s">
        <v>1031</v>
      </c>
      <c r="U181" s="167">
        <v>84.62</v>
      </c>
      <c r="V181" s="167">
        <v>15.23</v>
      </c>
      <c r="W181" s="167">
        <v>0.14000000000000001</v>
      </c>
      <c r="X181" s="167">
        <v>0.01</v>
      </c>
      <c r="Y181" s="167">
        <v>0</v>
      </c>
      <c r="Z181" s="168">
        <v>0</v>
      </c>
      <c r="AA181" s="154">
        <f t="shared" ref="AA181:AA183" si="120">SUM(U181:Z181)</f>
        <v>100.00000000000001</v>
      </c>
      <c r="AB181" s="167">
        <v>84.62</v>
      </c>
      <c r="AC181" s="167">
        <v>15.23</v>
      </c>
      <c r="AD181" s="167">
        <v>0.14000000000000001</v>
      </c>
      <c r="AE181" s="167">
        <v>0.01</v>
      </c>
      <c r="AF181" s="167">
        <v>0</v>
      </c>
      <c r="AG181" s="178">
        <v>0</v>
      </c>
      <c r="AH181"/>
      <c r="AI181"/>
      <c r="AJ181" s="3"/>
      <c r="AK181"/>
      <c r="AL181"/>
      <c r="AM181" s="3"/>
      <c r="AN181" s="166">
        <v>18</v>
      </c>
    </row>
    <row r="182" spans="1:40" s="152" customFormat="1">
      <c r="A182" s="152">
        <f t="shared" si="93"/>
        <v>181</v>
      </c>
      <c r="B182" s="153" t="s">
        <v>1028</v>
      </c>
      <c r="C182" s="152">
        <v>6</v>
      </c>
      <c r="D182" s="152" t="s">
        <v>1053</v>
      </c>
      <c r="E182" s="152" t="s">
        <v>1054</v>
      </c>
      <c r="G182" s="153"/>
      <c r="J182" s="153"/>
      <c r="K182" s="153"/>
      <c r="O182" s="154"/>
      <c r="T182" s="154" t="s">
        <v>1031</v>
      </c>
      <c r="U182" s="167">
        <v>85.22</v>
      </c>
      <c r="V182" s="167">
        <v>13.7</v>
      </c>
      <c r="W182" s="167">
        <v>0</v>
      </c>
      <c r="X182" s="167">
        <v>0</v>
      </c>
      <c r="Y182" s="167">
        <v>1.08</v>
      </c>
      <c r="Z182" s="168">
        <v>0</v>
      </c>
      <c r="AA182" s="154">
        <f t="shared" si="120"/>
        <v>100</v>
      </c>
      <c r="AB182" s="167">
        <v>85.22</v>
      </c>
      <c r="AC182" s="167">
        <v>13.7</v>
      </c>
      <c r="AD182" s="167">
        <v>0</v>
      </c>
      <c r="AE182" s="167">
        <v>0</v>
      </c>
      <c r="AF182" s="167">
        <v>1.08</v>
      </c>
      <c r="AG182" s="178">
        <v>0</v>
      </c>
      <c r="AH182"/>
      <c r="AI182"/>
      <c r="AJ182" s="3"/>
      <c r="AK182"/>
      <c r="AL182"/>
      <c r="AM182" s="3"/>
      <c r="AN182" s="166">
        <v>18</v>
      </c>
    </row>
    <row r="183" spans="1:40" s="152" customFormat="1">
      <c r="A183" s="152">
        <f t="shared" si="93"/>
        <v>182</v>
      </c>
      <c r="B183" s="153" t="s">
        <v>1028</v>
      </c>
      <c r="C183" s="152">
        <v>6</v>
      </c>
      <c r="D183" s="152" t="s">
        <v>1053</v>
      </c>
      <c r="E183" s="152" t="s">
        <v>1054</v>
      </c>
      <c r="G183" s="153"/>
      <c r="J183" s="153"/>
      <c r="K183" s="153"/>
      <c r="O183" s="154"/>
      <c r="T183" s="154" t="s">
        <v>1031</v>
      </c>
      <c r="U183" s="167">
        <v>85.1</v>
      </c>
      <c r="V183" s="167">
        <v>14.4</v>
      </c>
      <c r="W183" s="167">
        <v>0</v>
      </c>
      <c r="X183" s="167">
        <v>0</v>
      </c>
      <c r="Y183" s="167">
        <v>0.5</v>
      </c>
      <c r="Z183" s="168"/>
      <c r="AA183" s="154">
        <f t="shared" si="120"/>
        <v>100</v>
      </c>
      <c r="AB183" s="167">
        <v>85.1</v>
      </c>
      <c r="AC183" s="167">
        <v>14.4</v>
      </c>
      <c r="AD183" s="167">
        <v>0</v>
      </c>
      <c r="AE183" s="167">
        <v>0</v>
      </c>
      <c r="AF183" s="167">
        <v>0.5</v>
      </c>
      <c r="AG183" s="178"/>
      <c r="AH183"/>
      <c r="AI183"/>
      <c r="AJ183" s="3"/>
      <c r="AK183"/>
      <c r="AL183"/>
      <c r="AM183" s="3"/>
      <c r="AN183" s="166">
        <v>18</v>
      </c>
    </row>
    <row r="184" spans="1:40" s="152" customFormat="1">
      <c r="A184" s="152">
        <f t="shared" si="93"/>
        <v>183</v>
      </c>
      <c r="B184" s="153" t="s">
        <v>1028</v>
      </c>
      <c r="C184" s="152">
        <v>6</v>
      </c>
      <c r="D184" s="152" t="s">
        <v>1053</v>
      </c>
      <c r="E184" s="152" t="s">
        <v>1054</v>
      </c>
      <c r="G184" s="153"/>
      <c r="J184" s="153"/>
      <c r="K184" s="153"/>
      <c r="O184" s="154"/>
      <c r="T184" s="154" t="s">
        <v>1031</v>
      </c>
      <c r="U184" s="167">
        <v>86.72</v>
      </c>
      <c r="V184" s="167">
        <v>13.28</v>
      </c>
      <c r="W184" s="167">
        <v>0</v>
      </c>
      <c r="X184" s="167">
        <v>0</v>
      </c>
      <c r="Y184" s="167">
        <v>0</v>
      </c>
      <c r="Z184" s="168"/>
      <c r="AA184" s="160">
        <f>SUM(U184:Z184)</f>
        <v>100</v>
      </c>
      <c r="AB184" s="167">
        <v>86.72</v>
      </c>
      <c r="AC184" s="167">
        <v>13.28</v>
      </c>
      <c r="AD184" s="167">
        <v>0</v>
      </c>
      <c r="AE184" s="167">
        <v>0</v>
      </c>
      <c r="AF184" s="167">
        <v>0</v>
      </c>
      <c r="AG184" s="178"/>
      <c r="AH184"/>
      <c r="AI184"/>
      <c r="AJ184" s="3"/>
      <c r="AK184"/>
      <c r="AL184"/>
      <c r="AM184" s="3"/>
      <c r="AN184" s="166">
        <v>18</v>
      </c>
    </row>
    <row r="185" spans="1:40" s="152" customFormat="1">
      <c r="A185" s="152">
        <f t="shared" si="93"/>
        <v>184</v>
      </c>
      <c r="B185" s="153" t="s">
        <v>1028</v>
      </c>
      <c r="C185" s="152">
        <v>6</v>
      </c>
      <c r="D185" s="152" t="s">
        <v>1053</v>
      </c>
      <c r="E185" s="152" t="s">
        <v>1054</v>
      </c>
      <c r="G185" s="153"/>
      <c r="J185" s="153"/>
      <c r="K185" s="153"/>
      <c r="O185" s="154"/>
      <c r="T185" s="154" t="s">
        <v>1031</v>
      </c>
      <c r="U185" s="152">
        <v>86.39</v>
      </c>
      <c r="V185">
        <v>13.61</v>
      </c>
      <c r="W185">
        <v>0</v>
      </c>
      <c r="X185">
        <v>0</v>
      </c>
      <c r="Y185">
        <v>0</v>
      </c>
      <c r="Z185" s="152">
        <v>0</v>
      </c>
      <c r="AA185" s="154">
        <f>Z185+Y185+X185+W185+V185+U185</f>
        <v>100</v>
      </c>
      <c r="AB185" s="152">
        <f>U185*(100/AA185)</f>
        <v>86.39</v>
      </c>
      <c r="AC185" s="152">
        <f>V185*(100/AA185)</f>
        <v>13.61</v>
      </c>
      <c r="AD185" s="152">
        <f>W185*(100/AA185)</f>
        <v>0</v>
      </c>
      <c r="AE185" s="152">
        <f>X185*(100/AA185)</f>
        <v>0</v>
      </c>
      <c r="AF185" s="152">
        <f>Y185*(100/AA185)</f>
        <v>0</v>
      </c>
      <c r="AG185" s="155">
        <f>Z185*(100/AA185)</f>
        <v>0</v>
      </c>
      <c r="AH185"/>
      <c r="AI185"/>
      <c r="AJ185" s="3"/>
      <c r="AK185"/>
      <c r="AL185"/>
      <c r="AM185" s="3"/>
      <c r="AN185" s="166">
        <v>18</v>
      </c>
    </row>
    <row r="186" spans="1:40" s="152" customFormat="1">
      <c r="A186" s="152">
        <f t="shared" si="93"/>
        <v>185</v>
      </c>
      <c r="B186" s="153" t="s">
        <v>1028</v>
      </c>
      <c r="C186" s="152">
        <v>6</v>
      </c>
      <c r="D186" s="152" t="s">
        <v>1053</v>
      </c>
      <c r="E186" s="152" t="s">
        <v>1054</v>
      </c>
      <c r="F186" s="152" t="s">
        <v>1203</v>
      </c>
      <c r="G186" s="153">
        <v>0.86</v>
      </c>
      <c r="J186" s="153"/>
      <c r="K186" s="153"/>
      <c r="O186" s="154"/>
      <c r="T186" s="154"/>
      <c r="AA186" s="154"/>
      <c r="AG186" s="155"/>
      <c r="AH186"/>
      <c r="AI186"/>
      <c r="AJ186" s="3"/>
      <c r="AK186"/>
      <c r="AL186"/>
      <c r="AM186" s="3"/>
      <c r="AN186" s="156">
        <v>93</v>
      </c>
    </row>
    <row r="187" spans="1:40" s="152" customFormat="1">
      <c r="A187" s="152">
        <f t="shared" si="93"/>
        <v>186</v>
      </c>
      <c r="B187" s="153" t="s">
        <v>1028</v>
      </c>
      <c r="C187" s="152">
        <v>6</v>
      </c>
      <c r="D187" s="152" t="s">
        <v>1053</v>
      </c>
      <c r="E187" s="152" t="s">
        <v>1055</v>
      </c>
      <c r="F187" s="152" t="s">
        <v>1207</v>
      </c>
      <c r="G187" s="153">
        <v>0.94</v>
      </c>
      <c r="J187" s="153"/>
      <c r="K187" s="153"/>
      <c r="O187" s="154"/>
      <c r="T187" s="154"/>
      <c r="AA187" s="154"/>
      <c r="AG187" s="155"/>
      <c r="AH187"/>
      <c r="AI187"/>
      <c r="AJ187" s="3"/>
      <c r="AK187"/>
      <c r="AL187"/>
      <c r="AM187" s="3"/>
      <c r="AN187" s="156">
        <v>95</v>
      </c>
    </row>
    <row r="188" spans="1:40" s="152" customFormat="1" ht="13.5" customHeight="1">
      <c r="A188" s="152">
        <f t="shared" si="93"/>
        <v>187</v>
      </c>
      <c r="B188" s="153" t="s">
        <v>1028</v>
      </c>
      <c r="C188" s="152">
        <v>6</v>
      </c>
      <c r="D188" s="152" t="s">
        <v>1053</v>
      </c>
      <c r="E188" s="152" t="s">
        <v>1054</v>
      </c>
      <c r="F188" s="152" t="s">
        <v>1207</v>
      </c>
      <c r="G188" s="153"/>
      <c r="H188" s="152">
        <v>0.16</v>
      </c>
      <c r="I188" s="152">
        <v>1.8</v>
      </c>
      <c r="J188" s="153"/>
      <c r="K188" s="153"/>
      <c r="O188" s="154"/>
      <c r="T188" s="154"/>
      <c r="AA188" s="154"/>
      <c r="AG188" s="155"/>
      <c r="AH188"/>
      <c r="AI188"/>
      <c r="AJ188" s="3"/>
      <c r="AK188"/>
      <c r="AL188"/>
      <c r="AM188" s="3"/>
      <c r="AN188" s="158">
        <v>98</v>
      </c>
    </row>
    <row r="189" spans="1:40" s="152" customFormat="1">
      <c r="A189" s="152">
        <f t="shared" si="93"/>
        <v>188</v>
      </c>
      <c r="B189" s="153" t="s">
        <v>1028</v>
      </c>
      <c r="C189" s="152">
        <v>6</v>
      </c>
      <c r="D189" s="152" t="s">
        <v>1053</v>
      </c>
      <c r="E189" s="152" t="s">
        <v>1054</v>
      </c>
      <c r="G189" s="153">
        <v>0.90400000000000003</v>
      </c>
      <c r="J189" s="153"/>
      <c r="K189" s="153"/>
      <c r="O189" s="154"/>
      <c r="T189" s="154"/>
      <c r="AA189" s="154"/>
      <c r="AG189" s="155"/>
      <c r="AH189"/>
      <c r="AI189"/>
      <c r="AJ189" s="3"/>
      <c r="AK189"/>
      <c r="AL189"/>
      <c r="AM189" s="3"/>
      <c r="AN189" s="158">
        <v>106</v>
      </c>
    </row>
    <row r="190" spans="1:40" s="152" customFormat="1">
      <c r="A190" s="152">
        <f t="shared" si="93"/>
        <v>189</v>
      </c>
      <c r="B190" s="153" t="s">
        <v>1028</v>
      </c>
      <c r="C190" s="152">
        <v>6</v>
      </c>
      <c r="D190" s="152" t="s">
        <v>1053</v>
      </c>
      <c r="E190" s="152" t="s">
        <v>1054</v>
      </c>
      <c r="G190" s="153">
        <v>0.91800000000000004</v>
      </c>
      <c r="J190" s="153"/>
      <c r="K190" s="153"/>
      <c r="O190" s="154"/>
      <c r="T190" s="154"/>
      <c r="AA190" s="154"/>
      <c r="AG190" s="155"/>
      <c r="AH190"/>
      <c r="AI190"/>
      <c r="AJ190" s="3"/>
      <c r="AK190"/>
      <c r="AL190"/>
      <c r="AM190" s="3"/>
      <c r="AN190" s="158">
        <v>106</v>
      </c>
    </row>
    <row r="191" spans="1:40" s="152" customFormat="1">
      <c r="A191" s="152">
        <f t="shared" si="93"/>
        <v>190</v>
      </c>
      <c r="B191" s="153" t="s">
        <v>1028</v>
      </c>
      <c r="C191" s="152">
        <v>6</v>
      </c>
      <c r="D191" s="152" t="s">
        <v>1053</v>
      </c>
      <c r="E191" s="152" t="s">
        <v>1054</v>
      </c>
      <c r="G191" s="153">
        <v>0.90400000000000003</v>
      </c>
      <c r="J191" s="153"/>
      <c r="K191" s="153"/>
      <c r="O191" s="154"/>
      <c r="T191" s="154"/>
      <c r="AA191" s="154"/>
      <c r="AG191" s="155"/>
      <c r="AH191"/>
      <c r="AI191"/>
      <c r="AJ191" s="3"/>
      <c r="AK191"/>
      <c r="AL191"/>
      <c r="AM191" s="3"/>
      <c r="AN191" s="158">
        <v>106</v>
      </c>
    </row>
    <row r="192" spans="1:40" s="152" customFormat="1">
      <c r="A192" s="152">
        <f t="shared" si="93"/>
        <v>191</v>
      </c>
      <c r="B192" s="153" t="s">
        <v>1028</v>
      </c>
      <c r="C192" s="152">
        <v>6</v>
      </c>
      <c r="D192" s="152" t="s">
        <v>1053</v>
      </c>
      <c r="E192" s="152" t="s">
        <v>1054</v>
      </c>
      <c r="G192" s="153">
        <v>0.90700000000000003</v>
      </c>
      <c r="J192" s="153"/>
      <c r="K192" s="153"/>
      <c r="O192" s="154"/>
      <c r="T192" s="154"/>
      <c r="AA192" s="154"/>
      <c r="AG192" s="155"/>
      <c r="AH192"/>
      <c r="AI192"/>
      <c r="AJ192" s="3"/>
      <c r="AK192"/>
      <c r="AL192"/>
      <c r="AM192" s="3"/>
      <c r="AN192" s="158">
        <v>106</v>
      </c>
    </row>
    <row r="193" spans="1:40" s="152" customFormat="1">
      <c r="A193" s="152">
        <f t="shared" si="93"/>
        <v>192</v>
      </c>
      <c r="B193" s="153" t="s">
        <v>1028</v>
      </c>
      <c r="C193" s="152">
        <v>6</v>
      </c>
      <c r="D193" s="152" t="s">
        <v>1053</v>
      </c>
      <c r="E193" s="152" t="s">
        <v>1054</v>
      </c>
      <c r="G193" s="153"/>
      <c r="H193" s="152">
        <v>0.245</v>
      </c>
      <c r="J193" s="153"/>
      <c r="K193" s="153"/>
      <c r="O193" s="154"/>
      <c r="T193" s="154"/>
      <c r="AA193" s="154"/>
      <c r="AG193" s="155"/>
      <c r="AH193"/>
      <c r="AI193"/>
      <c r="AJ193" s="3"/>
      <c r="AK193"/>
      <c r="AL193"/>
      <c r="AM193" s="3"/>
      <c r="AN193" s="158">
        <v>109</v>
      </c>
    </row>
    <row r="194" spans="1:40" s="152" customFormat="1">
      <c r="A194" s="152">
        <f t="shared" si="93"/>
        <v>193</v>
      </c>
      <c r="B194" s="153" t="s">
        <v>1028</v>
      </c>
      <c r="C194" s="152">
        <v>6</v>
      </c>
      <c r="D194" s="152" t="s">
        <v>1053</v>
      </c>
      <c r="E194" s="152" t="s">
        <v>1054</v>
      </c>
      <c r="F194" s="152" t="s">
        <v>1208</v>
      </c>
      <c r="G194" s="153">
        <v>0.90300000000000002</v>
      </c>
      <c r="H194" s="152">
        <v>0.22</v>
      </c>
      <c r="I194" s="152">
        <v>1.67</v>
      </c>
      <c r="J194" s="153"/>
      <c r="K194" s="153"/>
      <c r="O194" s="154"/>
      <c r="T194" s="154"/>
      <c r="AA194" s="154"/>
      <c r="AG194" s="155"/>
      <c r="AH194"/>
      <c r="AI194"/>
      <c r="AJ194" s="3"/>
      <c r="AK194"/>
      <c r="AL194"/>
      <c r="AM194" s="3"/>
      <c r="AN194" s="158">
        <v>115</v>
      </c>
    </row>
    <row r="195" spans="1:40" s="152" customFormat="1">
      <c r="A195" s="152">
        <f t="shared" si="93"/>
        <v>194</v>
      </c>
      <c r="B195" s="153" t="s">
        <v>1028</v>
      </c>
      <c r="C195" s="152">
        <v>6</v>
      </c>
      <c r="D195" s="152" t="s">
        <v>1053</v>
      </c>
      <c r="E195" s="152" t="s">
        <v>1054</v>
      </c>
      <c r="G195" s="153">
        <v>0.90300000000000002</v>
      </c>
      <c r="J195" s="153"/>
      <c r="K195" s="153"/>
      <c r="O195" s="154"/>
      <c r="T195" s="154" t="s">
        <v>1031</v>
      </c>
      <c r="U195" s="167">
        <v>86.06</v>
      </c>
      <c r="V195" s="167">
        <v>13.7</v>
      </c>
      <c r="W195" s="152">
        <v>0</v>
      </c>
      <c r="X195" s="152">
        <v>0</v>
      </c>
      <c r="Y195" s="152">
        <v>0</v>
      </c>
      <c r="Z195" s="152">
        <v>0</v>
      </c>
      <c r="AA195" s="154">
        <f t="shared" ref="AA195:AA204" si="121">Z195+Y195+X195+W195+V195+U195</f>
        <v>99.76</v>
      </c>
      <c r="AB195" s="152">
        <f t="shared" ref="AB195:AB204" si="122">U195*(100/AA195)</f>
        <v>86.267040898155571</v>
      </c>
      <c r="AC195" s="152">
        <f t="shared" ref="AC195:AC204" si="123">V195*(100/AA195)</f>
        <v>13.732959101844425</v>
      </c>
      <c r="AD195" s="152">
        <f t="shared" ref="AD195:AD204" si="124">W195*(100/AA195)</f>
        <v>0</v>
      </c>
      <c r="AE195" s="152">
        <f t="shared" ref="AE195:AE204" si="125">X195*(100/AA195)</f>
        <v>0</v>
      </c>
      <c r="AF195" s="152">
        <f t="shared" ref="AF195:AF204" si="126">Y195*(100/AA195)</f>
        <v>0</v>
      </c>
      <c r="AG195" s="155">
        <f t="shared" ref="AG195:AG204" si="127">Z195*(100/AA195)</f>
        <v>0</v>
      </c>
      <c r="AH195"/>
      <c r="AI195"/>
      <c r="AJ195" s="3"/>
      <c r="AK195"/>
      <c r="AL195"/>
      <c r="AM195" s="3"/>
      <c r="AN195" s="158">
        <v>82</v>
      </c>
    </row>
    <row r="196" spans="1:40">
      <c r="A196">
        <f t="shared" si="93"/>
        <v>195</v>
      </c>
      <c r="B196" s="153" t="s">
        <v>1028</v>
      </c>
      <c r="C196" s="152">
        <v>6</v>
      </c>
      <c r="D196" s="152" t="s">
        <v>1053</v>
      </c>
      <c r="E196" t="s">
        <v>1054</v>
      </c>
      <c r="F196" t="s">
        <v>1180</v>
      </c>
      <c r="G196" s="8">
        <v>0.88500000000000001</v>
      </c>
      <c r="H196">
        <v>0.12</v>
      </c>
      <c r="I196">
        <v>1.6220000000000001</v>
      </c>
      <c r="AN196" s="181">
        <v>130</v>
      </c>
    </row>
    <row r="197" spans="1:40">
      <c r="A197">
        <f t="shared" si="93"/>
        <v>196</v>
      </c>
      <c r="B197" s="153" t="s">
        <v>1028</v>
      </c>
      <c r="C197" s="152">
        <v>6</v>
      </c>
      <c r="D197" s="152" t="s">
        <v>1053</v>
      </c>
      <c r="E197" t="s">
        <v>1054</v>
      </c>
      <c r="F197" t="s">
        <v>1185</v>
      </c>
      <c r="H197" s="152">
        <v>0.2</v>
      </c>
      <c r="AN197" s="181">
        <v>132</v>
      </c>
    </row>
    <row r="198" spans="1:40" s="152" customFormat="1">
      <c r="A198" s="152">
        <f t="shared" si="93"/>
        <v>197</v>
      </c>
      <c r="B198" s="153" t="s">
        <v>1028</v>
      </c>
      <c r="C198" s="152">
        <v>6</v>
      </c>
      <c r="D198" s="152" t="s">
        <v>1053</v>
      </c>
      <c r="E198" s="152" t="s">
        <v>1055</v>
      </c>
      <c r="G198" s="153"/>
      <c r="J198" s="153"/>
      <c r="K198" s="153"/>
      <c r="O198" s="154"/>
      <c r="T198" s="154" t="s">
        <v>1033</v>
      </c>
      <c r="U198" s="152">
        <v>83.28</v>
      </c>
      <c r="V198" s="152">
        <v>13.61</v>
      </c>
      <c r="W198" s="152">
        <v>0.16</v>
      </c>
      <c r="X198" s="152">
        <v>0</v>
      </c>
      <c r="Y198" s="152">
        <v>2.96</v>
      </c>
      <c r="AA198" s="154">
        <f t="shared" si="121"/>
        <v>100.01</v>
      </c>
      <c r="AB198" s="152">
        <f t="shared" si="122"/>
        <v>83.271672832716732</v>
      </c>
      <c r="AC198" s="152">
        <f t="shared" si="123"/>
        <v>13.60863913608639</v>
      </c>
      <c r="AD198" s="152">
        <f t="shared" si="124"/>
        <v>0.15998400159984003</v>
      </c>
      <c r="AE198" s="152">
        <f t="shared" si="125"/>
        <v>0</v>
      </c>
      <c r="AF198" s="152">
        <f t="shared" si="126"/>
        <v>2.9597040295970403</v>
      </c>
      <c r="AG198" s="155"/>
      <c r="AH198"/>
      <c r="AI198"/>
      <c r="AJ198" s="3"/>
      <c r="AK198"/>
      <c r="AL198"/>
      <c r="AM198" s="3"/>
      <c r="AN198" s="156">
        <v>90</v>
      </c>
    </row>
    <row r="199" spans="1:40" s="161" customFormat="1">
      <c r="A199" s="161">
        <f t="shared" ref="A199:A262" si="128">A198+1</f>
        <v>198</v>
      </c>
      <c r="B199" s="162" t="s">
        <v>1028</v>
      </c>
      <c r="C199" s="161">
        <v>7</v>
      </c>
      <c r="D199" s="161" t="s">
        <v>1056</v>
      </c>
      <c r="E199" s="161" t="s">
        <v>1057</v>
      </c>
      <c r="G199" s="162"/>
      <c r="J199" s="162" t="s">
        <v>221</v>
      </c>
      <c r="K199" s="162">
        <v>0</v>
      </c>
      <c r="L199" s="161">
        <v>99.9</v>
      </c>
      <c r="M199" s="161">
        <v>0.1</v>
      </c>
      <c r="N199" s="161">
        <v>0</v>
      </c>
      <c r="O199" s="163">
        <f t="shared" ref="O199" si="129">N199+M199+L199</f>
        <v>100</v>
      </c>
      <c r="P199" s="161">
        <v>0</v>
      </c>
      <c r="Q199" s="161">
        <f t="shared" ref="Q199:Q226" si="130">L199*(100/O199)</f>
        <v>99.9</v>
      </c>
      <c r="R199" s="161">
        <f t="shared" ref="R199:R226" si="131">M199*(100/O199)</f>
        <v>0.1</v>
      </c>
      <c r="S199" s="161">
        <f t="shared" ref="S199:S226" si="132">N199*(100/O199)</f>
        <v>0</v>
      </c>
      <c r="T199" s="163" t="s">
        <v>1033</v>
      </c>
      <c r="U199" s="161">
        <v>92.8</v>
      </c>
      <c r="V199" s="161">
        <v>7.2</v>
      </c>
      <c r="W199" s="161">
        <v>0</v>
      </c>
      <c r="X199" s="161">
        <v>0</v>
      </c>
      <c r="Y199" s="161">
        <v>0</v>
      </c>
      <c r="AA199" s="163">
        <f t="shared" si="121"/>
        <v>100</v>
      </c>
      <c r="AB199" s="161">
        <f t="shared" si="122"/>
        <v>92.8</v>
      </c>
      <c r="AC199" s="161">
        <f t="shared" si="123"/>
        <v>7.2</v>
      </c>
      <c r="AD199" s="161">
        <f t="shared" si="124"/>
        <v>0</v>
      </c>
      <c r="AE199" s="161">
        <f t="shared" si="125"/>
        <v>0</v>
      </c>
      <c r="AF199" s="161">
        <f t="shared" si="126"/>
        <v>0</v>
      </c>
      <c r="AG199" s="164"/>
      <c r="AH199" s="6"/>
      <c r="AI199" s="6"/>
      <c r="AJ199" s="7">
        <v>46.116</v>
      </c>
      <c r="AK199">
        <f>AL199*(Q199+R199+S199)/(Q199+R199)</f>
        <v>46.116000000000007</v>
      </c>
      <c r="AL199">
        <f>AM199*(P199+Q199+R199+S199)/(Q199+R199+S199)</f>
        <v>46.116000000000007</v>
      </c>
      <c r="AM199" s="7">
        <v>46.116</v>
      </c>
      <c r="AN199" s="179">
        <v>61</v>
      </c>
    </row>
    <row r="200" spans="1:40" s="152" customFormat="1">
      <c r="A200" s="152">
        <f t="shared" si="128"/>
        <v>199</v>
      </c>
      <c r="B200" s="153" t="s">
        <v>1028</v>
      </c>
      <c r="C200" s="152">
        <v>7</v>
      </c>
      <c r="D200" s="152" t="s">
        <v>1056</v>
      </c>
      <c r="E200" s="152" t="s">
        <v>1057</v>
      </c>
      <c r="G200" s="153"/>
      <c r="J200" s="153"/>
      <c r="K200" s="153"/>
      <c r="O200" s="154"/>
      <c r="T200" s="154" t="s">
        <v>1033</v>
      </c>
      <c r="U200" s="152">
        <v>93.63</v>
      </c>
      <c r="V200" s="152">
        <v>6.36</v>
      </c>
      <c r="W200" s="152">
        <v>0</v>
      </c>
      <c r="X200" s="152">
        <v>0</v>
      </c>
      <c r="Y200" s="152">
        <v>0</v>
      </c>
      <c r="Z200" s="152">
        <v>0</v>
      </c>
      <c r="AA200" s="154">
        <f t="shared" si="121"/>
        <v>99.99</v>
      </c>
      <c r="AB200" s="152">
        <f t="shared" si="122"/>
        <v>93.63936393639365</v>
      </c>
      <c r="AC200" s="152">
        <f t="shared" si="123"/>
        <v>6.3606360636063615</v>
      </c>
      <c r="AD200" s="152">
        <f t="shared" si="124"/>
        <v>0</v>
      </c>
      <c r="AE200" s="152">
        <f t="shared" si="125"/>
        <v>0</v>
      </c>
      <c r="AF200" s="152">
        <f t="shared" si="126"/>
        <v>0</v>
      </c>
      <c r="AG200" s="155">
        <f t="shared" si="127"/>
        <v>0</v>
      </c>
      <c r="AH200"/>
      <c r="AI200"/>
      <c r="AJ200" s="3"/>
      <c r="AK200"/>
      <c r="AL200"/>
      <c r="AM200" s="3"/>
      <c r="AN200" s="157">
        <v>124</v>
      </c>
    </row>
    <row r="201" spans="1:40" s="152" customFormat="1">
      <c r="A201" s="152">
        <f t="shared" si="128"/>
        <v>200</v>
      </c>
      <c r="B201" s="153" t="s">
        <v>1028</v>
      </c>
      <c r="C201" s="152">
        <v>7</v>
      </c>
      <c r="D201" s="152" t="s">
        <v>1056</v>
      </c>
      <c r="E201" s="152" t="s">
        <v>1057</v>
      </c>
      <c r="G201" s="153"/>
      <c r="J201" s="153" t="s">
        <v>1037</v>
      </c>
      <c r="K201" s="153">
        <v>0</v>
      </c>
      <c r="L201" s="152">
        <v>100</v>
      </c>
      <c r="M201" s="152">
        <v>0</v>
      </c>
      <c r="N201" s="152">
        <v>0</v>
      </c>
      <c r="O201" s="154">
        <f t="shared" ref="O201:O202" si="133">SUM(K201:N201)</f>
        <v>100</v>
      </c>
      <c r="P201" s="152">
        <v>0</v>
      </c>
      <c r="Q201" s="152">
        <f t="shared" si="130"/>
        <v>100</v>
      </c>
      <c r="R201" s="152">
        <f t="shared" si="131"/>
        <v>0</v>
      </c>
      <c r="S201" s="152">
        <f t="shared" si="132"/>
        <v>0</v>
      </c>
      <c r="T201" s="154" t="s">
        <v>1036</v>
      </c>
      <c r="U201" s="152">
        <v>90.7</v>
      </c>
      <c r="V201" s="152">
        <v>7.7</v>
      </c>
      <c r="W201" s="152">
        <v>0.05</v>
      </c>
      <c r="X201" s="152">
        <v>0</v>
      </c>
      <c r="Y201" s="152">
        <v>1.55</v>
      </c>
      <c r="Z201" s="152">
        <v>0</v>
      </c>
      <c r="AA201" s="154">
        <f t="shared" si="121"/>
        <v>100</v>
      </c>
      <c r="AB201" s="152">
        <f t="shared" si="122"/>
        <v>90.7</v>
      </c>
      <c r="AC201" s="152">
        <f t="shared" si="123"/>
        <v>7.7</v>
      </c>
      <c r="AD201" s="152">
        <f t="shared" si="124"/>
        <v>0.05</v>
      </c>
      <c r="AE201" s="152">
        <f t="shared" si="125"/>
        <v>0</v>
      </c>
      <c r="AF201" s="152">
        <f t="shared" si="126"/>
        <v>1.55</v>
      </c>
      <c r="AG201" s="155">
        <f t="shared" si="127"/>
        <v>0</v>
      </c>
      <c r="AH201"/>
      <c r="AI201"/>
      <c r="AJ201" s="3">
        <v>41.95</v>
      </c>
      <c r="AK201">
        <f>AL201*(Q201+R201+S201)/(Q201+R201)</f>
        <v>41.95</v>
      </c>
      <c r="AL201">
        <f>AM201*(P201+Q201+R201+S201)/(Q201+R201+S201)</f>
        <v>41.95</v>
      </c>
      <c r="AM201" s="3">
        <v>41.95</v>
      </c>
      <c r="AN201" s="166">
        <v>32</v>
      </c>
    </row>
    <row r="202" spans="1:40" s="152" customFormat="1">
      <c r="A202" s="152">
        <f t="shared" si="128"/>
        <v>201</v>
      </c>
      <c r="B202" s="153" t="s">
        <v>1028</v>
      </c>
      <c r="C202" s="152">
        <v>7</v>
      </c>
      <c r="D202" s="152" t="s">
        <v>1056</v>
      </c>
      <c r="E202" s="152" t="s">
        <v>1057</v>
      </c>
      <c r="F202" s="152" t="s">
        <v>1950</v>
      </c>
      <c r="G202" s="153">
        <v>1.05</v>
      </c>
      <c r="H202" s="152">
        <v>2.8000000000000001E-2</v>
      </c>
      <c r="I202" s="152">
        <v>1.968</v>
      </c>
      <c r="J202" s="153" t="s">
        <v>1036</v>
      </c>
      <c r="K202" s="153">
        <v>0</v>
      </c>
      <c r="L202" s="152">
        <v>100</v>
      </c>
      <c r="M202" s="152">
        <v>0</v>
      </c>
      <c r="N202" s="152">
        <v>0</v>
      </c>
      <c r="O202" s="154">
        <f t="shared" si="133"/>
        <v>100</v>
      </c>
      <c r="P202" s="152">
        <v>0</v>
      </c>
      <c r="Q202" s="152">
        <f t="shared" si="130"/>
        <v>100</v>
      </c>
      <c r="R202" s="152">
        <f t="shared" si="131"/>
        <v>0</v>
      </c>
      <c r="S202" s="152">
        <f t="shared" si="132"/>
        <v>0</v>
      </c>
      <c r="T202" s="154" t="s">
        <v>1031</v>
      </c>
      <c r="U202" s="152">
        <v>91.2</v>
      </c>
      <c r="V202" s="152">
        <v>8.8000000000000007</v>
      </c>
      <c r="W202" s="152">
        <v>0</v>
      </c>
      <c r="X202" s="152">
        <v>0</v>
      </c>
      <c r="Y202" s="152">
        <v>0</v>
      </c>
      <c r="AA202" s="154">
        <f t="shared" si="121"/>
        <v>100</v>
      </c>
      <c r="AB202" s="152">
        <f t="shared" si="122"/>
        <v>91.2</v>
      </c>
      <c r="AC202" s="152">
        <f t="shared" si="123"/>
        <v>8.8000000000000007</v>
      </c>
      <c r="AD202" s="152">
        <f t="shared" si="124"/>
        <v>0</v>
      </c>
      <c r="AE202" s="152">
        <f t="shared" si="125"/>
        <v>0</v>
      </c>
      <c r="AF202" s="152">
        <f t="shared" si="126"/>
        <v>0</v>
      </c>
      <c r="AG202" s="155"/>
      <c r="AH202"/>
      <c r="AI202"/>
      <c r="AJ202" s="3"/>
      <c r="AK202"/>
      <c r="AL202"/>
      <c r="AM202" s="3"/>
      <c r="AN202" s="157">
        <v>11</v>
      </c>
    </row>
    <row r="203" spans="1:40" s="152" customFormat="1">
      <c r="A203" s="152">
        <f t="shared" si="128"/>
        <v>202</v>
      </c>
      <c r="B203" s="153" t="s">
        <v>1028</v>
      </c>
      <c r="C203" s="152">
        <v>7</v>
      </c>
      <c r="D203" s="152" t="s">
        <v>1059</v>
      </c>
      <c r="E203" s="152" t="s">
        <v>1057</v>
      </c>
      <c r="G203" s="153"/>
      <c r="J203" s="153" t="s">
        <v>1033</v>
      </c>
      <c r="K203" s="153">
        <v>0</v>
      </c>
      <c r="L203" s="152">
        <v>99.78</v>
      </c>
      <c r="M203" s="152">
        <v>0.22</v>
      </c>
      <c r="N203" s="152">
        <v>0</v>
      </c>
      <c r="O203" s="154">
        <f t="shared" ref="O203:O211" si="134">SUM(K203:N203)</f>
        <v>100</v>
      </c>
      <c r="P203" s="152">
        <v>0</v>
      </c>
      <c r="Q203" s="152">
        <f t="shared" si="130"/>
        <v>99.78</v>
      </c>
      <c r="R203" s="152">
        <f t="shared" si="131"/>
        <v>0.22</v>
      </c>
      <c r="S203" s="152">
        <f t="shared" si="132"/>
        <v>0</v>
      </c>
      <c r="T203" s="154" t="s">
        <v>1033</v>
      </c>
      <c r="U203" s="152">
        <v>91.57</v>
      </c>
      <c r="V203" s="152">
        <v>7.8</v>
      </c>
      <c r="W203" s="152">
        <v>0.15</v>
      </c>
      <c r="X203" s="152">
        <v>0.04</v>
      </c>
      <c r="Y203" s="152">
        <v>0.45</v>
      </c>
      <c r="AA203" s="154">
        <f t="shared" si="121"/>
        <v>100.00999999999999</v>
      </c>
      <c r="AB203" s="152">
        <f t="shared" si="122"/>
        <v>91.560843915608444</v>
      </c>
      <c r="AC203" s="152">
        <f t="shared" si="123"/>
        <v>7.7992200779922012</v>
      </c>
      <c r="AD203" s="152">
        <f t="shared" si="124"/>
        <v>0.14998500149985003</v>
      </c>
      <c r="AE203" s="152">
        <f t="shared" si="125"/>
        <v>3.9996000399960006E-2</v>
      </c>
      <c r="AF203" s="152">
        <f t="shared" si="126"/>
        <v>0.44995500449955012</v>
      </c>
      <c r="AG203" s="155"/>
      <c r="AH203"/>
      <c r="AI203"/>
      <c r="AJ203" s="3"/>
      <c r="AK203"/>
      <c r="AL203"/>
      <c r="AM203" s="3"/>
      <c r="AN203" s="156">
        <v>110</v>
      </c>
    </row>
    <row r="204" spans="1:40" s="152" customFormat="1">
      <c r="A204" s="152">
        <f t="shared" si="128"/>
        <v>203</v>
      </c>
      <c r="B204" s="153" t="s">
        <v>1028</v>
      </c>
      <c r="C204" s="152">
        <v>7</v>
      </c>
      <c r="D204" s="152" t="s">
        <v>1056</v>
      </c>
      <c r="E204" s="152" t="s">
        <v>1057</v>
      </c>
      <c r="G204" s="153"/>
      <c r="J204" s="153" t="s">
        <v>1036</v>
      </c>
      <c r="K204" s="153">
        <v>0</v>
      </c>
      <c r="L204" s="152">
        <v>99.8</v>
      </c>
      <c r="M204" s="152">
        <v>0.2</v>
      </c>
      <c r="N204" s="152">
        <v>0</v>
      </c>
      <c r="O204" s="154">
        <f t="shared" si="134"/>
        <v>100</v>
      </c>
      <c r="P204" s="152">
        <v>0</v>
      </c>
      <c r="Q204" s="152">
        <f t="shared" si="130"/>
        <v>99.8</v>
      </c>
      <c r="R204" s="152">
        <f t="shared" si="131"/>
        <v>0.2</v>
      </c>
      <c r="S204" s="152">
        <f t="shared" si="132"/>
        <v>0</v>
      </c>
      <c r="T204" s="154" t="s">
        <v>1031</v>
      </c>
      <c r="U204" s="152">
        <v>92.7</v>
      </c>
      <c r="V204" s="152">
        <v>7.9</v>
      </c>
      <c r="W204" s="152">
        <v>0</v>
      </c>
      <c r="X204" s="152">
        <v>0</v>
      </c>
      <c r="Y204" s="152">
        <v>0</v>
      </c>
      <c r="Z204" s="152">
        <v>0</v>
      </c>
      <c r="AA204" s="154">
        <f t="shared" si="121"/>
        <v>100.60000000000001</v>
      </c>
      <c r="AB204" s="152">
        <f t="shared" si="122"/>
        <v>92.14711729622266</v>
      </c>
      <c r="AC204" s="152">
        <f t="shared" si="123"/>
        <v>7.8528827037773361</v>
      </c>
      <c r="AD204" s="152">
        <f t="shared" si="124"/>
        <v>0</v>
      </c>
      <c r="AE204" s="152">
        <f t="shared" si="125"/>
        <v>0</v>
      </c>
      <c r="AF204" s="152">
        <f t="shared" si="126"/>
        <v>0</v>
      </c>
      <c r="AG204" s="155">
        <f t="shared" si="127"/>
        <v>0</v>
      </c>
      <c r="AH204"/>
      <c r="AI204"/>
      <c r="AJ204" s="3">
        <v>42.1</v>
      </c>
      <c r="AK204">
        <f>AL204*(Q204+R204+S204)/(Q204+R204)</f>
        <v>42.1</v>
      </c>
      <c r="AL204">
        <f>AM204*(P204+Q204+R204+S204)/(Q204+R204+S204)</f>
        <v>42.1</v>
      </c>
      <c r="AM204" s="3">
        <v>42.1</v>
      </c>
      <c r="AN204" s="158">
        <v>88</v>
      </c>
    </row>
    <row r="205" spans="1:40" s="152" customFormat="1">
      <c r="A205" s="152">
        <f t="shared" si="128"/>
        <v>204</v>
      </c>
      <c r="B205" s="153" t="s">
        <v>1028</v>
      </c>
      <c r="C205" s="152">
        <v>7</v>
      </c>
      <c r="D205" s="152" t="s">
        <v>1056</v>
      </c>
      <c r="E205" s="152" t="s">
        <v>1057</v>
      </c>
      <c r="G205" s="153"/>
      <c r="J205" s="153" t="s">
        <v>1036</v>
      </c>
      <c r="K205" s="153">
        <v>0.27</v>
      </c>
      <c r="L205" s="152">
        <v>99.56</v>
      </c>
      <c r="M205" s="152">
        <v>0.16</v>
      </c>
      <c r="N205" s="152">
        <v>0</v>
      </c>
      <c r="O205" s="154">
        <f t="shared" si="134"/>
        <v>99.99</v>
      </c>
      <c r="P205" s="152">
        <f>K205*(100/O205)</f>
        <v>0.27002700270027008</v>
      </c>
      <c r="Q205" s="152">
        <f t="shared" si="130"/>
        <v>99.569956995699584</v>
      </c>
      <c r="R205" s="152">
        <f t="shared" si="131"/>
        <v>0.16001600160016005</v>
      </c>
      <c r="S205" s="152">
        <f t="shared" si="132"/>
        <v>0</v>
      </c>
      <c r="T205" s="154"/>
      <c r="AA205" s="154"/>
      <c r="AG205" s="155"/>
      <c r="AH205"/>
      <c r="AI205"/>
      <c r="AJ205" s="3"/>
      <c r="AK205"/>
      <c r="AL205"/>
      <c r="AM205" s="3"/>
      <c r="AN205" s="158">
        <v>57</v>
      </c>
    </row>
    <row r="206" spans="1:40">
      <c r="A206">
        <f t="shared" si="128"/>
        <v>205</v>
      </c>
      <c r="B206" s="153" t="s">
        <v>1028</v>
      </c>
      <c r="C206" s="152">
        <v>7</v>
      </c>
      <c r="D206" s="152" t="s">
        <v>1056</v>
      </c>
      <c r="E206" s="152" t="s">
        <v>1057</v>
      </c>
      <c r="F206" t="s">
        <v>1187</v>
      </c>
      <c r="H206">
        <v>0.14000000000000001</v>
      </c>
      <c r="AN206" s="181">
        <v>132</v>
      </c>
    </row>
    <row r="207" spans="1:40" s="152" customFormat="1">
      <c r="A207" s="152">
        <f t="shared" si="128"/>
        <v>206</v>
      </c>
      <c r="B207" s="153" t="s">
        <v>1028</v>
      </c>
      <c r="C207" s="152">
        <v>7</v>
      </c>
      <c r="D207" s="152" t="s">
        <v>1056</v>
      </c>
      <c r="E207" s="152" t="s">
        <v>1057</v>
      </c>
      <c r="G207" s="153"/>
      <c r="J207" s="153" t="s">
        <v>1036</v>
      </c>
      <c r="K207" s="153">
        <v>0</v>
      </c>
      <c r="L207" s="152">
        <v>99.57</v>
      </c>
      <c r="M207" s="152">
        <v>0.39</v>
      </c>
      <c r="N207" s="152">
        <v>0.04</v>
      </c>
      <c r="O207" s="154">
        <f t="shared" si="134"/>
        <v>100</v>
      </c>
      <c r="P207" s="152">
        <v>0</v>
      </c>
      <c r="Q207" s="152">
        <f t="shared" si="130"/>
        <v>99.57</v>
      </c>
      <c r="R207" s="152">
        <f t="shared" si="131"/>
        <v>0.39</v>
      </c>
      <c r="S207" s="152">
        <f t="shared" si="132"/>
        <v>0.04</v>
      </c>
      <c r="T207" s="154" t="s">
        <v>1031</v>
      </c>
      <c r="U207" s="152">
        <v>86.06</v>
      </c>
      <c r="V207" s="152">
        <v>6.27</v>
      </c>
      <c r="W207" s="152">
        <v>5.73</v>
      </c>
      <c r="X207" s="152">
        <v>0</v>
      </c>
      <c r="Y207" s="152">
        <v>1.93</v>
      </c>
      <c r="AA207" s="154">
        <f t="shared" ref="AA207:AA226" si="135">Z207+Y207+X207+W207+V207+U207</f>
        <v>99.990000000000009</v>
      </c>
      <c r="AB207" s="152">
        <f t="shared" ref="AB207:AB226" si="136">U207*(100/AA207)</f>
        <v>86.06860686068606</v>
      </c>
      <c r="AC207" s="152">
        <f t="shared" ref="AC207:AC226" si="137">V207*(100/AA207)</f>
        <v>6.2706270627062697</v>
      </c>
      <c r="AD207" s="152">
        <f t="shared" ref="AD207:AD226" si="138">W207*(100/AA207)</f>
        <v>5.7305730573057305</v>
      </c>
      <c r="AE207" s="152">
        <f t="shared" ref="AE207:AE226" si="139">X207*(100/AA207)</f>
        <v>0</v>
      </c>
      <c r="AF207" s="152">
        <f t="shared" ref="AF207:AF226" si="140">Y207*(100/AA207)</f>
        <v>1.9301930193019299</v>
      </c>
      <c r="AG207" s="155"/>
      <c r="AH207"/>
      <c r="AI207">
        <v>38.93</v>
      </c>
      <c r="AJ207" s="3"/>
      <c r="AK207">
        <f>AL207*(Q207+R207+S207)/(Q207+R207)</f>
        <v>38.945578231292522</v>
      </c>
      <c r="AL207">
        <v>38.93</v>
      </c>
      <c r="AM207">
        <f>AL207*(Q207+R207+S207)/(P207+Q207+R207+S207)</f>
        <v>38.93</v>
      </c>
      <c r="AN207" s="166">
        <v>42</v>
      </c>
    </row>
    <row r="208" spans="1:40" s="152" customFormat="1">
      <c r="A208" s="152">
        <f t="shared" si="128"/>
        <v>207</v>
      </c>
      <c r="B208" s="153" t="s">
        <v>1028</v>
      </c>
      <c r="C208" s="152">
        <v>7</v>
      </c>
      <c r="D208" s="152" t="s">
        <v>1059</v>
      </c>
      <c r="E208" s="152" t="s">
        <v>1057</v>
      </c>
      <c r="G208" s="153"/>
      <c r="J208" s="153" t="s">
        <v>1042</v>
      </c>
      <c r="K208" s="153">
        <v>2.5099999999999998</v>
      </c>
      <c r="L208" s="159">
        <v>92.48</v>
      </c>
      <c r="M208" s="159">
        <v>4.92</v>
      </c>
      <c r="N208" s="159">
        <v>9.2317160734434314E-2</v>
      </c>
      <c r="O208" s="154">
        <f t="shared" si="134"/>
        <v>100.00231716073445</v>
      </c>
      <c r="P208" s="152">
        <f>100*K208/$O$208</f>
        <v>2.5099418406132115</v>
      </c>
      <c r="Q208" s="152">
        <f t="shared" ref="Q208:S208" si="141">100*L208/$O$208</f>
        <v>92.477857139406311</v>
      </c>
      <c r="R208" s="152">
        <f t="shared" si="141"/>
        <v>4.9198859983334673</v>
      </c>
      <c r="S208" s="152">
        <f t="shared" si="141"/>
        <v>9.2315021647000714E-2</v>
      </c>
      <c r="T208" s="154" t="s">
        <v>1042</v>
      </c>
      <c r="U208" s="159">
        <v>92.59</v>
      </c>
      <c r="V208" s="159">
        <v>8.1300000000000008</v>
      </c>
      <c r="W208" s="152">
        <v>0</v>
      </c>
      <c r="X208" s="159">
        <v>0</v>
      </c>
      <c r="Y208" s="159">
        <v>2.2400000000000002</v>
      </c>
      <c r="Z208" s="152">
        <v>0</v>
      </c>
      <c r="AA208" s="154">
        <f t="shared" si="135"/>
        <v>102.96000000000001</v>
      </c>
      <c r="AB208" s="152">
        <f t="shared" si="136"/>
        <v>89.928127428127425</v>
      </c>
      <c r="AC208" s="152">
        <f t="shared" si="137"/>
        <v>7.8962703962703964</v>
      </c>
      <c r="AD208" s="152">
        <f t="shared" si="138"/>
        <v>0</v>
      </c>
      <c r="AE208" s="152">
        <f t="shared" si="139"/>
        <v>0</v>
      </c>
      <c r="AF208" s="152">
        <f t="shared" si="140"/>
        <v>2.1756021756021755</v>
      </c>
      <c r="AG208" s="155">
        <f t="shared" ref="AG208:AG210" si="142">Z208*(100/AA208)</f>
        <v>0</v>
      </c>
      <c r="AH208"/>
      <c r="AI208"/>
      <c r="AJ208" s="3"/>
      <c r="AK208"/>
      <c r="AL208"/>
      <c r="AM208" s="3"/>
      <c r="AN208" s="158">
        <v>104</v>
      </c>
    </row>
    <row r="209" spans="1:40" s="152" customFormat="1">
      <c r="A209" s="152">
        <f t="shared" si="128"/>
        <v>208</v>
      </c>
      <c r="B209" s="153" t="s">
        <v>1028</v>
      </c>
      <c r="C209" s="152">
        <v>7</v>
      </c>
      <c r="D209" s="152" t="s">
        <v>1056</v>
      </c>
      <c r="E209" s="152" t="s">
        <v>1058</v>
      </c>
      <c r="G209" s="153"/>
      <c r="J209" s="153" t="s">
        <v>1033</v>
      </c>
      <c r="K209" s="153">
        <v>0.23499999999999999</v>
      </c>
      <c r="L209" s="152">
        <v>99.59</v>
      </c>
      <c r="M209" s="152">
        <v>0</v>
      </c>
      <c r="N209" s="152">
        <v>0.17499999999999999</v>
      </c>
      <c r="O209" s="154">
        <f t="shared" si="134"/>
        <v>100</v>
      </c>
      <c r="P209" s="152">
        <v>0.23499999999999999</v>
      </c>
      <c r="Q209" s="152">
        <f t="shared" si="130"/>
        <v>99.59</v>
      </c>
      <c r="R209" s="152">
        <f t="shared" si="131"/>
        <v>0</v>
      </c>
      <c r="S209" s="152">
        <f t="shared" si="132"/>
        <v>0.17499999999999999</v>
      </c>
      <c r="T209" s="154" t="s">
        <v>1033</v>
      </c>
      <c r="U209" s="152">
        <v>90.47</v>
      </c>
      <c r="V209" s="152">
        <v>9.43</v>
      </c>
      <c r="W209" s="152">
        <v>0</v>
      </c>
      <c r="X209" s="152">
        <v>0.08</v>
      </c>
      <c r="Y209" s="152">
        <v>0</v>
      </c>
      <c r="AA209" s="154">
        <f t="shared" si="135"/>
        <v>99.98</v>
      </c>
      <c r="AB209" s="152">
        <f t="shared" si="136"/>
        <v>90.488097619523899</v>
      </c>
      <c r="AC209" s="152">
        <f t="shared" si="137"/>
        <v>9.431886377275454</v>
      </c>
      <c r="AD209" s="152">
        <f t="shared" si="138"/>
        <v>0</v>
      </c>
      <c r="AE209" s="152">
        <f t="shared" si="139"/>
        <v>8.0016003200640132E-2</v>
      </c>
      <c r="AF209" s="152">
        <f t="shared" si="140"/>
        <v>0</v>
      </c>
      <c r="AG209" s="155"/>
      <c r="AH209"/>
      <c r="AI209"/>
      <c r="AJ209" s="3"/>
      <c r="AK209"/>
      <c r="AL209"/>
      <c r="AM209" s="3"/>
      <c r="AN209" s="156">
        <v>92</v>
      </c>
    </row>
    <row r="210" spans="1:40" s="152" customFormat="1">
      <c r="A210" s="152">
        <f t="shared" si="128"/>
        <v>209</v>
      </c>
      <c r="B210" s="153" t="s">
        <v>1028</v>
      </c>
      <c r="C210" s="152">
        <v>7</v>
      </c>
      <c r="D210" s="152" t="s">
        <v>1059</v>
      </c>
      <c r="E210" s="152" t="s">
        <v>1057</v>
      </c>
      <c r="G210" s="153"/>
      <c r="J210" s="153" t="s">
        <v>221</v>
      </c>
      <c r="K210" s="153">
        <v>0</v>
      </c>
      <c r="L210" s="159">
        <v>99.8</v>
      </c>
      <c r="M210" s="159">
        <v>0</v>
      </c>
      <c r="N210" s="159">
        <v>0.2</v>
      </c>
      <c r="O210" s="154">
        <f t="shared" si="134"/>
        <v>100</v>
      </c>
      <c r="P210" s="152">
        <v>0</v>
      </c>
      <c r="Q210" s="152">
        <f t="shared" si="130"/>
        <v>99.8</v>
      </c>
      <c r="R210" s="152">
        <f t="shared" si="131"/>
        <v>0</v>
      </c>
      <c r="S210" s="152">
        <f t="shared" si="132"/>
        <v>0.2</v>
      </c>
      <c r="T210" s="154" t="s">
        <v>221</v>
      </c>
      <c r="U210" s="159">
        <v>90.2</v>
      </c>
      <c r="V210" s="159">
        <v>8.5</v>
      </c>
      <c r="W210" s="159">
        <v>0</v>
      </c>
      <c r="X210" s="159">
        <v>0</v>
      </c>
      <c r="Y210" s="159">
        <v>1.3</v>
      </c>
      <c r="Z210" s="152">
        <v>0</v>
      </c>
      <c r="AA210" s="154">
        <f t="shared" si="135"/>
        <v>100</v>
      </c>
      <c r="AB210" s="152">
        <f t="shared" si="136"/>
        <v>90.2</v>
      </c>
      <c r="AC210" s="152">
        <f t="shared" si="137"/>
        <v>8.5</v>
      </c>
      <c r="AD210" s="152">
        <f t="shared" si="138"/>
        <v>0</v>
      </c>
      <c r="AE210" s="152">
        <f t="shared" si="139"/>
        <v>0</v>
      </c>
      <c r="AF210" s="152">
        <f t="shared" si="140"/>
        <v>1.3</v>
      </c>
      <c r="AG210" s="155">
        <f t="shared" si="142"/>
        <v>0</v>
      </c>
      <c r="AH210"/>
      <c r="AI210"/>
      <c r="AJ210" s="3"/>
      <c r="AK210"/>
      <c r="AL210"/>
      <c r="AM210" s="3"/>
      <c r="AN210" s="158">
        <v>94</v>
      </c>
    </row>
    <row r="211" spans="1:40" s="152" customFormat="1">
      <c r="A211" s="152">
        <f t="shared" si="128"/>
        <v>210</v>
      </c>
      <c r="B211" s="153" t="s">
        <v>1028</v>
      </c>
      <c r="C211" s="152">
        <v>7</v>
      </c>
      <c r="D211" s="152" t="s">
        <v>1056</v>
      </c>
      <c r="E211" s="152" t="s">
        <v>1057</v>
      </c>
      <c r="G211" s="153"/>
      <c r="J211" s="153" t="s">
        <v>1036</v>
      </c>
      <c r="K211" s="153">
        <v>0.5</v>
      </c>
      <c r="L211" s="159">
        <v>99.24</v>
      </c>
      <c r="M211" s="159">
        <v>0.02</v>
      </c>
      <c r="N211" s="159">
        <v>0.24</v>
      </c>
      <c r="O211" s="154">
        <f t="shared" si="134"/>
        <v>99.999999999999986</v>
      </c>
      <c r="P211" s="152">
        <v>0.5</v>
      </c>
      <c r="Q211" s="152">
        <f t="shared" si="130"/>
        <v>99.240000000000023</v>
      </c>
      <c r="R211" s="152">
        <f t="shared" si="131"/>
        <v>2.0000000000000004E-2</v>
      </c>
      <c r="S211" s="152">
        <f t="shared" si="132"/>
        <v>0.24000000000000005</v>
      </c>
      <c r="T211" s="154" t="s">
        <v>1036</v>
      </c>
      <c r="U211" s="159">
        <v>90.55</v>
      </c>
      <c r="V211" s="159">
        <v>7.82</v>
      </c>
      <c r="W211" s="159">
        <v>0.17</v>
      </c>
      <c r="X211" s="159">
        <v>1.22</v>
      </c>
      <c r="Y211" s="159">
        <v>0</v>
      </c>
      <c r="AA211" s="154">
        <f t="shared" si="135"/>
        <v>99.759999999999991</v>
      </c>
      <c r="AB211" s="152">
        <f t="shared" si="136"/>
        <v>90.767842822774668</v>
      </c>
      <c r="AC211" s="152">
        <f t="shared" si="137"/>
        <v>7.8388131515637545</v>
      </c>
      <c r="AD211" s="152">
        <f t="shared" si="138"/>
        <v>0.17040898155573381</v>
      </c>
      <c r="AE211" s="152">
        <f t="shared" si="139"/>
        <v>1.2229350441058542</v>
      </c>
      <c r="AF211" s="152">
        <f t="shared" si="140"/>
        <v>0</v>
      </c>
      <c r="AG211" s="155"/>
      <c r="AH211"/>
      <c r="AI211"/>
      <c r="AJ211" s="3"/>
      <c r="AK211"/>
      <c r="AL211"/>
      <c r="AM211" s="3"/>
      <c r="AN211" s="166">
        <v>43</v>
      </c>
    </row>
    <row r="212" spans="1:40" s="152" customFormat="1">
      <c r="A212" s="152">
        <f t="shared" si="128"/>
        <v>211</v>
      </c>
      <c r="B212" s="153" t="s">
        <v>1028</v>
      </c>
      <c r="C212" s="152">
        <v>7</v>
      </c>
      <c r="D212" s="152" t="s">
        <v>1056</v>
      </c>
      <c r="E212" s="152" t="s">
        <v>1057</v>
      </c>
      <c r="G212" s="153"/>
      <c r="J212" s="37" t="s">
        <v>453</v>
      </c>
      <c r="K212" s="153">
        <v>0.45</v>
      </c>
      <c r="L212" s="159">
        <v>99.57</v>
      </c>
      <c r="M212" s="159">
        <v>0.39</v>
      </c>
      <c r="N212" s="159">
        <v>0.04</v>
      </c>
      <c r="O212" s="154">
        <f>SUM(K212:N212)</f>
        <v>100.45</v>
      </c>
      <c r="P212" s="152">
        <v>0.45</v>
      </c>
      <c r="Q212" s="30">
        <f>(100-$P$212)*L212/100</f>
        <v>99.121934999999993</v>
      </c>
      <c r="R212" s="152">
        <f t="shared" ref="R212:S212" si="143">(100-$P$212)*M212/100</f>
        <v>0.38824500000000001</v>
      </c>
      <c r="S212" s="152">
        <f t="shared" si="143"/>
        <v>3.9819999999999994E-2</v>
      </c>
      <c r="T212" s="154" t="s">
        <v>1031</v>
      </c>
      <c r="U212" s="159"/>
      <c r="V212" s="159"/>
      <c r="W212" s="159"/>
      <c r="X212" s="159"/>
      <c r="Y212" s="159"/>
      <c r="AA212" s="154"/>
      <c r="AG212" s="155"/>
      <c r="AH212"/>
      <c r="AI212">
        <v>38.93</v>
      </c>
      <c r="AJ212" s="3"/>
      <c r="AK212">
        <f>AL212*(Q212+R212+S212)/(Q212+R212)</f>
        <v>38.945578231292522</v>
      </c>
      <c r="AL212">
        <v>38.93</v>
      </c>
      <c r="AM212">
        <f>AL212*(Q212+R212+S212)/(P212+Q212+R212+S212)</f>
        <v>38.754815000000001</v>
      </c>
      <c r="AN212" s="166">
        <v>18</v>
      </c>
    </row>
    <row r="213" spans="1:40" s="152" customFormat="1">
      <c r="A213" s="152">
        <f t="shared" si="128"/>
        <v>212</v>
      </c>
      <c r="B213" s="153" t="s">
        <v>1028</v>
      </c>
      <c r="C213" s="152">
        <v>7</v>
      </c>
      <c r="D213" s="152" t="s">
        <v>1056</v>
      </c>
      <c r="E213" s="152" t="s">
        <v>1057</v>
      </c>
      <c r="G213" s="153"/>
      <c r="J213" s="37" t="s">
        <v>453</v>
      </c>
      <c r="K213" s="153">
        <v>0.2</v>
      </c>
      <c r="L213" s="152">
        <v>99.4</v>
      </c>
      <c r="M213" s="152">
        <v>0.1</v>
      </c>
      <c r="N213" s="152">
        <v>0.5</v>
      </c>
      <c r="O213" s="154">
        <f>SUM(K213:N213)</f>
        <v>100.2</v>
      </c>
      <c r="P213" s="152">
        <v>0.2</v>
      </c>
      <c r="Q213" s="30">
        <f>(100-$P$213)*L213/100</f>
        <v>99.201200000000014</v>
      </c>
      <c r="R213" s="152">
        <f t="shared" ref="R213:S213" si="144">(100-$P$213)*M213/100</f>
        <v>9.98E-2</v>
      </c>
      <c r="S213" s="152">
        <f t="shared" si="144"/>
        <v>0.499</v>
      </c>
      <c r="T213" s="154" t="s">
        <v>1031</v>
      </c>
      <c r="U213" s="152">
        <v>87.1</v>
      </c>
      <c r="V213" s="152">
        <v>8.4</v>
      </c>
      <c r="W213" s="152">
        <v>0.2</v>
      </c>
      <c r="X213" s="152">
        <v>0</v>
      </c>
      <c r="Y213" s="152">
        <v>4</v>
      </c>
      <c r="AA213" s="154">
        <f>Z213+Y213+X213+W213+V213+U213</f>
        <v>99.699999999999989</v>
      </c>
      <c r="AB213" s="152">
        <f>U213*(100/AA213)</f>
        <v>87.362086258776344</v>
      </c>
      <c r="AC213" s="152">
        <f>V213*(100/AA213)</f>
        <v>8.4252758274824497</v>
      </c>
      <c r="AD213" s="152">
        <f>W213*(100/AA213)</f>
        <v>0.20060180541624881</v>
      </c>
      <c r="AE213" s="152">
        <f>X213*(100/AA213)</f>
        <v>0</v>
      </c>
      <c r="AF213" s="152">
        <f>Y213*(100/AA213)</f>
        <v>4.0120361083249758</v>
      </c>
      <c r="AG213" s="155">
        <f>Z213*(100/AA213)</f>
        <v>0</v>
      </c>
      <c r="AH213"/>
      <c r="AI213"/>
      <c r="AJ213" s="3"/>
      <c r="AK213"/>
      <c r="AL213"/>
      <c r="AM213" s="3"/>
      <c r="AN213" s="166">
        <v>18</v>
      </c>
    </row>
    <row r="214" spans="1:40" s="152" customFormat="1">
      <c r="A214" s="152">
        <f t="shared" si="128"/>
        <v>213</v>
      </c>
      <c r="B214" s="153" t="s">
        <v>1028</v>
      </c>
      <c r="C214" s="152">
        <v>7</v>
      </c>
      <c r="D214" s="152" t="s">
        <v>1056</v>
      </c>
      <c r="E214" s="152" t="s">
        <v>1057</v>
      </c>
      <c r="G214" s="153"/>
      <c r="J214" s="37" t="s">
        <v>453</v>
      </c>
      <c r="K214" s="153">
        <v>0</v>
      </c>
      <c r="L214" s="159">
        <v>99.49</v>
      </c>
      <c r="M214" s="159">
        <v>0</v>
      </c>
      <c r="N214" s="159">
        <v>0.51</v>
      </c>
      <c r="O214" s="154">
        <f>SUM(K214:N214)</f>
        <v>100</v>
      </c>
      <c r="P214" s="152">
        <v>0</v>
      </c>
      <c r="Q214" s="159">
        <v>99.49</v>
      </c>
      <c r="R214" s="159">
        <v>0</v>
      </c>
      <c r="S214" s="159">
        <v>0.51</v>
      </c>
      <c r="T214" s="154" t="s">
        <v>1031</v>
      </c>
      <c r="U214" s="159">
        <v>91.08</v>
      </c>
      <c r="V214" s="159">
        <v>7.68</v>
      </c>
      <c r="W214" s="152">
        <v>0</v>
      </c>
      <c r="X214" s="159">
        <v>0</v>
      </c>
      <c r="Y214" s="159">
        <v>1.24</v>
      </c>
      <c r="Z214" s="152">
        <v>0</v>
      </c>
      <c r="AA214" s="160">
        <f>SUM(U214:Z214)</f>
        <v>99.999999999999986</v>
      </c>
      <c r="AB214" s="159">
        <v>91.08</v>
      </c>
      <c r="AC214" s="159">
        <v>7.68</v>
      </c>
      <c r="AD214" s="152">
        <v>0</v>
      </c>
      <c r="AE214" s="159">
        <v>0</v>
      </c>
      <c r="AF214" s="159">
        <v>1.24</v>
      </c>
      <c r="AG214" s="155">
        <v>0</v>
      </c>
      <c r="AH214"/>
      <c r="AI214"/>
      <c r="AJ214" s="3"/>
      <c r="AK214"/>
      <c r="AL214"/>
      <c r="AM214" s="3"/>
      <c r="AN214" s="166">
        <v>18</v>
      </c>
    </row>
    <row r="215" spans="1:40" s="152" customFormat="1">
      <c r="A215" s="152">
        <f t="shared" si="128"/>
        <v>214</v>
      </c>
      <c r="B215" s="153" t="s">
        <v>1028</v>
      </c>
      <c r="C215" s="152">
        <v>7</v>
      </c>
      <c r="D215" s="152" t="s">
        <v>1056</v>
      </c>
      <c r="E215" s="152" t="s">
        <v>1057</v>
      </c>
      <c r="G215" s="153"/>
      <c r="J215" s="37" t="s">
        <v>453</v>
      </c>
      <c r="K215" s="153">
        <v>0.06</v>
      </c>
      <c r="L215" s="159">
        <v>99.39</v>
      </c>
      <c r="M215" s="159">
        <v>0.6</v>
      </c>
      <c r="N215" s="159">
        <v>0.01</v>
      </c>
      <c r="O215" s="154">
        <f>SUM(K215:N215)</f>
        <v>100.06</v>
      </c>
      <c r="P215" s="152">
        <v>0.06</v>
      </c>
      <c r="Q215" s="30">
        <f>(100-$P$215)*L215/100</f>
        <v>99.330365999999998</v>
      </c>
      <c r="R215" s="152">
        <f t="shared" ref="R215:S215" si="145">(100-$P$215)*M215/100</f>
        <v>0.59963999999999995</v>
      </c>
      <c r="S215" s="152">
        <f t="shared" si="145"/>
        <v>9.9939999999999994E-3</v>
      </c>
      <c r="T215" s="154" t="s">
        <v>1031</v>
      </c>
      <c r="U215" s="159"/>
      <c r="V215" s="159"/>
      <c r="W215" s="159"/>
      <c r="X215" s="159"/>
      <c r="Y215" s="159"/>
      <c r="AA215" s="154"/>
      <c r="AB215" s="159"/>
      <c r="AC215" s="159"/>
      <c r="AD215" s="159"/>
      <c r="AE215" s="159"/>
      <c r="AF215" s="159"/>
      <c r="AG215" s="155"/>
      <c r="AH215"/>
      <c r="AI215"/>
      <c r="AJ215" s="3"/>
      <c r="AK215"/>
      <c r="AL215"/>
      <c r="AM215" s="3"/>
      <c r="AN215" s="166">
        <v>18</v>
      </c>
    </row>
    <row r="216" spans="1:40" s="152" customFormat="1">
      <c r="A216" s="152">
        <f t="shared" si="128"/>
        <v>215</v>
      </c>
      <c r="B216" s="153" t="s">
        <v>1028</v>
      </c>
      <c r="C216" s="152">
        <v>7</v>
      </c>
      <c r="D216" s="152" t="s">
        <v>1056</v>
      </c>
      <c r="E216" s="152" t="s">
        <v>1057</v>
      </c>
      <c r="G216" s="153"/>
      <c r="J216" s="153"/>
      <c r="K216" s="153"/>
      <c r="L216" s="159"/>
      <c r="M216" s="159"/>
      <c r="N216" s="159"/>
      <c r="O216" s="154"/>
      <c r="T216" s="154" t="s">
        <v>1031</v>
      </c>
      <c r="U216" s="159">
        <v>89.2</v>
      </c>
      <c r="V216" s="159">
        <v>9</v>
      </c>
      <c r="W216" s="159">
        <v>0</v>
      </c>
      <c r="X216" s="159">
        <v>0</v>
      </c>
      <c r="Y216" s="159">
        <v>1.8</v>
      </c>
      <c r="AA216" s="160">
        <f>SUM(U216:Z216)</f>
        <v>100</v>
      </c>
      <c r="AB216" s="159">
        <v>89.2</v>
      </c>
      <c r="AC216" s="159">
        <v>9</v>
      </c>
      <c r="AD216" s="159">
        <v>0</v>
      </c>
      <c r="AE216" s="159">
        <v>0</v>
      </c>
      <c r="AF216" s="159">
        <v>1.8</v>
      </c>
      <c r="AG216" s="155"/>
      <c r="AH216"/>
      <c r="AI216"/>
      <c r="AJ216" s="3"/>
      <c r="AK216"/>
      <c r="AL216"/>
      <c r="AM216" s="3"/>
      <c r="AN216" s="166">
        <v>18</v>
      </c>
    </row>
    <row r="217" spans="1:40" s="152" customFormat="1">
      <c r="A217" s="152">
        <f t="shared" si="128"/>
        <v>216</v>
      </c>
      <c r="B217" s="153" t="s">
        <v>1028</v>
      </c>
      <c r="C217" s="152">
        <v>7</v>
      </c>
      <c r="D217" s="152" t="s">
        <v>1056</v>
      </c>
      <c r="E217" s="152" t="s">
        <v>1057</v>
      </c>
      <c r="G217" s="153"/>
      <c r="J217" s="153"/>
      <c r="K217" s="153"/>
      <c r="L217" s="159"/>
      <c r="M217" s="159"/>
      <c r="N217" s="159"/>
      <c r="O217" s="154"/>
      <c r="T217" s="154" t="s">
        <v>1031</v>
      </c>
      <c r="U217" s="159">
        <v>89.06</v>
      </c>
      <c r="V217" s="159">
        <v>10.02</v>
      </c>
      <c r="W217" s="159">
        <v>0</v>
      </c>
      <c r="X217" s="159">
        <v>0.37</v>
      </c>
      <c r="Y217" s="159">
        <v>0.55000000000000004</v>
      </c>
      <c r="AA217" s="160">
        <f>SUM(U217:Z217)</f>
        <v>100</v>
      </c>
      <c r="AB217" s="159">
        <v>89.06</v>
      </c>
      <c r="AC217" s="159">
        <v>10.02</v>
      </c>
      <c r="AD217" s="159">
        <v>0</v>
      </c>
      <c r="AE217" s="159">
        <v>0.37</v>
      </c>
      <c r="AF217" s="159">
        <v>0.55000000000000004</v>
      </c>
      <c r="AG217" s="155"/>
      <c r="AH217"/>
      <c r="AI217"/>
      <c r="AJ217" s="3"/>
      <c r="AK217"/>
      <c r="AL217"/>
      <c r="AM217" s="3"/>
      <c r="AN217" s="166">
        <v>18</v>
      </c>
    </row>
    <row r="218" spans="1:40" s="152" customFormat="1">
      <c r="A218" s="152">
        <f t="shared" si="128"/>
        <v>217</v>
      </c>
      <c r="B218" s="153" t="s">
        <v>1028</v>
      </c>
      <c r="C218" s="152">
        <v>7</v>
      </c>
      <c r="D218" s="152" t="s">
        <v>1056</v>
      </c>
      <c r="E218" s="152" t="s">
        <v>1057</v>
      </c>
      <c r="G218" s="153"/>
      <c r="J218" s="153"/>
      <c r="K218" s="153"/>
      <c r="L218" s="159"/>
      <c r="M218" s="159"/>
      <c r="N218" s="159"/>
      <c r="O218" s="154"/>
      <c r="T218" s="154" t="s">
        <v>1031</v>
      </c>
      <c r="U218" s="159">
        <v>92.14</v>
      </c>
      <c r="V218" s="159">
        <v>7.86</v>
      </c>
      <c r="W218" s="159">
        <v>0</v>
      </c>
      <c r="X218" s="159">
        <v>0</v>
      </c>
      <c r="Y218" s="159">
        <v>0</v>
      </c>
      <c r="Z218" s="152">
        <v>0</v>
      </c>
      <c r="AA218" s="160">
        <f>SUM(U218:Z218)</f>
        <v>100</v>
      </c>
      <c r="AB218" s="159">
        <v>92.14</v>
      </c>
      <c r="AC218" s="159">
        <v>7.86</v>
      </c>
      <c r="AD218" s="159">
        <v>0</v>
      </c>
      <c r="AE218" s="159">
        <v>0</v>
      </c>
      <c r="AF218" s="159">
        <v>0</v>
      </c>
      <c r="AG218" s="155">
        <v>0</v>
      </c>
      <c r="AH218"/>
      <c r="AI218"/>
      <c r="AJ218" s="3"/>
      <c r="AK218"/>
      <c r="AL218"/>
      <c r="AM218" s="3"/>
      <c r="AN218" s="166">
        <v>18</v>
      </c>
    </row>
    <row r="219" spans="1:40" s="152" customFormat="1">
      <c r="A219" s="152">
        <f t="shared" si="128"/>
        <v>218</v>
      </c>
      <c r="B219" s="153" t="s">
        <v>1028</v>
      </c>
      <c r="C219" s="152">
        <v>7</v>
      </c>
      <c r="D219" s="152" t="s">
        <v>1056</v>
      </c>
      <c r="E219" s="152" t="s">
        <v>1057</v>
      </c>
      <c r="G219" s="153"/>
      <c r="J219" s="153"/>
      <c r="K219" s="153"/>
      <c r="L219" s="159"/>
      <c r="M219" s="159"/>
      <c r="N219" s="159"/>
      <c r="O219" s="154"/>
      <c r="T219" s="154" t="s">
        <v>1031</v>
      </c>
      <c r="U219" s="159">
        <v>87.76</v>
      </c>
      <c r="V219" s="159">
        <v>9.25</v>
      </c>
      <c r="W219" s="159">
        <v>0</v>
      </c>
      <c r="X219" s="159">
        <v>0.04</v>
      </c>
      <c r="Y219" s="159">
        <v>5.3</v>
      </c>
      <c r="Z219" s="152">
        <v>0</v>
      </c>
      <c r="AA219" s="160">
        <f>SUM(U219:Z219)</f>
        <v>102.35000000000001</v>
      </c>
      <c r="AB219" s="152">
        <f>U219*(100/AA219)</f>
        <v>85.744992672203225</v>
      </c>
      <c r="AC219" s="152">
        <f>V219*(100/AA219)</f>
        <v>9.0376160234489493</v>
      </c>
      <c r="AD219" s="152">
        <f>W219*(100/AA219)</f>
        <v>0</v>
      </c>
      <c r="AE219" s="152">
        <f>X219*(100/AA219)</f>
        <v>3.9081582804103565E-2</v>
      </c>
      <c r="AF219" s="152">
        <f>Y219*(100/AA219)</f>
        <v>5.1783097215437222</v>
      </c>
      <c r="AG219" s="155">
        <v>0</v>
      </c>
      <c r="AH219"/>
      <c r="AI219"/>
      <c r="AJ219" s="3"/>
      <c r="AK219"/>
      <c r="AL219"/>
      <c r="AM219" s="3"/>
      <c r="AN219" s="166">
        <v>18</v>
      </c>
    </row>
    <row r="220" spans="1:40">
      <c r="A220">
        <f t="shared" si="128"/>
        <v>219</v>
      </c>
      <c r="B220" s="153" t="s">
        <v>1028</v>
      </c>
      <c r="C220" s="152">
        <v>7</v>
      </c>
      <c r="D220" s="152" t="s">
        <v>1056</v>
      </c>
      <c r="E220" t="s">
        <v>1057</v>
      </c>
      <c r="F220" t="s">
        <v>1175</v>
      </c>
      <c r="G220" s="8">
        <v>1.0649999999999999</v>
      </c>
      <c r="H220">
        <v>0.128</v>
      </c>
      <c r="I220">
        <v>1.2230000000000001</v>
      </c>
      <c r="AN220" s="181">
        <v>130</v>
      </c>
    </row>
    <row r="221" spans="1:40">
      <c r="A221">
        <f t="shared" si="128"/>
        <v>220</v>
      </c>
      <c r="B221" s="153" t="s">
        <v>1028</v>
      </c>
      <c r="C221" s="152">
        <v>7</v>
      </c>
      <c r="D221" s="152" t="s">
        <v>1056</v>
      </c>
      <c r="E221" t="s">
        <v>1057</v>
      </c>
      <c r="G221" s="8">
        <v>1.05</v>
      </c>
      <c r="H221">
        <v>0.14000000000000001</v>
      </c>
      <c r="I221">
        <v>2.1</v>
      </c>
      <c r="AN221" s="181">
        <v>133</v>
      </c>
    </row>
    <row r="222" spans="1:40">
      <c r="A222">
        <f t="shared" si="128"/>
        <v>221</v>
      </c>
      <c r="B222" s="153" t="s">
        <v>1028</v>
      </c>
      <c r="C222" s="152">
        <v>7</v>
      </c>
      <c r="D222" s="152" t="s">
        <v>1056</v>
      </c>
      <c r="E222" t="s">
        <v>1057</v>
      </c>
      <c r="G222" s="8">
        <v>1.05</v>
      </c>
      <c r="AN222" s="181">
        <v>137</v>
      </c>
    </row>
    <row r="223" spans="1:40" s="152" customFormat="1">
      <c r="A223" s="152">
        <f t="shared" si="128"/>
        <v>222</v>
      </c>
      <c r="B223" s="153" t="s">
        <v>1028</v>
      </c>
      <c r="C223" s="152">
        <v>7</v>
      </c>
      <c r="D223" s="152" t="s">
        <v>1056</v>
      </c>
      <c r="E223" s="152" t="s">
        <v>1057</v>
      </c>
      <c r="G223" s="153"/>
      <c r="J223" s="153" t="s">
        <v>221</v>
      </c>
      <c r="K223" s="153">
        <v>0.28000000000000003</v>
      </c>
      <c r="L223" s="152">
        <v>94.33</v>
      </c>
      <c r="M223" s="152">
        <v>4.55</v>
      </c>
      <c r="N223" s="152">
        <v>0.84</v>
      </c>
      <c r="O223" s="154">
        <f t="shared" ref="O223:O226" si="146">SUM(K223:N223)</f>
        <v>100</v>
      </c>
      <c r="P223" s="152">
        <v>0.28000000000000003</v>
      </c>
      <c r="Q223" s="152">
        <f t="shared" si="130"/>
        <v>94.33</v>
      </c>
      <c r="R223" s="152">
        <f t="shared" si="131"/>
        <v>4.55</v>
      </c>
      <c r="S223" s="152">
        <f t="shared" si="132"/>
        <v>0.84</v>
      </c>
      <c r="T223" s="154" t="s">
        <v>1031</v>
      </c>
      <c r="U223" s="159">
        <v>89.2</v>
      </c>
      <c r="V223" s="159">
        <v>8.7799999999999994</v>
      </c>
      <c r="W223" s="152">
        <v>0.01</v>
      </c>
      <c r="X223" s="159">
        <v>0</v>
      </c>
      <c r="Y223" s="159">
        <v>2.0099999999999998</v>
      </c>
      <c r="AA223" s="154">
        <f t="shared" si="135"/>
        <v>100</v>
      </c>
      <c r="AB223" s="152">
        <f t="shared" si="136"/>
        <v>89.2</v>
      </c>
      <c r="AC223" s="152">
        <f t="shared" si="137"/>
        <v>8.7799999999999994</v>
      </c>
      <c r="AD223" s="152">
        <f t="shared" si="138"/>
        <v>0.01</v>
      </c>
      <c r="AE223" s="152">
        <f t="shared" si="139"/>
        <v>0</v>
      </c>
      <c r="AF223" s="152">
        <f t="shared" si="140"/>
        <v>2.0099999999999998</v>
      </c>
      <c r="AG223" s="155"/>
      <c r="AH223"/>
      <c r="AI223"/>
      <c r="AJ223" s="3">
        <v>40.340000000000003</v>
      </c>
      <c r="AK223">
        <f>AL223*(Q223+R223+S223)/(Q223+R223)</f>
        <v>40.796925566343042</v>
      </c>
      <c r="AL223">
        <f>AM223*(P223+Q223+R223+S223)/(Q223+R223+S223)</f>
        <v>40.453269153630167</v>
      </c>
      <c r="AM223" s="3">
        <v>40.340000000000003</v>
      </c>
      <c r="AN223" s="158">
        <v>114</v>
      </c>
    </row>
    <row r="224" spans="1:40" s="152" customFormat="1" ht="13.5" customHeight="1">
      <c r="A224" s="152">
        <f t="shared" si="128"/>
        <v>223</v>
      </c>
      <c r="B224" s="153" t="s">
        <v>1028</v>
      </c>
      <c r="C224" s="152">
        <v>7</v>
      </c>
      <c r="D224" s="152" t="s">
        <v>1056</v>
      </c>
      <c r="E224" s="152" t="s">
        <v>1057</v>
      </c>
      <c r="G224" s="153"/>
      <c r="J224" s="153" t="s">
        <v>1037</v>
      </c>
      <c r="K224" s="153">
        <v>0.86</v>
      </c>
      <c r="L224" s="152">
        <v>97.71</v>
      </c>
      <c r="M224" s="152">
        <v>0.45</v>
      </c>
      <c r="N224" s="152">
        <v>0.98</v>
      </c>
      <c r="O224" s="154">
        <f t="shared" si="146"/>
        <v>100</v>
      </c>
      <c r="P224" s="152">
        <v>0.86</v>
      </c>
      <c r="Q224" s="152">
        <f t="shared" si="130"/>
        <v>97.71</v>
      </c>
      <c r="R224" s="152">
        <f t="shared" si="131"/>
        <v>0.45</v>
      </c>
      <c r="S224" s="152">
        <f t="shared" si="132"/>
        <v>0.98</v>
      </c>
      <c r="T224" s="154" t="s">
        <v>1031</v>
      </c>
      <c r="U224" s="152">
        <v>90.34</v>
      </c>
      <c r="V224" s="152">
        <v>9.06</v>
      </c>
      <c r="W224" s="152">
        <v>0.28999999999999998</v>
      </c>
      <c r="X224" s="152">
        <v>0</v>
      </c>
      <c r="Y224" s="152">
        <v>0.31</v>
      </c>
      <c r="AA224" s="154">
        <f t="shared" si="135"/>
        <v>100</v>
      </c>
      <c r="AB224" s="152">
        <f t="shared" si="136"/>
        <v>90.34</v>
      </c>
      <c r="AC224" s="152">
        <f t="shared" si="137"/>
        <v>9.06</v>
      </c>
      <c r="AD224" s="152">
        <f t="shared" si="138"/>
        <v>0.28999999999999998</v>
      </c>
      <c r="AE224" s="152">
        <f t="shared" si="139"/>
        <v>0</v>
      </c>
      <c r="AF224" s="152">
        <f t="shared" si="140"/>
        <v>0.31</v>
      </c>
      <c r="AG224" s="155"/>
      <c r="AH224"/>
      <c r="AI224"/>
      <c r="AJ224" s="3"/>
      <c r="AK224"/>
      <c r="AL224"/>
      <c r="AM224" s="3"/>
      <c r="AN224" s="156">
        <v>76</v>
      </c>
    </row>
    <row r="225" spans="1:40" s="152" customFormat="1">
      <c r="A225" s="152">
        <f t="shared" si="128"/>
        <v>224</v>
      </c>
      <c r="B225" s="153" t="s">
        <v>1028</v>
      </c>
      <c r="C225" s="152">
        <v>7</v>
      </c>
      <c r="D225" s="152" t="s">
        <v>1056</v>
      </c>
      <c r="E225" s="152" t="s">
        <v>1057</v>
      </c>
      <c r="G225" s="153"/>
      <c r="J225" s="153" t="s">
        <v>1036</v>
      </c>
      <c r="K225" s="153">
        <v>0.3</v>
      </c>
      <c r="L225" s="152">
        <v>94.2</v>
      </c>
      <c r="M225" s="152">
        <v>1.3</v>
      </c>
      <c r="N225" s="152">
        <v>4.5</v>
      </c>
      <c r="O225" s="154">
        <f t="shared" si="146"/>
        <v>100.3</v>
      </c>
      <c r="P225" s="152">
        <v>0.3</v>
      </c>
      <c r="Q225" s="30">
        <f>(100-$P$225)*L225/100</f>
        <v>93.917400000000001</v>
      </c>
      <c r="R225" s="30">
        <f t="shared" ref="R225:S225" si="147">(100-$P$225)*M225/100</f>
        <v>1.2961</v>
      </c>
      <c r="S225" s="30">
        <f t="shared" si="147"/>
        <v>4.4865000000000004</v>
      </c>
      <c r="T225" s="154" t="s">
        <v>1036</v>
      </c>
      <c r="U225" s="159">
        <v>84.48</v>
      </c>
      <c r="V225" s="159">
        <v>8.86</v>
      </c>
      <c r="W225" s="159">
        <v>0.09</v>
      </c>
      <c r="X225" s="159">
        <v>0.01</v>
      </c>
      <c r="Y225" s="159">
        <f>100-U225-V225-W225-X225</f>
        <v>6.5599999999999969</v>
      </c>
      <c r="AA225" s="154">
        <f t="shared" si="135"/>
        <v>100</v>
      </c>
      <c r="AB225" s="152">
        <v>84.48</v>
      </c>
      <c r="AC225" s="152">
        <v>8.86</v>
      </c>
      <c r="AD225" s="152">
        <v>0.09</v>
      </c>
      <c r="AE225" s="152">
        <v>0.01</v>
      </c>
      <c r="AF225" s="152">
        <v>6.5599999999999969</v>
      </c>
      <c r="AG225" s="155"/>
      <c r="AH225"/>
      <c r="AI225"/>
      <c r="AJ225" s="3">
        <v>41.02</v>
      </c>
      <c r="AK225">
        <f>AL225*(Q225+R225+S225)/(Q225+R225)</f>
        <v>43.082125959028922</v>
      </c>
      <c r="AL225">
        <f>AM225*(P225+Q225+R225+S225)/(Q225+R225+S225)</f>
        <v>41.143430290872615</v>
      </c>
      <c r="AM225" s="3">
        <v>41.02</v>
      </c>
      <c r="AN225" s="158">
        <v>60</v>
      </c>
    </row>
    <row r="226" spans="1:40" s="152" customFormat="1">
      <c r="A226" s="152">
        <f t="shared" si="128"/>
        <v>225</v>
      </c>
      <c r="B226" s="153" t="s">
        <v>1028</v>
      </c>
      <c r="C226" s="152">
        <v>7</v>
      </c>
      <c r="D226" s="152" t="s">
        <v>1056</v>
      </c>
      <c r="E226" s="152" t="s">
        <v>1057</v>
      </c>
      <c r="G226" s="153"/>
      <c r="J226" s="153" t="s">
        <v>1037</v>
      </c>
      <c r="K226" s="153">
        <v>1.72</v>
      </c>
      <c r="L226" s="159">
        <v>98.25</v>
      </c>
      <c r="M226" s="159">
        <v>0</v>
      </c>
      <c r="N226" s="159">
        <v>5.23</v>
      </c>
      <c r="O226" s="154">
        <f t="shared" si="146"/>
        <v>105.2</v>
      </c>
      <c r="P226" s="152">
        <f>K226*(100/O226)</f>
        <v>1.6349809885931559</v>
      </c>
      <c r="Q226" s="152">
        <f t="shared" si="130"/>
        <v>93.393536121673009</v>
      </c>
      <c r="R226" s="152">
        <f t="shared" si="131"/>
        <v>0</v>
      </c>
      <c r="S226" s="152">
        <f t="shared" si="132"/>
        <v>4.9714828897338412</v>
      </c>
      <c r="T226" s="154" t="s">
        <v>1031</v>
      </c>
      <c r="U226" s="152">
        <v>89.91</v>
      </c>
      <c r="V226" s="152">
        <v>8.14</v>
      </c>
      <c r="W226" s="152">
        <v>0.11</v>
      </c>
      <c r="X226" s="152">
        <v>0.23</v>
      </c>
      <c r="Y226" s="152">
        <v>1.84</v>
      </c>
      <c r="AA226" s="154">
        <f t="shared" si="135"/>
        <v>100.22999999999999</v>
      </c>
      <c r="AB226" s="152">
        <f t="shared" si="136"/>
        <v>89.703681532475315</v>
      </c>
      <c r="AC226" s="152">
        <f t="shared" si="137"/>
        <v>8.1213209617878892</v>
      </c>
      <c r="AD226" s="152">
        <f t="shared" si="138"/>
        <v>0.1097475805647012</v>
      </c>
      <c r="AE226" s="152">
        <f t="shared" si="139"/>
        <v>0.22947221390801162</v>
      </c>
      <c r="AF226" s="152">
        <f t="shared" si="140"/>
        <v>1.8357777112640929</v>
      </c>
      <c r="AG226" s="155"/>
      <c r="AH226"/>
      <c r="AI226"/>
      <c r="AJ226" s="3"/>
      <c r="AK226"/>
      <c r="AL226"/>
      <c r="AM226" s="3"/>
      <c r="AN226" s="158">
        <v>65</v>
      </c>
    </row>
    <row r="227" spans="1:40" s="152" customFormat="1">
      <c r="A227" s="152">
        <f t="shared" si="128"/>
        <v>226</v>
      </c>
      <c r="B227" s="153" t="s">
        <v>1028</v>
      </c>
      <c r="C227" s="152">
        <v>7</v>
      </c>
      <c r="D227" s="152" t="s">
        <v>1059</v>
      </c>
      <c r="E227" s="152" t="s">
        <v>1057</v>
      </c>
      <c r="F227" s="152" t="s">
        <v>1203</v>
      </c>
      <c r="G227" s="153">
        <v>0.85</v>
      </c>
      <c r="J227" s="153"/>
      <c r="K227" s="153"/>
      <c r="O227" s="154"/>
      <c r="T227" s="154"/>
      <c r="AA227" s="154"/>
      <c r="AG227" s="155"/>
      <c r="AH227"/>
      <c r="AI227"/>
      <c r="AJ227" s="3"/>
      <c r="AK227"/>
      <c r="AL227"/>
      <c r="AM227" s="3"/>
      <c r="AN227" s="156">
        <v>93</v>
      </c>
    </row>
    <row r="228" spans="1:40" s="152" customFormat="1">
      <c r="A228" s="152">
        <f t="shared" si="128"/>
        <v>227</v>
      </c>
      <c r="B228" s="153" t="s">
        <v>1028</v>
      </c>
      <c r="C228" s="152">
        <v>7</v>
      </c>
      <c r="D228" s="152" t="s">
        <v>1059</v>
      </c>
      <c r="E228" s="152" t="s">
        <v>1058</v>
      </c>
      <c r="F228" s="152" t="s">
        <v>1207</v>
      </c>
      <c r="G228" s="153">
        <v>0.90200000000000002</v>
      </c>
      <c r="J228" s="153"/>
      <c r="K228" s="153"/>
      <c r="O228" s="154"/>
      <c r="T228" s="154"/>
      <c r="AA228" s="154"/>
      <c r="AG228" s="155"/>
      <c r="AH228"/>
      <c r="AI228"/>
      <c r="AJ228" s="3"/>
      <c r="AK228"/>
      <c r="AL228"/>
      <c r="AM228" s="3"/>
      <c r="AN228" s="156">
        <v>95</v>
      </c>
    </row>
    <row r="229" spans="1:40" s="152" customFormat="1">
      <c r="A229" s="152">
        <f t="shared" si="128"/>
        <v>228</v>
      </c>
      <c r="B229" s="153" t="s">
        <v>1028</v>
      </c>
      <c r="C229" s="152">
        <v>7</v>
      </c>
      <c r="D229" s="152" t="s">
        <v>1059</v>
      </c>
      <c r="E229" s="152" t="s">
        <v>1057</v>
      </c>
      <c r="F229" s="152" t="s">
        <v>1207</v>
      </c>
      <c r="G229" s="153"/>
      <c r="H229" s="152">
        <v>0.115</v>
      </c>
      <c r="I229" s="152">
        <v>1.2</v>
      </c>
      <c r="J229" s="153"/>
      <c r="K229" s="153"/>
      <c r="O229" s="154"/>
      <c r="T229" s="154"/>
      <c r="AA229" s="154"/>
      <c r="AG229" s="155"/>
      <c r="AH229"/>
      <c r="AI229"/>
      <c r="AJ229" s="3"/>
      <c r="AK229"/>
      <c r="AL229"/>
      <c r="AM229" s="3"/>
      <c r="AN229" s="158">
        <v>98</v>
      </c>
    </row>
    <row r="230" spans="1:40" s="152" customFormat="1">
      <c r="A230" s="152">
        <f t="shared" si="128"/>
        <v>229</v>
      </c>
      <c r="B230" s="153" t="s">
        <v>1028</v>
      </c>
      <c r="C230" s="152">
        <v>7</v>
      </c>
      <c r="D230" s="152" t="s">
        <v>1059</v>
      </c>
      <c r="E230" s="152" t="s">
        <v>1058</v>
      </c>
      <c r="G230" s="153">
        <v>1.04</v>
      </c>
      <c r="J230" s="153"/>
      <c r="K230" s="153"/>
      <c r="O230" s="154"/>
      <c r="T230" s="154"/>
      <c r="AA230" s="154"/>
      <c r="AG230" s="155"/>
      <c r="AH230"/>
      <c r="AI230"/>
      <c r="AJ230" s="3"/>
      <c r="AK230"/>
      <c r="AL230"/>
      <c r="AM230" s="3"/>
      <c r="AN230" s="156">
        <v>112</v>
      </c>
    </row>
    <row r="231" spans="1:40" s="152" customFormat="1">
      <c r="A231" s="152">
        <f t="shared" si="128"/>
        <v>230</v>
      </c>
      <c r="B231" s="153" t="s">
        <v>1028</v>
      </c>
      <c r="C231" s="152">
        <v>7</v>
      </c>
      <c r="D231" s="152" t="s">
        <v>1056</v>
      </c>
      <c r="E231" s="152" t="s">
        <v>1057</v>
      </c>
      <c r="G231" s="153">
        <v>1.05</v>
      </c>
      <c r="J231" s="153"/>
      <c r="K231" s="153"/>
      <c r="O231" s="154"/>
      <c r="T231" s="154" t="s">
        <v>1031</v>
      </c>
      <c r="U231" s="152">
        <v>92.66</v>
      </c>
      <c r="V231" s="152">
        <v>7.86</v>
      </c>
      <c r="W231" s="152">
        <v>0</v>
      </c>
      <c r="X231" s="152">
        <v>0.04</v>
      </c>
      <c r="Y231" s="152">
        <v>0</v>
      </c>
      <c r="Z231" s="152">
        <v>0</v>
      </c>
      <c r="AA231" s="154">
        <f>Z231+Y231+X231+W231+V231+U231</f>
        <v>100.56</v>
      </c>
      <c r="AB231" s="152">
        <f>U231*(100/AA231)</f>
        <v>92.143993635640413</v>
      </c>
      <c r="AC231" s="152">
        <f>V231*(100/AA231)</f>
        <v>7.8162291169451077</v>
      </c>
      <c r="AD231" s="152">
        <f>W231*(100/AA231)</f>
        <v>0</v>
      </c>
      <c r="AE231" s="152">
        <f>X231*(100/AA231)</f>
        <v>3.9777247414478918E-2</v>
      </c>
      <c r="AF231" s="152">
        <f>Y231*(100/AA231)</f>
        <v>0</v>
      </c>
      <c r="AG231" s="155">
        <f>Z231*(100/AA231)</f>
        <v>0</v>
      </c>
      <c r="AH231"/>
      <c r="AI231"/>
      <c r="AJ231" s="3"/>
      <c r="AK231"/>
      <c r="AL231"/>
      <c r="AM231" s="3"/>
      <c r="AN231" s="158">
        <v>82</v>
      </c>
    </row>
    <row r="232" spans="1:40" s="161" customFormat="1">
      <c r="A232" s="161">
        <f t="shared" si="128"/>
        <v>231</v>
      </c>
      <c r="B232" s="162" t="s">
        <v>1028</v>
      </c>
      <c r="C232" s="161">
        <v>8</v>
      </c>
      <c r="D232" s="161" t="s">
        <v>1060</v>
      </c>
      <c r="E232" s="161" t="s">
        <v>1061</v>
      </c>
      <c r="G232" s="162"/>
      <c r="J232" s="162"/>
      <c r="K232" s="162"/>
      <c r="O232" s="163"/>
      <c r="T232" s="163" t="s">
        <v>1036</v>
      </c>
      <c r="U232" s="161">
        <v>42.51</v>
      </c>
      <c r="V232" s="161">
        <v>5.35</v>
      </c>
      <c r="W232" s="161">
        <v>0</v>
      </c>
      <c r="X232" s="161">
        <v>0</v>
      </c>
      <c r="Y232" s="161">
        <v>1.08</v>
      </c>
      <c r="Z232" s="161">
        <v>50.93</v>
      </c>
      <c r="AA232" s="163">
        <f>Z232+Y232+X232+W232+V232+U232</f>
        <v>99.87</v>
      </c>
      <c r="AB232" s="161">
        <f>U232*(100/AA232)</f>
        <v>42.56533493541604</v>
      </c>
      <c r="AC232" s="161">
        <f>V232*(100/AA232)</f>
        <v>5.35696405326925</v>
      </c>
      <c r="AD232" s="161">
        <f>W232*(100/AA232)</f>
        <v>0</v>
      </c>
      <c r="AE232" s="161">
        <f>X232*(100/AA232)</f>
        <v>0</v>
      </c>
      <c r="AF232" s="161">
        <f>Y232*(100/AA232)</f>
        <v>1.0814058275758487</v>
      </c>
      <c r="AG232" s="164">
        <f>Z232*(100/AA232)</f>
        <v>50.996295183738866</v>
      </c>
      <c r="AH232" s="6"/>
      <c r="AI232" s="6"/>
      <c r="AJ232" s="7"/>
      <c r="AK232" s="6"/>
      <c r="AL232" s="6"/>
      <c r="AM232" s="7"/>
      <c r="AN232" s="179">
        <v>87</v>
      </c>
    </row>
    <row r="233" spans="1:40">
      <c r="A233">
        <f t="shared" si="128"/>
        <v>232</v>
      </c>
      <c r="B233" s="162" t="s">
        <v>1028</v>
      </c>
      <c r="C233" s="152">
        <v>8</v>
      </c>
      <c r="D233" s="152" t="s">
        <v>1060</v>
      </c>
      <c r="E233" s="152" t="s">
        <v>1061</v>
      </c>
      <c r="T233" s="154" t="s">
        <v>1036</v>
      </c>
      <c r="U233">
        <v>40.1</v>
      </c>
      <c r="V233">
        <v>5.0999999999999996</v>
      </c>
      <c r="W233">
        <v>0</v>
      </c>
      <c r="X233">
        <v>0</v>
      </c>
      <c r="Y233">
        <v>0</v>
      </c>
      <c r="Z233">
        <v>53.7</v>
      </c>
      <c r="AA233" s="154">
        <f>Z233+Y233+X233+W233+V233+U233</f>
        <v>98.9</v>
      </c>
      <c r="AB233" s="152">
        <f>U233*(100/AA233)</f>
        <v>40.54600606673408</v>
      </c>
      <c r="AC233" s="152">
        <f>V233*(100/AA233)</f>
        <v>5.1567239635995952</v>
      </c>
      <c r="AD233" s="152">
        <f>W233*(100/AA233)</f>
        <v>0</v>
      </c>
      <c r="AE233" s="152">
        <f>X233*(100/AA233)</f>
        <v>0</v>
      </c>
      <c r="AF233" s="152">
        <f>Y233*(100/AA233)</f>
        <v>0</v>
      </c>
      <c r="AG233" s="155">
        <f>Z233*(100/AA233)</f>
        <v>54.297269969666331</v>
      </c>
      <c r="AN233" s="181">
        <v>138</v>
      </c>
    </row>
    <row r="234" spans="1:40" s="152" customFormat="1">
      <c r="A234" s="152">
        <f t="shared" si="128"/>
        <v>233</v>
      </c>
      <c r="B234" s="153" t="s">
        <v>1028</v>
      </c>
      <c r="C234" s="152">
        <v>8</v>
      </c>
      <c r="D234" s="152" t="s">
        <v>1060</v>
      </c>
      <c r="E234" s="152" t="s">
        <v>1061</v>
      </c>
      <c r="G234" s="153"/>
      <c r="J234" s="153" t="s">
        <v>221</v>
      </c>
      <c r="K234" s="153">
        <v>0.77</v>
      </c>
      <c r="L234" s="152">
        <v>94.26</v>
      </c>
      <c r="M234" s="152">
        <v>5.74</v>
      </c>
      <c r="N234" s="152">
        <v>0</v>
      </c>
      <c r="O234" s="154">
        <f t="shared" ref="O234" si="148">SUM(K234:N234)</f>
        <v>100.77</v>
      </c>
      <c r="P234" s="152">
        <v>0.77</v>
      </c>
      <c r="Q234" s="30">
        <f>(100-$P$234)*L234/100</f>
        <v>93.534198000000018</v>
      </c>
      <c r="R234" s="30">
        <f>(100-$P$234)*M234/100</f>
        <v>5.6958019999999996</v>
      </c>
      <c r="S234" s="152">
        <f t="shared" ref="S234:S243" si="149">N234*(100/O234)</f>
        <v>0</v>
      </c>
      <c r="T234" s="154"/>
      <c r="Z234" s="180"/>
      <c r="AA234" s="154"/>
      <c r="AG234" s="155"/>
      <c r="AH234"/>
      <c r="AI234"/>
      <c r="AJ234" s="3"/>
      <c r="AK234"/>
      <c r="AL234"/>
      <c r="AM234" s="3"/>
      <c r="AN234" s="158">
        <v>57</v>
      </c>
    </row>
    <row r="235" spans="1:40" s="152" customFormat="1">
      <c r="A235" s="152">
        <f t="shared" si="128"/>
        <v>234</v>
      </c>
      <c r="B235" s="153" t="s">
        <v>1028</v>
      </c>
      <c r="C235" s="152">
        <v>8</v>
      </c>
      <c r="D235" s="152" t="s">
        <v>1060</v>
      </c>
      <c r="E235" s="152" t="s">
        <v>1061</v>
      </c>
      <c r="G235" s="153"/>
      <c r="J235" s="153" t="s">
        <v>453</v>
      </c>
      <c r="K235" s="153">
        <v>0.74</v>
      </c>
      <c r="L235" s="152">
        <v>94.82</v>
      </c>
      <c r="M235" s="152">
        <v>5.19</v>
      </c>
      <c r="N235" s="152">
        <v>0</v>
      </c>
      <c r="O235" s="154">
        <f t="shared" ref="O235:O236" si="150">SUM(K235:N235)</f>
        <v>100.74999999999999</v>
      </c>
      <c r="P235" s="152">
        <v>0.74</v>
      </c>
      <c r="Q235" s="30">
        <f>(100-$P$235)*L235/100</f>
        <v>94.118331999999995</v>
      </c>
      <c r="R235" s="30">
        <f t="shared" ref="R235:S235" si="151">(100-$P$235)*M235/100</f>
        <v>5.1515940000000011</v>
      </c>
      <c r="S235" s="30">
        <f t="shared" si="151"/>
        <v>0</v>
      </c>
      <c r="T235" s="154" t="s">
        <v>1036</v>
      </c>
      <c r="U235" s="152">
        <v>42.52</v>
      </c>
      <c r="V235" s="152">
        <v>6.16</v>
      </c>
      <c r="W235" s="152">
        <v>0</v>
      </c>
      <c r="X235" s="152">
        <v>0</v>
      </c>
      <c r="Y235" s="152">
        <v>0</v>
      </c>
      <c r="Z235" s="152">
        <v>51.31</v>
      </c>
      <c r="AA235" s="154">
        <f>Z235+Y235+X235+W235+V235+U235</f>
        <v>99.990000000000009</v>
      </c>
      <c r="AB235" s="152">
        <f>U235*(100/AA235)</f>
        <v>42.524252425242523</v>
      </c>
      <c r="AC235" s="152">
        <f>V235*(100/AA235)</f>
        <v>6.1606160616061603</v>
      </c>
      <c r="AD235" s="152">
        <f>W235*(100/AA235)</f>
        <v>0</v>
      </c>
      <c r="AE235" s="152">
        <f>X235*(100/AA235)</f>
        <v>0</v>
      </c>
      <c r="AF235" s="152">
        <f>Y235*(100/AA235)</f>
        <v>0</v>
      </c>
      <c r="AG235" s="155">
        <f>Z235*(100/AA235)</f>
        <v>51.315131513151314</v>
      </c>
      <c r="AH235"/>
      <c r="AI235"/>
      <c r="AJ235" s="3"/>
      <c r="AK235"/>
      <c r="AL235"/>
      <c r="AM235" s="3"/>
      <c r="AN235" s="158">
        <v>119</v>
      </c>
    </row>
    <row r="236" spans="1:40" s="152" customFormat="1">
      <c r="A236" s="152">
        <f t="shared" si="128"/>
        <v>235</v>
      </c>
      <c r="B236" s="153" t="s">
        <v>1028</v>
      </c>
      <c r="C236" s="152">
        <v>8</v>
      </c>
      <c r="D236" s="152" t="s">
        <v>1060</v>
      </c>
      <c r="E236" s="152" t="s">
        <v>1061</v>
      </c>
      <c r="G236" s="153"/>
      <c r="J236" s="153" t="s">
        <v>221</v>
      </c>
      <c r="K236" s="153">
        <v>0</v>
      </c>
      <c r="L236" s="152">
        <v>94.93</v>
      </c>
      <c r="M236" s="152">
        <v>5.07</v>
      </c>
      <c r="N236" s="152">
        <v>0</v>
      </c>
      <c r="O236" s="154">
        <f t="shared" si="150"/>
        <v>100</v>
      </c>
      <c r="P236" s="152">
        <v>0</v>
      </c>
      <c r="Q236" s="152">
        <f t="shared" ref="Q236:Q243" si="152">L236*(100/O236)</f>
        <v>94.93</v>
      </c>
      <c r="R236" s="152">
        <f t="shared" ref="R236:R243" si="153">M236*(100/O236)</f>
        <v>5.07</v>
      </c>
      <c r="S236" s="152">
        <f t="shared" si="149"/>
        <v>0</v>
      </c>
      <c r="T236" s="154" t="s">
        <v>1031</v>
      </c>
      <c r="U236" s="152">
        <v>38.340000000000003</v>
      </c>
      <c r="V236" s="152">
        <v>4.47</v>
      </c>
      <c r="W236" s="152">
        <v>0.23</v>
      </c>
      <c r="X236" s="152">
        <v>0</v>
      </c>
      <c r="Y236" s="152">
        <v>0</v>
      </c>
      <c r="Z236" s="152">
        <v>56.96</v>
      </c>
      <c r="AA236" s="154">
        <f>Z236+Y236+X236+W236+V236+U236</f>
        <v>100</v>
      </c>
      <c r="AB236" s="152">
        <f>U236*(100/AA236)</f>
        <v>38.340000000000003</v>
      </c>
      <c r="AC236" s="152">
        <f>V236*(100/AA236)</f>
        <v>4.47</v>
      </c>
      <c r="AD236" s="152">
        <f>W236*(100/AA236)</f>
        <v>0.23</v>
      </c>
      <c r="AE236" s="152">
        <f>X236*(100/AA236)</f>
        <v>0</v>
      </c>
      <c r="AF236" s="152">
        <f>Y236*(100/AA236)</f>
        <v>0</v>
      </c>
      <c r="AG236" s="155">
        <f>Z236*(100/AA236)</f>
        <v>56.96</v>
      </c>
      <c r="AH236"/>
      <c r="AI236">
        <v>20.83</v>
      </c>
      <c r="AJ236" s="3"/>
      <c r="AK236">
        <f>AL236*(Q236+R236+S236)/(Q236+R236)</f>
        <v>20.83</v>
      </c>
      <c r="AL236">
        <v>20.83</v>
      </c>
      <c r="AM236">
        <f>AL236*(Q236+R236+S236)/(P236+Q236+R236+S236)</f>
        <v>20.83</v>
      </c>
      <c r="AN236" s="166">
        <v>42</v>
      </c>
    </row>
    <row r="237" spans="1:40" s="152" customFormat="1">
      <c r="A237" s="152">
        <f t="shared" si="128"/>
        <v>236</v>
      </c>
      <c r="B237" s="153" t="s">
        <v>1028</v>
      </c>
      <c r="C237" s="152">
        <v>8</v>
      </c>
      <c r="D237" s="152" t="s">
        <v>1060</v>
      </c>
      <c r="E237" s="152" t="s">
        <v>1064</v>
      </c>
      <c r="G237" s="153"/>
      <c r="J237" s="153" t="s">
        <v>1042</v>
      </c>
      <c r="K237" s="153">
        <v>0.01</v>
      </c>
      <c r="L237" s="152">
        <v>96.52</v>
      </c>
      <c r="M237" s="152">
        <v>3.47</v>
      </c>
      <c r="N237" s="152">
        <v>0</v>
      </c>
      <c r="O237" s="154">
        <f t="shared" ref="O237:O239" si="154">SUM(K237:N237)</f>
        <v>100</v>
      </c>
      <c r="P237" s="152">
        <v>0.01</v>
      </c>
      <c r="Q237" s="152">
        <f t="shared" si="152"/>
        <v>96.52</v>
      </c>
      <c r="R237" s="152">
        <f t="shared" si="153"/>
        <v>3.47</v>
      </c>
      <c r="S237" s="152">
        <f t="shared" si="149"/>
        <v>0</v>
      </c>
      <c r="T237" s="154" t="s">
        <v>1042</v>
      </c>
      <c r="U237" s="152">
        <v>37.78</v>
      </c>
      <c r="V237" s="152">
        <v>4.83</v>
      </c>
      <c r="W237" s="152">
        <v>0.14000000000000001</v>
      </c>
      <c r="X237" s="152">
        <v>0.16</v>
      </c>
      <c r="Y237" s="152">
        <v>0.36</v>
      </c>
      <c r="Z237" s="152">
        <v>56.73</v>
      </c>
      <c r="AA237" s="154">
        <f t="shared" ref="AA237:AA241" si="155">Z237+Y237+X237+W237+V237+U237</f>
        <v>100</v>
      </c>
      <c r="AB237" s="152">
        <f t="shared" ref="AB237:AB241" si="156">U237*(100/AA237)</f>
        <v>37.78</v>
      </c>
      <c r="AC237" s="152">
        <f t="shared" ref="AC237:AC241" si="157">V237*(100/AA237)</f>
        <v>4.83</v>
      </c>
      <c r="AD237" s="152">
        <f t="shared" ref="AD237:AD241" si="158">W237*(100/AA237)</f>
        <v>0.14000000000000001</v>
      </c>
      <c r="AE237" s="152">
        <f t="shared" ref="AE237:AE241" si="159">X237*(100/AA237)</f>
        <v>0.16</v>
      </c>
      <c r="AF237" s="152">
        <f t="shared" ref="AF237:AF241" si="160">Y237*(100/AA237)</f>
        <v>0.36</v>
      </c>
      <c r="AG237" s="155">
        <f t="shared" ref="AG237:AG241" si="161">Z237*(100/AA237)</f>
        <v>56.73</v>
      </c>
      <c r="AH237"/>
      <c r="AI237"/>
      <c r="AJ237" s="3"/>
      <c r="AK237"/>
      <c r="AL237"/>
      <c r="AM237" s="3"/>
      <c r="AN237" s="156">
        <v>105</v>
      </c>
    </row>
    <row r="238" spans="1:40" s="152" customFormat="1">
      <c r="A238" s="152">
        <f t="shared" si="128"/>
        <v>237</v>
      </c>
      <c r="B238" s="153" t="s">
        <v>1028</v>
      </c>
      <c r="C238" s="152">
        <v>8</v>
      </c>
      <c r="D238" s="152" t="s">
        <v>1060</v>
      </c>
      <c r="E238" s="152" t="s">
        <v>1061</v>
      </c>
      <c r="G238" s="153"/>
      <c r="J238" s="153" t="s">
        <v>1033</v>
      </c>
      <c r="K238" s="153">
        <v>0</v>
      </c>
      <c r="L238" s="152">
        <v>97.23</v>
      </c>
      <c r="M238" s="152">
        <v>2.77</v>
      </c>
      <c r="N238" s="152">
        <v>0</v>
      </c>
      <c r="O238" s="154">
        <f t="shared" si="154"/>
        <v>100</v>
      </c>
      <c r="P238" s="152">
        <v>0</v>
      </c>
      <c r="Q238" s="152">
        <f t="shared" si="152"/>
        <v>97.23</v>
      </c>
      <c r="R238" s="152">
        <f t="shared" si="153"/>
        <v>2.77</v>
      </c>
      <c r="S238" s="152">
        <f t="shared" si="149"/>
        <v>0</v>
      </c>
      <c r="T238" s="154" t="s">
        <v>1033</v>
      </c>
      <c r="U238" s="152">
        <v>38.64</v>
      </c>
      <c r="V238" s="152">
        <v>4.7699999999999996</v>
      </c>
      <c r="W238" s="152">
        <v>0.14000000000000001</v>
      </c>
      <c r="X238" s="152">
        <v>0.11</v>
      </c>
      <c r="Y238" s="152">
        <v>0</v>
      </c>
      <c r="Z238" s="152">
        <v>56.34</v>
      </c>
      <c r="AA238" s="154">
        <f t="shared" si="155"/>
        <v>100</v>
      </c>
      <c r="AG238" s="155"/>
      <c r="AH238"/>
      <c r="AI238"/>
      <c r="AJ238" s="3"/>
      <c r="AK238"/>
      <c r="AL238"/>
      <c r="AM238" s="3"/>
      <c r="AN238" s="166">
        <v>14</v>
      </c>
    </row>
    <row r="239" spans="1:40" s="152" customFormat="1">
      <c r="A239" s="152">
        <f t="shared" si="128"/>
        <v>238</v>
      </c>
      <c r="B239" s="153" t="s">
        <v>1028</v>
      </c>
      <c r="C239" s="152">
        <v>8</v>
      </c>
      <c r="D239" s="152" t="s">
        <v>1060</v>
      </c>
      <c r="E239" s="152" t="s">
        <v>1061</v>
      </c>
      <c r="G239" s="153"/>
      <c r="J239" s="153" t="s">
        <v>1042</v>
      </c>
      <c r="K239" s="153">
        <v>0.86</v>
      </c>
      <c r="L239" s="159">
        <v>98.88</v>
      </c>
      <c r="M239" s="159">
        <v>0.17</v>
      </c>
      <c r="N239" s="159">
        <v>9.078071414161791E-2</v>
      </c>
      <c r="O239" s="154">
        <f t="shared" si="154"/>
        <v>100.00078071414161</v>
      </c>
      <c r="P239" s="152">
        <f>100*K239/$O$239</f>
        <v>0.85999328591079993</v>
      </c>
      <c r="Q239" s="152">
        <f t="shared" ref="Q239:S239" si="162">100*L239/$O$239</f>
        <v>98.879228035883614</v>
      </c>
      <c r="R239" s="152">
        <f t="shared" si="162"/>
        <v>0.16999867279632092</v>
      </c>
      <c r="S239" s="152">
        <f t="shared" si="162"/>
        <v>9.0780005409277914E-2</v>
      </c>
      <c r="T239" s="154" t="s">
        <v>1042</v>
      </c>
      <c r="U239" s="152">
        <v>38.53</v>
      </c>
      <c r="V239" s="152">
        <v>5.04</v>
      </c>
      <c r="W239" s="152">
        <v>1.2999999999999999E-2</v>
      </c>
      <c r="X239" s="152">
        <v>0.17599999999999999</v>
      </c>
      <c r="Y239" s="152">
        <v>0</v>
      </c>
      <c r="Z239" s="152">
        <v>56.25</v>
      </c>
      <c r="AA239" s="154">
        <f t="shared" si="155"/>
        <v>100.009</v>
      </c>
      <c r="AB239" s="152">
        <f t="shared" si="156"/>
        <v>38.526532612064919</v>
      </c>
      <c r="AC239" s="152">
        <f t="shared" si="157"/>
        <v>5.0395464408203265</v>
      </c>
      <c r="AD239" s="152">
        <f t="shared" si="158"/>
        <v>1.2998830105290524E-2</v>
      </c>
      <c r="AE239" s="152">
        <f t="shared" si="159"/>
        <v>0.17598416142547171</v>
      </c>
      <c r="AF239" s="152">
        <f t="shared" si="160"/>
        <v>0</v>
      </c>
      <c r="AG239" s="155">
        <f t="shared" si="161"/>
        <v>56.244937955584</v>
      </c>
      <c r="AH239"/>
      <c r="AI239"/>
      <c r="AJ239" s="3"/>
      <c r="AK239"/>
      <c r="AL239"/>
      <c r="AM239" s="3"/>
      <c r="AN239" s="158">
        <v>104</v>
      </c>
    </row>
    <row r="240" spans="1:40" s="152" customFormat="1">
      <c r="A240" s="152">
        <f t="shared" si="128"/>
        <v>239</v>
      </c>
      <c r="B240" s="153" t="s">
        <v>1028</v>
      </c>
      <c r="C240" s="152">
        <v>8</v>
      </c>
      <c r="D240" s="152" t="s">
        <v>1060</v>
      </c>
      <c r="E240" s="152" t="s">
        <v>1061</v>
      </c>
      <c r="G240" s="153"/>
      <c r="J240" s="153" t="s">
        <v>221</v>
      </c>
      <c r="K240" s="153">
        <v>0</v>
      </c>
      <c r="L240" s="152">
        <v>94.8</v>
      </c>
      <c r="M240" s="152">
        <v>4.8</v>
      </c>
      <c r="N240" s="152">
        <v>0.4</v>
      </c>
      <c r="O240" s="154">
        <f t="shared" ref="O240" si="163">SUM(K240:N240)</f>
        <v>100</v>
      </c>
      <c r="P240" s="152">
        <v>0</v>
      </c>
      <c r="Q240" s="152">
        <f t="shared" si="152"/>
        <v>94.8</v>
      </c>
      <c r="R240" s="152">
        <f t="shared" si="153"/>
        <v>4.8</v>
      </c>
      <c r="S240" s="152">
        <f t="shared" si="149"/>
        <v>0.4</v>
      </c>
      <c r="T240" s="154" t="s">
        <v>1031</v>
      </c>
      <c r="U240" s="152">
        <v>41.4</v>
      </c>
      <c r="V240" s="152">
        <v>5.3</v>
      </c>
      <c r="W240" s="152">
        <v>0.04</v>
      </c>
      <c r="X240" s="152">
        <v>0.03</v>
      </c>
      <c r="Y240" s="152">
        <v>5.83</v>
      </c>
      <c r="Z240" s="152">
        <v>47.7</v>
      </c>
      <c r="AA240" s="154">
        <f t="shared" si="155"/>
        <v>100.3</v>
      </c>
      <c r="AB240" s="152">
        <f t="shared" si="156"/>
        <v>41.276171485543372</v>
      </c>
      <c r="AC240" s="152">
        <f t="shared" si="157"/>
        <v>5.2841475573280157</v>
      </c>
      <c r="AD240" s="152">
        <f t="shared" si="158"/>
        <v>3.9880358923230309E-2</v>
      </c>
      <c r="AE240" s="152">
        <f t="shared" si="159"/>
        <v>2.991026919242273E-2</v>
      </c>
      <c r="AF240" s="152">
        <f t="shared" si="160"/>
        <v>5.8125623130608179</v>
      </c>
      <c r="AG240" s="155">
        <f t="shared" si="161"/>
        <v>47.557328015952145</v>
      </c>
      <c r="AH240"/>
      <c r="AI240"/>
      <c r="AJ240" s="3">
        <v>22.8</v>
      </c>
      <c r="AK240">
        <f>AL240*(Q240+R240+S240)/(Q240+R240)</f>
        <v>22.891566265060241</v>
      </c>
      <c r="AL240">
        <f>AM240*(P240+Q240+R240+S240)/(Q240+R240+S240)</f>
        <v>22.8</v>
      </c>
      <c r="AM240" s="3">
        <v>22.8</v>
      </c>
      <c r="AN240" s="158">
        <v>88</v>
      </c>
    </row>
    <row r="241" spans="1:40" s="152" customFormat="1">
      <c r="A241" s="152">
        <f t="shared" si="128"/>
        <v>240</v>
      </c>
      <c r="B241" s="153" t="s">
        <v>1028</v>
      </c>
      <c r="C241" s="152">
        <v>8</v>
      </c>
      <c r="D241" s="152" t="s">
        <v>1060</v>
      </c>
      <c r="E241" s="152" t="s">
        <v>1061</v>
      </c>
      <c r="G241" s="153"/>
      <c r="J241" s="153" t="s">
        <v>221</v>
      </c>
      <c r="K241" s="153">
        <v>0.02</v>
      </c>
      <c r="L241" s="152">
        <v>88.95</v>
      </c>
      <c r="M241" s="152">
        <v>8.67</v>
      </c>
      <c r="N241" s="152">
        <v>2.36</v>
      </c>
      <c r="O241" s="154">
        <f t="shared" ref="O241" si="164">SUM(K241:N241)</f>
        <v>100</v>
      </c>
      <c r="P241" s="152">
        <v>0.02</v>
      </c>
      <c r="Q241" s="152">
        <v>88.95</v>
      </c>
      <c r="R241" s="152">
        <v>8.67</v>
      </c>
      <c r="S241" s="152">
        <v>2.36</v>
      </c>
      <c r="T241" s="154" t="s">
        <v>1036</v>
      </c>
      <c r="U241" s="159">
        <v>38.799999999999997</v>
      </c>
      <c r="V241" s="159">
        <v>5.14</v>
      </c>
      <c r="W241" s="159">
        <v>9.2175337976239252E-2</v>
      </c>
      <c r="X241" s="152">
        <v>0</v>
      </c>
      <c r="Y241" s="152">
        <v>0</v>
      </c>
      <c r="Z241" s="159">
        <v>53.61</v>
      </c>
      <c r="AA241" s="154">
        <f t="shared" si="155"/>
        <v>97.642175337976227</v>
      </c>
      <c r="AB241" s="152">
        <f t="shared" si="156"/>
        <v>39.736927066299607</v>
      </c>
      <c r="AC241" s="152">
        <f t="shared" si="157"/>
        <v>5.2641186886798961</v>
      </c>
      <c r="AD241" s="152">
        <f t="shared" si="158"/>
        <v>9.4401151610137526E-2</v>
      </c>
      <c r="AE241" s="152">
        <f t="shared" si="159"/>
        <v>0</v>
      </c>
      <c r="AF241" s="152">
        <f t="shared" si="160"/>
        <v>0</v>
      </c>
      <c r="AG241" s="155">
        <f t="shared" si="161"/>
        <v>54.904553093410364</v>
      </c>
      <c r="AH241"/>
      <c r="AI241"/>
      <c r="AJ241" s="3"/>
      <c r="AK241"/>
      <c r="AL241"/>
      <c r="AM241" s="3"/>
      <c r="AN241" s="166">
        <v>43</v>
      </c>
    </row>
    <row r="242" spans="1:40" s="152" customFormat="1">
      <c r="A242" s="152">
        <f t="shared" si="128"/>
        <v>241</v>
      </c>
      <c r="B242" s="153" t="s">
        <v>1028</v>
      </c>
      <c r="C242" s="152">
        <v>8</v>
      </c>
      <c r="D242" s="152" t="s">
        <v>1060</v>
      </c>
      <c r="E242" s="152" t="s">
        <v>1061</v>
      </c>
      <c r="G242" s="153"/>
      <c r="J242" s="153" t="s">
        <v>453</v>
      </c>
      <c r="K242" s="153">
        <v>0.21</v>
      </c>
      <c r="L242" s="152">
        <v>85.94</v>
      </c>
      <c r="M242" s="152">
        <v>9.8699999999999992</v>
      </c>
      <c r="N242" s="152">
        <v>4.1900000000000004</v>
      </c>
      <c r="O242" s="154">
        <f t="shared" ref="O242:O243" si="165">SUM(K242:N242)</f>
        <v>100.21</v>
      </c>
      <c r="P242" s="152">
        <v>0.21</v>
      </c>
      <c r="Q242" s="30">
        <f>(100-$P$242)*L242/100</f>
        <v>85.759526000000008</v>
      </c>
      <c r="R242" s="30">
        <f t="shared" ref="R242:S242" si="166">(100-$P$242)*M242/100</f>
        <v>9.8492730000000002</v>
      </c>
      <c r="S242" s="30">
        <f t="shared" si="166"/>
        <v>4.1812010000000006</v>
      </c>
      <c r="T242" s="154" t="s">
        <v>1031</v>
      </c>
      <c r="U242" s="152">
        <v>40.590000000000003</v>
      </c>
      <c r="V242" s="152">
        <v>5</v>
      </c>
      <c r="W242" s="152">
        <v>0.08</v>
      </c>
      <c r="X242" s="152">
        <v>0.2</v>
      </c>
      <c r="Y242" s="152">
        <v>0.59</v>
      </c>
      <c r="Z242" s="152">
        <v>53.53</v>
      </c>
      <c r="AA242" s="154">
        <f t="shared" ref="AA242:AA243" si="167">Z242+Y242+X242+W242+V242+U242</f>
        <v>99.990000000000009</v>
      </c>
      <c r="AB242" s="152">
        <f t="shared" ref="AB242" si="168">U242*(100/AA242)</f>
        <v>40.594059405940591</v>
      </c>
      <c r="AC242" s="152">
        <f t="shared" ref="AC242" si="169">V242*(100/AA242)</f>
        <v>5.0005000500049999</v>
      </c>
      <c r="AD242" s="152">
        <f t="shared" ref="AD242" si="170">W242*(100/AA242)</f>
        <v>8.0008000800079998E-2</v>
      </c>
      <c r="AE242" s="152">
        <f t="shared" ref="AE242" si="171">X242*(100/AA242)</f>
        <v>0.20002000200020001</v>
      </c>
      <c r="AF242" s="152">
        <f t="shared" ref="AF242" si="172">Y242*(100/AA242)</f>
        <v>0.59005900590059002</v>
      </c>
      <c r="AG242" s="155">
        <f t="shared" ref="AG242" si="173">Z242*(100/AA242)</f>
        <v>53.535353535353529</v>
      </c>
      <c r="AH242">
        <v>21.17</v>
      </c>
      <c r="AI242"/>
      <c r="AJ242" s="3"/>
      <c r="AK242">
        <v>21.17</v>
      </c>
      <c r="AL242">
        <f>AK242*(Q242+R242)/(Q242+R242+S242)</f>
        <v>20.282977000000002</v>
      </c>
      <c r="AM242">
        <f>AL242*(Q242+R242+S242)/(P242+Q242+R242+S242)</f>
        <v>20.240382748300004</v>
      </c>
      <c r="AN242" s="166">
        <v>13</v>
      </c>
    </row>
    <row r="243" spans="1:40" s="152" customFormat="1">
      <c r="A243" s="152">
        <f t="shared" si="128"/>
        <v>242</v>
      </c>
      <c r="B243" s="153" t="s">
        <v>1028</v>
      </c>
      <c r="C243" s="152">
        <v>8</v>
      </c>
      <c r="D243" s="152" t="s">
        <v>1060</v>
      </c>
      <c r="E243" s="152" t="s">
        <v>1061</v>
      </c>
      <c r="G243" s="153"/>
      <c r="J243" s="153" t="s">
        <v>1037</v>
      </c>
      <c r="K243" s="153">
        <v>0.2</v>
      </c>
      <c r="L243" s="152">
        <v>85.9</v>
      </c>
      <c r="M243" s="152">
        <v>6.3</v>
      </c>
      <c r="N243" s="152">
        <v>7.6</v>
      </c>
      <c r="O243" s="154">
        <f t="shared" si="165"/>
        <v>100</v>
      </c>
      <c r="P243" s="152">
        <v>0.2</v>
      </c>
      <c r="Q243" s="152">
        <f t="shared" si="152"/>
        <v>85.9</v>
      </c>
      <c r="R243" s="152">
        <f t="shared" si="153"/>
        <v>6.3</v>
      </c>
      <c r="S243" s="152">
        <f t="shared" si="149"/>
        <v>7.6</v>
      </c>
      <c r="T243" s="154" t="s">
        <v>1036</v>
      </c>
      <c r="U243" s="152">
        <v>35.9</v>
      </c>
      <c r="V243" s="152">
        <v>4.4000000000000004</v>
      </c>
      <c r="W243" s="152">
        <v>0.11</v>
      </c>
      <c r="X243" s="152">
        <v>0</v>
      </c>
      <c r="Y243" s="152">
        <v>0</v>
      </c>
      <c r="Z243" s="152">
        <v>59.59</v>
      </c>
      <c r="AA243" s="154">
        <f t="shared" si="167"/>
        <v>100</v>
      </c>
      <c r="AG243" s="155"/>
      <c r="AH243"/>
      <c r="AI243"/>
      <c r="AJ243" s="3">
        <v>18.100000000000001</v>
      </c>
      <c r="AK243">
        <f>AL243*(Q243+R243+S243)/(Q243+R243)</f>
        <v>19.631236442516272</v>
      </c>
      <c r="AL243">
        <f>AM243*(P243+Q243+R243+S243)/(Q243+R243+S243)</f>
        <v>18.136272545090183</v>
      </c>
      <c r="AM243" s="3">
        <v>18.100000000000001</v>
      </c>
      <c r="AN243" s="166">
        <v>32</v>
      </c>
    </row>
    <row r="244" spans="1:40" s="152" customFormat="1">
      <c r="A244" s="152">
        <f t="shared" si="128"/>
        <v>243</v>
      </c>
      <c r="B244" s="153" t="s">
        <v>1028</v>
      </c>
      <c r="C244" s="152">
        <v>8</v>
      </c>
      <c r="D244" s="152" t="s">
        <v>1060</v>
      </c>
      <c r="E244" s="152" t="s">
        <v>1061</v>
      </c>
      <c r="G244" s="153"/>
      <c r="H244" s="152">
        <v>0.17</v>
      </c>
      <c r="I244" s="152">
        <v>0.9</v>
      </c>
      <c r="J244" s="153"/>
      <c r="K244" s="153"/>
      <c r="O244" s="154"/>
      <c r="T244" s="154"/>
      <c r="AA244" s="154"/>
      <c r="AG244" s="155"/>
      <c r="AH244"/>
      <c r="AI244"/>
      <c r="AJ244" s="3"/>
      <c r="AK244"/>
      <c r="AL244"/>
      <c r="AM244" s="3"/>
      <c r="AN244" s="158">
        <v>77</v>
      </c>
    </row>
    <row r="245" spans="1:40" s="152" customFormat="1">
      <c r="A245" s="152">
        <f t="shared" si="128"/>
        <v>244</v>
      </c>
      <c r="B245" s="153" t="s">
        <v>1028</v>
      </c>
      <c r="C245" s="152">
        <v>8</v>
      </c>
      <c r="D245" s="152" t="s">
        <v>1062</v>
      </c>
      <c r="E245" s="152" t="s">
        <v>1061</v>
      </c>
      <c r="F245" s="152" t="s">
        <v>1203</v>
      </c>
      <c r="G245" s="153">
        <v>0.84</v>
      </c>
      <c r="J245" s="153"/>
      <c r="K245" s="153"/>
      <c r="O245" s="154"/>
      <c r="T245" s="154"/>
      <c r="AA245" s="154"/>
      <c r="AG245" s="155"/>
      <c r="AH245"/>
      <c r="AI245"/>
      <c r="AJ245" s="3"/>
      <c r="AK245"/>
      <c r="AL245"/>
      <c r="AM245" s="3"/>
      <c r="AN245" s="156">
        <v>93</v>
      </c>
    </row>
    <row r="246" spans="1:40" s="152" customFormat="1">
      <c r="A246" s="152">
        <f t="shared" si="128"/>
        <v>245</v>
      </c>
      <c r="B246" s="153" t="s">
        <v>1028</v>
      </c>
      <c r="C246" s="152">
        <v>8</v>
      </c>
      <c r="D246" s="152" t="s">
        <v>1062</v>
      </c>
      <c r="E246" s="152" t="s">
        <v>1063</v>
      </c>
      <c r="F246" s="152" t="s">
        <v>1207</v>
      </c>
      <c r="G246" s="153">
        <v>1.35</v>
      </c>
      <c r="J246" s="153"/>
      <c r="K246" s="153"/>
      <c r="O246" s="154"/>
      <c r="T246" s="154"/>
      <c r="AA246" s="154"/>
      <c r="AG246" s="155"/>
      <c r="AJ246" s="155"/>
      <c r="AM246" s="155"/>
      <c r="AN246" s="156">
        <v>95</v>
      </c>
    </row>
    <row r="247" spans="1:40" s="152" customFormat="1">
      <c r="A247" s="152">
        <f t="shared" si="128"/>
        <v>246</v>
      </c>
      <c r="B247" s="153" t="s">
        <v>1028</v>
      </c>
      <c r="C247" s="152">
        <v>8</v>
      </c>
      <c r="D247" s="152" t="s">
        <v>1060</v>
      </c>
      <c r="E247" s="152" t="s">
        <v>1061</v>
      </c>
      <c r="G247" s="153">
        <v>1.413</v>
      </c>
      <c r="H247" s="152">
        <v>0.20799999999999999</v>
      </c>
      <c r="I247" s="152">
        <v>1.0149999999999999</v>
      </c>
      <c r="J247" s="153"/>
      <c r="K247" s="153"/>
      <c r="O247" s="154"/>
      <c r="T247" s="154"/>
      <c r="AA247" s="154"/>
      <c r="AG247" s="155"/>
      <c r="AH247"/>
      <c r="AI247"/>
      <c r="AJ247" s="3"/>
      <c r="AK247"/>
      <c r="AL247"/>
      <c r="AM247" s="3"/>
      <c r="AN247" s="158">
        <v>96</v>
      </c>
    </row>
    <row r="248" spans="1:40" s="152" customFormat="1">
      <c r="A248" s="152">
        <f t="shared" si="128"/>
        <v>247</v>
      </c>
      <c r="B248" s="153" t="s">
        <v>1028</v>
      </c>
      <c r="C248" s="152">
        <v>8</v>
      </c>
      <c r="D248" s="152" t="s">
        <v>1060</v>
      </c>
      <c r="E248" s="152" t="s">
        <v>1063</v>
      </c>
      <c r="G248" s="153"/>
      <c r="H248" s="152">
        <v>0.2</v>
      </c>
      <c r="J248" s="153"/>
      <c r="K248" s="153"/>
      <c r="O248" s="154"/>
      <c r="T248" s="154"/>
      <c r="AA248" s="154"/>
      <c r="AG248" s="155"/>
      <c r="AH248"/>
      <c r="AI248"/>
      <c r="AJ248" s="3"/>
      <c r="AK248"/>
      <c r="AL248"/>
      <c r="AM248" s="3"/>
      <c r="AN248" s="158">
        <v>109</v>
      </c>
    </row>
    <row r="249" spans="1:40" s="152" customFormat="1">
      <c r="A249" s="152">
        <f t="shared" si="128"/>
        <v>248</v>
      </c>
      <c r="B249" s="153" t="s">
        <v>1028</v>
      </c>
      <c r="C249" s="152">
        <v>8</v>
      </c>
      <c r="D249" s="152" t="s">
        <v>1060</v>
      </c>
      <c r="E249" s="152" t="s">
        <v>1061</v>
      </c>
      <c r="G249" s="153"/>
      <c r="J249" s="153"/>
      <c r="K249" s="153"/>
      <c r="O249" s="154"/>
      <c r="T249" s="154" t="s">
        <v>1031</v>
      </c>
      <c r="U249" s="152">
        <v>38.020000000000003</v>
      </c>
      <c r="V249" s="152">
        <v>4.78</v>
      </c>
      <c r="W249" s="152">
        <v>0.17</v>
      </c>
      <c r="X249" s="152">
        <v>0</v>
      </c>
      <c r="Y249" s="152">
        <v>0</v>
      </c>
      <c r="Z249" s="152">
        <v>56.5</v>
      </c>
      <c r="AA249" s="154">
        <f>Z249+Y249+X249+W249+V249+U249</f>
        <v>99.47</v>
      </c>
      <c r="AB249" s="152">
        <f>U249*(100/AA249)</f>
        <v>38.222579672262995</v>
      </c>
      <c r="AC249" s="152">
        <f>V249*(100/AA249)</f>
        <v>4.805468985623806</v>
      </c>
      <c r="AD249" s="152">
        <f>W249*(100/AA249)</f>
        <v>0.1709058007439429</v>
      </c>
      <c r="AE249" s="152">
        <f>X249*(100/AA249)</f>
        <v>0</v>
      </c>
      <c r="AF249" s="152">
        <f>Y249*(100/AA249)</f>
        <v>0</v>
      </c>
      <c r="AG249" s="155">
        <f>Z249*(100/AA249)</f>
        <v>56.801045541369255</v>
      </c>
      <c r="AH249"/>
      <c r="AI249"/>
      <c r="AJ249" s="3"/>
      <c r="AK249"/>
      <c r="AL249"/>
      <c r="AM249" s="3"/>
      <c r="AN249" s="158">
        <v>82</v>
      </c>
    </row>
    <row r="250" spans="1:40">
      <c r="A250">
        <f t="shared" si="128"/>
        <v>249</v>
      </c>
      <c r="B250" s="153" t="s">
        <v>1028</v>
      </c>
      <c r="C250" s="152">
        <v>8</v>
      </c>
      <c r="D250" s="152" t="s">
        <v>1062</v>
      </c>
      <c r="E250" t="s">
        <v>1061</v>
      </c>
      <c r="F250" t="s">
        <v>1179</v>
      </c>
      <c r="G250" s="8">
        <v>1.405</v>
      </c>
      <c r="H250">
        <v>0.158</v>
      </c>
      <c r="I250">
        <v>0.9496</v>
      </c>
      <c r="AN250" s="181">
        <v>130</v>
      </c>
    </row>
    <row r="251" spans="1:40" s="152" customFormat="1">
      <c r="A251" s="152">
        <f t="shared" si="128"/>
        <v>250</v>
      </c>
      <c r="B251" s="153" t="s">
        <v>1028</v>
      </c>
      <c r="C251" s="152">
        <v>8</v>
      </c>
      <c r="D251" s="152" t="s">
        <v>1060</v>
      </c>
      <c r="E251" s="152" t="s">
        <v>1061</v>
      </c>
      <c r="G251" s="153">
        <v>1.089</v>
      </c>
      <c r="J251" s="153"/>
      <c r="K251" s="153"/>
      <c r="O251" s="154"/>
      <c r="T251" s="154"/>
      <c r="AA251" s="154"/>
      <c r="AG251" s="155"/>
      <c r="AH251"/>
      <c r="AI251"/>
      <c r="AJ251" s="3"/>
      <c r="AK251"/>
      <c r="AL251"/>
      <c r="AM251" s="3"/>
      <c r="AN251" s="158">
        <v>121</v>
      </c>
    </row>
    <row r="252" spans="1:40">
      <c r="A252">
        <f t="shared" si="128"/>
        <v>251</v>
      </c>
      <c r="B252" s="153" t="s">
        <v>1028</v>
      </c>
      <c r="C252" s="152">
        <v>8</v>
      </c>
      <c r="D252" s="152" t="s">
        <v>1062</v>
      </c>
      <c r="E252" s="152" t="s">
        <v>1063</v>
      </c>
      <c r="J252" s="37" t="s">
        <v>453</v>
      </c>
      <c r="K252" s="8">
        <v>0.78</v>
      </c>
      <c r="L252">
        <v>79.81</v>
      </c>
      <c r="M252">
        <v>11.45</v>
      </c>
      <c r="N252">
        <v>8.74</v>
      </c>
      <c r="O252" s="154">
        <f t="shared" ref="O252:O266" si="174">SUM(K252:N252)</f>
        <v>100.78</v>
      </c>
      <c r="P252">
        <v>0.78</v>
      </c>
      <c r="Q252" s="30">
        <f>(100-$P$252)*L252/100</f>
        <v>79.187482000000003</v>
      </c>
      <c r="R252" s="30">
        <f t="shared" ref="R252:S252" si="175">(100-$P$252)*M252/100</f>
        <v>11.36069</v>
      </c>
      <c r="S252" s="30">
        <f t="shared" si="175"/>
        <v>8.6718279999999996</v>
      </c>
      <c r="T252" s="154" t="s">
        <v>1031</v>
      </c>
      <c r="U252">
        <v>37.81</v>
      </c>
      <c r="V252">
        <v>4.25</v>
      </c>
      <c r="W252">
        <v>0.09</v>
      </c>
      <c r="X252">
        <v>0.19</v>
      </c>
      <c r="Y252">
        <v>0</v>
      </c>
      <c r="Z252">
        <v>57.66</v>
      </c>
      <c r="AA252" s="12">
        <f t="shared" ref="AA252:AA270" si="176">SUM(U252:Z252)</f>
        <v>100</v>
      </c>
      <c r="AB252">
        <v>37.81</v>
      </c>
      <c r="AC252">
        <v>4.25</v>
      </c>
      <c r="AD252">
        <v>0.09</v>
      </c>
      <c r="AE252">
        <v>0.19</v>
      </c>
      <c r="AF252">
        <v>0</v>
      </c>
      <c r="AG252" s="3">
        <v>57.66</v>
      </c>
      <c r="AN252" s="157">
        <v>18</v>
      </c>
    </row>
    <row r="253" spans="1:40">
      <c r="A253">
        <f t="shared" si="128"/>
        <v>252</v>
      </c>
      <c r="B253" s="153" t="s">
        <v>1028</v>
      </c>
      <c r="C253" s="152">
        <v>8</v>
      </c>
      <c r="D253" s="152" t="s">
        <v>1062</v>
      </c>
      <c r="E253" s="152" t="s">
        <v>1063</v>
      </c>
      <c r="J253" s="37" t="s">
        <v>453</v>
      </c>
      <c r="K253" s="8">
        <v>0.3</v>
      </c>
      <c r="L253">
        <v>65.17</v>
      </c>
      <c r="M253">
        <v>20.47</v>
      </c>
      <c r="N253">
        <v>14.36</v>
      </c>
      <c r="O253" s="154">
        <f t="shared" si="174"/>
        <v>100.3</v>
      </c>
      <c r="P253">
        <v>0.3</v>
      </c>
      <c r="Q253" s="30">
        <f>(100-$P$253)*L253/100</f>
        <v>64.974490000000003</v>
      </c>
      <c r="R253" s="30">
        <f t="shared" ref="R253:S253" si="177">(100-$P$253)*M253/100</f>
        <v>20.40859</v>
      </c>
      <c r="S253" s="30">
        <f t="shared" si="177"/>
        <v>14.31692</v>
      </c>
      <c r="T253" s="154" t="s">
        <v>1031</v>
      </c>
      <c r="U253">
        <v>38.82</v>
      </c>
      <c r="V253">
        <v>5.0999999999999996</v>
      </c>
      <c r="W253">
        <v>0.06</v>
      </c>
      <c r="X253">
        <v>0.3</v>
      </c>
      <c r="Y253">
        <v>0</v>
      </c>
      <c r="Z253">
        <v>55.72</v>
      </c>
      <c r="AA253" s="12">
        <f t="shared" si="176"/>
        <v>100</v>
      </c>
      <c r="AB253">
        <v>38.82</v>
      </c>
      <c r="AC253">
        <v>5.0999999999999996</v>
      </c>
      <c r="AD253">
        <v>0.06</v>
      </c>
      <c r="AE253">
        <v>0.3</v>
      </c>
      <c r="AF253">
        <v>0</v>
      </c>
      <c r="AG253" s="3">
        <v>55.72</v>
      </c>
      <c r="AN253" s="157">
        <v>18</v>
      </c>
    </row>
    <row r="254" spans="1:40">
      <c r="A254">
        <f t="shared" si="128"/>
        <v>253</v>
      </c>
      <c r="B254" s="153" t="s">
        <v>1028</v>
      </c>
      <c r="C254" s="152">
        <v>8</v>
      </c>
      <c r="D254" s="152" t="s">
        <v>1062</v>
      </c>
      <c r="E254" s="152" t="s">
        <v>1063</v>
      </c>
      <c r="J254" s="37" t="s">
        <v>453</v>
      </c>
      <c r="K254" s="8">
        <v>0.28000000000000003</v>
      </c>
      <c r="L254">
        <v>65.06</v>
      </c>
      <c r="M254">
        <v>19.95</v>
      </c>
      <c r="N254">
        <v>14.99</v>
      </c>
      <c r="O254" s="154">
        <f t="shared" si="174"/>
        <v>100.28</v>
      </c>
      <c r="P254">
        <v>0.28000000000000003</v>
      </c>
      <c r="Q254" s="30">
        <f>(100-$P$254)*L254/100</f>
        <v>64.877831999999998</v>
      </c>
      <c r="R254" s="30">
        <f t="shared" ref="R254:S254" si="178">(100-$P$254)*M254/100</f>
        <v>19.89414</v>
      </c>
      <c r="S254" s="30">
        <f t="shared" si="178"/>
        <v>14.948027999999999</v>
      </c>
      <c r="T254" s="154" t="s">
        <v>1031</v>
      </c>
      <c r="U254">
        <v>40.39</v>
      </c>
      <c r="V254">
        <v>4.54</v>
      </c>
      <c r="W254">
        <v>0.2</v>
      </c>
      <c r="X254">
        <v>0.09</v>
      </c>
      <c r="Y254">
        <v>0.21</v>
      </c>
      <c r="Z254">
        <v>54.56</v>
      </c>
      <c r="AA254" s="12">
        <f t="shared" si="176"/>
        <v>99.990000000000009</v>
      </c>
      <c r="AB254" s="152">
        <f>U254*(100/AA254)</f>
        <v>40.39403940394039</v>
      </c>
      <c r="AC254" s="152">
        <f>V254*(100/AA254)</f>
        <v>4.5404540454045401</v>
      </c>
      <c r="AD254" s="152">
        <f>W254*(100/AA254)</f>
        <v>0.20002000200020001</v>
      </c>
      <c r="AE254" s="152">
        <f>X254*(100/AA254)</f>
        <v>9.0009000900089994E-2</v>
      </c>
      <c r="AF254" s="152">
        <f>Y254*(100/AA254)</f>
        <v>0.21002100210020999</v>
      </c>
      <c r="AG254" s="155">
        <f>Z254*(100/AA254)</f>
        <v>54.565456545654563</v>
      </c>
      <c r="AI254">
        <v>15.875999999999999</v>
      </c>
      <c r="AK254">
        <f t="shared" ref="AK254:AK255" si="179">AL254*(Q254+R254+S254)/(Q254+R254)</f>
        <v>18.675449947065051</v>
      </c>
      <c r="AL254">
        <v>15.875999999999999</v>
      </c>
      <c r="AM254">
        <f t="shared" ref="AM254:AM255" si="180">AL254*(Q254+R254+S254)/(P254+Q254+R254+S254)</f>
        <v>15.831547199999999</v>
      </c>
      <c r="AN254" s="157">
        <v>18</v>
      </c>
    </row>
    <row r="255" spans="1:40">
      <c r="A255">
        <f t="shared" si="128"/>
        <v>254</v>
      </c>
      <c r="B255" s="153" t="s">
        <v>1028</v>
      </c>
      <c r="C255" s="152">
        <v>8</v>
      </c>
      <c r="D255" s="152" t="s">
        <v>1062</v>
      </c>
      <c r="E255" s="152" t="s">
        <v>1063</v>
      </c>
      <c r="J255" s="37" t="s">
        <v>453</v>
      </c>
      <c r="K255" s="8">
        <v>0.26</v>
      </c>
      <c r="L255">
        <v>91.25</v>
      </c>
      <c r="M255">
        <v>8.43</v>
      </c>
      <c r="N255">
        <v>0.32</v>
      </c>
      <c r="O255" s="154">
        <f t="shared" si="174"/>
        <v>100.25999999999999</v>
      </c>
      <c r="P255">
        <v>0.26</v>
      </c>
      <c r="Q255" s="30">
        <f>(100-$P$255)*L255/100</f>
        <v>91.012749999999997</v>
      </c>
      <c r="R255" s="30">
        <f t="shared" ref="R255:S255" si="181">(100-$P$255)*M255/100</f>
        <v>8.4080820000000003</v>
      </c>
      <c r="S255" s="30">
        <f t="shared" si="181"/>
        <v>0.31916800000000001</v>
      </c>
      <c r="T255" s="154" t="s">
        <v>1031</v>
      </c>
      <c r="U255">
        <v>41.79</v>
      </c>
      <c r="V255">
        <v>4.84</v>
      </c>
      <c r="W255">
        <v>0.09</v>
      </c>
      <c r="X255">
        <v>0.2</v>
      </c>
      <c r="Y255">
        <v>0</v>
      </c>
      <c r="Z255">
        <v>53.26</v>
      </c>
      <c r="AA255" s="12">
        <f t="shared" si="176"/>
        <v>100.18</v>
      </c>
      <c r="AB255" s="152">
        <f>U255*(100/AA255)</f>
        <v>41.714913156318623</v>
      </c>
      <c r="AC255" s="152">
        <f>V255*(100/AA255)</f>
        <v>4.8313036534238369</v>
      </c>
      <c r="AD255" s="152">
        <f>W255*(100/AA255)</f>
        <v>8.9838291076063073E-2</v>
      </c>
      <c r="AE255" s="152">
        <f>X255*(100/AA255)</f>
        <v>0.19964064683569574</v>
      </c>
      <c r="AF255" s="152">
        <f>Y255*(100/AA255)</f>
        <v>0</v>
      </c>
      <c r="AG255" s="155">
        <f>Z255*(100/AA255)</f>
        <v>53.164304252345772</v>
      </c>
      <c r="AI255">
        <v>21.731999999999999</v>
      </c>
      <c r="AK255">
        <f t="shared" si="179"/>
        <v>21.801765650080256</v>
      </c>
      <c r="AL255">
        <v>21.731999999999999</v>
      </c>
      <c r="AM255">
        <f t="shared" si="180"/>
        <v>21.675496799999994</v>
      </c>
      <c r="AN255" s="157">
        <v>18</v>
      </c>
    </row>
    <row r="256" spans="1:40" s="152" customFormat="1">
      <c r="A256" s="152">
        <f t="shared" si="128"/>
        <v>255</v>
      </c>
      <c r="B256" s="153" t="s">
        <v>1028</v>
      </c>
      <c r="C256" s="152">
        <v>8</v>
      </c>
      <c r="D256" s="152" t="s">
        <v>1062</v>
      </c>
      <c r="E256" s="152" t="s">
        <v>1063</v>
      </c>
      <c r="G256" s="153"/>
      <c r="J256" s="37" t="s">
        <v>453</v>
      </c>
      <c r="K256" s="153">
        <v>0.24</v>
      </c>
      <c r="L256" s="152">
        <v>93.71</v>
      </c>
      <c r="M256" s="152">
        <v>6.29</v>
      </c>
      <c r="N256" s="152">
        <v>0</v>
      </c>
      <c r="O256" s="154">
        <f t="shared" si="174"/>
        <v>100.24</v>
      </c>
      <c r="P256" s="152">
        <v>0.24</v>
      </c>
      <c r="Q256" s="30">
        <f>(100-$P$256)*L256/100</f>
        <v>93.485095999999999</v>
      </c>
      <c r="R256" s="30">
        <f t="shared" ref="R256:S256" si="182">(100-$P$256)*M256/100</f>
        <v>6.2749040000000003</v>
      </c>
      <c r="S256" s="30">
        <f t="shared" si="182"/>
        <v>0</v>
      </c>
      <c r="T256" s="154" t="s">
        <v>1031</v>
      </c>
      <c r="AA256" s="154"/>
      <c r="AG256" s="155"/>
      <c r="AH256"/>
      <c r="AJ256" s="3"/>
      <c r="AK256"/>
      <c r="AM256" s="3"/>
      <c r="AN256" s="157">
        <v>18</v>
      </c>
    </row>
    <row r="257" spans="1:40" s="152" customFormat="1">
      <c r="A257" s="152">
        <f t="shared" si="128"/>
        <v>256</v>
      </c>
      <c r="B257" s="153" t="s">
        <v>1028</v>
      </c>
      <c r="C257" s="152">
        <v>8</v>
      </c>
      <c r="D257" s="152" t="s">
        <v>1062</v>
      </c>
      <c r="E257" s="152" t="s">
        <v>1063</v>
      </c>
      <c r="G257" s="153"/>
      <c r="J257" s="37" t="s">
        <v>453</v>
      </c>
      <c r="K257" s="153">
        <v>0.23</v>
      </c>
      <c r="L257" s="152">
        <v>91.99</v>
      </c>
      <c r="M257" s="152">
        <v>7.81</v>
      </c>
      <c r="N257" s="152">
        <v>0.2</v>
      </c>
      <c r="O257" s="154">
        <f t="shared" si="174"/>
        <v>100.23</v>
      </c>
      <c r="P257" s="152">
        <v>0.23</v>
      </c>
      <c r="Q257" s="30">
        <f>(100-$P$257)*L257/100</f>
        <v>91.778422999999989</v>
      </c>
      <c r="R257" s="30">
        <f t="shared" ref="R257:S257" si="183">(100-$P$257)*M257/100</f>
        <v>7.7920369999999988</v>
      </c>
      <c r="S257" s="30">
        <f t="shared" si="183"/>
        <v>0.19954</v>
      </c>
      <c r="T257" s="154" t="s">
        <v>1031</v>
      </c>
      <c r="U257" s="152">
        <v>52.3</v>
      </c>
      <c r="V257" s="152">
        <v>5.1100000000000003</v>
      </c>
      <c r="W257" s="152">
        <v>0.15</v>
      </c>
      <c r="X257" s="152">
        <v>0.06</v>
      </c>
      <c r="Y257" s="152">
        <v>0</v>
      </c>
      <c r="Z257" s="152">
        <v>42.37</v>
      </c>
      <c r="AA257" s="154">
        <f t="shared" si="176"/>
        <v>99.99</v>
      </c>
      <c r="AB257" s="152">
        <f>U257*(100/AA257)</f>
        <v>52.305230523052309</v>
      </c>
      <c r="AC257" s="152">
        <f>V257*(100/AA257)</f>
        <v>5.1105110511051119</v>
      </c>
      <c r="AD257" s="152">
        <f>W257*(100/AA257)</f>
        <v>0.15001500150015004</v>
      </c>
      <c r="AE257" s="152">
        <f>X257*(100/AA257)</f>
        <v>6.0006000600060012E-2</v>
      </c>
      <c r="AF257" s="152">
        <f>Y257*(100/AA257)</f>
        <v>0</v>
      </c>
      <c r="AG257" s="155">
        <f>Z257*(100/AA257)</f>
        <v>42.374237423742379</v>
      </c>
      <c r="AH257"/>
      <c r="AI257">
        <v>22.646000000000001</v>
      </c>
      <c r="AJ257" s="3"/>
      <c r="AK257">
        <f>AL257*(Q257+R257+S257)/(Q257+R257)</f>
        <v>22.69138276553106</v>
      </c>
      <c r="AL257">
        <v>22.646000000000001</v>
      </c>
      <c r="AM257">
        <f>AL257*(Q257+R257+S257)/(P257+Q257+R257+S257)</f>
        <v>22.593914199999997</v>
      </c>
      <c r="AN257" s="157">
        <v>18</v>
      </c>
    </row>
    <row r="258" spans="1:40" s="152" customFormat="1">
      <c r="A258" s="152">
        <f t="shared" si="128"/>
        <v>257</v>
      </c>
      <c r="B258" s="153" t="s">
        <v>1028</v>
      </c>
      <c r="C258" s="152">
        <v>8</v>
      </c>
      <c r="D258" s="152" t="s">
        <v>1062</v>
      </c>
      <c r="E258" s="152" t="s">
        <v>1063</v>
      </c>
      <c r="G258" s="153"/>
      <c r="J258" s="37" t="s">
        <v>453</v>
      </c>
      <c r="K258" s="153">
        <v>0.23</v>
      </c>
      <c r="L258" s="152">
        <v>95.46</v>
      </c>
      <c r="M258" s="152">
        <v>4.54</v>
      </c>
      <c r="N258" s="152">
        <v>0</v>
      </c>
      <c r="O258" s="154">
        <f t="shared" si="174"/>
        <v>100.23</v>
      </c>
      <c r="P258" s="152">
        <v>0.23</v>
      </c>
      <c r="Q258" s="30">
        <f>(100-$P$258)*L258/100</f>
        <v>95.240441999999987</v>
      </c>
      <c r="R258" s="30">
        <f t="shared" ref="R258:S258" si="184">(100-$P$258)*M258/100</f>
        <v>4.5295579999999998</v>
      </c>
      <c r="S258" s="30">
        <f t="shared" si="184"/>
        <v>0</v>
      </c>
      <c r="T258" s="154" t="s">
        <v>1031</v>
      </c>
      <c r="AA258" s="154"/>
      <c r="AG258" s="155"/>
      <c r="AH258"/>
      <c r="AJ258" s="3"/>
      <c r="AK258"/>
      <c r="AM258" s="3"/>
      <c r="AN258" s="157">
        <v>18</v>
      </c>
    </row>
    <row r="259" spans="1:40" s="152" customFormat="1">
      <c r="A259" s="152">
        <f t="shared" si="128"/>
        <v>258</v>
      </c>
      <c r="B259" s="153" t="s">
        <v>1028</v>
      </c>
      <c r="C259" s="152">
        <v>8</v>
      </c>
      <c r="D259" s="152" t="s">
        <v>1062</v>
      </c>
      <c r="E259" s="152" t="s">
        <v>1063</v>
      </c>
      <c r="G259" s="153"/>
      <c r="J259" s="37" t="s">
        <v>453</v>
      </c>
      <c r="K259" s="153">
        <v>0.2</v>
      </c>
      <c r="L259" s="152">
        <v>87.08</v>
      </c>
      <c r="M259" s="152">
        <v>10.82</v>
      </c>
      <c r="N259" s="152">
        <v>2.1</v>
      </c>
      <c r="O259" s="154">
        <f t="shared" si="174"/>
        <v>100.19999999999999</v>
      </c>
      <c r="P259" s="152">
        <v>0.2</v>
      </c>
      <c r="Q259" s="30">
        <f>(100-$P$259)*L259/100</f>
        <v>86.905839999999984</v>
      </c>
      <c r="R259" s="30">
        <f t="shared" ref="R259:S259" si="185">(100-$P$259)*M259/100</f>
        <v>10.798360000000001</v>
      </c>
      <c r="S259" s="30">
        <f t="shared" si="185"/>
        <v>2.0958000000000001</v>
      </c>
      <c r="T259" s="154" t="s">
        <v>1031</v>
      </c>
      <c r="U259" s="152">
        <v>46.12</v>
      </c>
      <c r="V259" s="152">
        <v>5.71</v>
      </c>
      <c r="W259" s="152">
        <v>0.1</v>
      </c>
      <c r="X259" s="152">
        <v>0.1</v>
      </c>
      <c r="Y259" s="152">
        <v>1.63</v>
      </c>
      <c r="Z259" s="152">
        <v>46.33</v>
      </c>
      <c r="AA259" s="154">
        <f t="shared" si="176"/>
        <v>99.990000000000009</v>
      </c>
      <c r="AB259" s="152">
        <f>U259*(100/AA259)</f>
        <v>46.124612461246116</v>
      </c>
      <c r="AC259" s="152">
        <f>V259*(100/AA259)</f>
        <v>5.7105710571057102</v>
      </c>
      <c r="AD259" s="152">
        <f>W259*(100/AA259)</f>
        <v>0.1000100010001</v>
      </c>
      <c r="AE259" s="152">
        <f>X259*(100/AA259)</f>
        <v>0.1000100010001</v>
      </c>
      <c r="AF259" s="152">
        <f>Y259*(100/AA259)</f>
        <v>1.6301630163016299</v>
      </c>
      <c r="AG259" s="155">
        <f>Z259*(100/AA259)</f>
        <v>46.334633463346329</v>
      </c>
      <c r="AH259"/>
      <c r="AI259">
        <v>22.734999999999999</v>
      </c>
      <c r="AJ259" s="3"/>
      <c r="AK259">
        <f t="shared" ref="AK259:AK264" si="186">AL259*(Q259+R259+S259)/(Q259+R259)</f>
        <v>23.222676200204287</v>
      </c>
      <c r="AL259">
        <v>22.734999999999999</v>
      </c>
      <c r="AM259">
        <f t="shared" ref="AM259:AM262" si="187">AL259*(Q259+R259+S259)/(P259+Q259+R259+S259)</f>
        <v>22.689529999999998</v>
      </c>
      <c r="AN259" s="157">
        <v>18</v>
      </c>
    </row>
    <row r="260" spans="1:40">
      <c r="A260">
        <f t="shared" si="128"/>
        <v>259</v>
      </c>
      <c r="B260" s="153" t="s">
        <v>1028</v>
      </c>
      <c r="C260" s="152">
        <v>8</v>
      </c>
      <c r="D260" s="152" t="s">
        <v>1062</v>
      </c>
      <c r="E260" s="152" t="s">
        <v>1063</v>
      </c>
      <c r="J260" s="37" t="s">
        <v>453</v>
      </c>
      <c r="K260" s="153">
        <v>0.2</v>
      </c>
      <c r="L260" s="152">
        <v>95.16</v>
      </c>
      <c r="M260" s="152">
        <v>4.8</v>
      </c>
      <c r="N260" s="152">
        <v>0.04</v>
      </c>
      <c r="O260" s="154">
        <f t="shared" si="174"/>
        <v>100.2</v>
      </c>
      <c r="P260" s="152">
        <v>0.2</v>
      </c>
      <c r="Q260" s="30">
        <f>(100-$P$260)*L260/100</f>
        <v>94.969679999999983</v>
      </c>
      <c r="R260" s="30">
        <f t="shared" ref="R260:S260" si="188">(100-$P$260)*M260/100</f>
        <v>4.7904</v>
      </c>
      <c r="S260" s="30">
        <f t="shared" si="188"/>
        <v>3.9919999999999997E-2</v>
      </c>
      <c r="T260" s="154" t="s">
        <v>1031</v>
      </c>
      <c r="U260" s="152">
        <v>38.75</v>
      </c>
      <c r="V260" s="152">
        <v>5.21</v>
      </c>
      <c r="W260" s="152">
        <v>0.22</v>
      </c>
      <c r="X260" s="152">
        <v>0</v>
      </c>
      <c r="Y260" s="152">
        <v>0</v>
      </c>
      <c r="Z260" s="152">
        <v>55.82</v>
      </c>
      <c r="AA260" s="12">
        <f t="shared" si="176"/>
        <v>100</v>
      </c>
      <c r="AB260" s="152">
        <v>38.75</v>
      </c>
      <c r="AC260" s="152">
        <v>5.21</v>
      </c>
      <c r="AD260" s="152">
        <v>0.22</v>
      </c>
      <c r="AE260" s="152">
        <v>0</v>
      </c>
      <c r="AF260" s="152">
        <v>0</v>
      </c>
      <c r="AG260" s="155">
        <v>55.82</v>
      </c>
      <c r="AI260">
        <v>22.565999999999999</v>
      </c>
      <c r="AK260">
        <f t="shared" si="186"/>
        <v>22.575030012004799</v>
      </c>
      <c r="AL260">
        <v>22.565999999999999</v>
      </c>
      <c r="AM260">
        <f t="shared" si="187"/>
        <v>22.520868</v>
      </c>
      <c r="AN260" s="157">
        <v>18</v>
      </c>
    </row>
    <row r="261" spans="1:40">
      <c r="A261">
        <f t="shared" si="128"/>
        <v>260</v>
      </c>
      <c r="B261" s="153" t="s">
        <v>1028</v>
      </c>
      <c r="C261" s="152">
        <v>8</v>
      </c>
      <c r="D261" s="152" t="s">
        <v>1062</v>
      </c>
      <c r="E261" s="152" t="s">
        <v>1063</v>
      </c>
      <c r="J261" s="37" t="s">
        <v>453</v>
      </c>
      <c r="K261" s="153">
        <v>0.16</v>
      </c>
      <c r="L261" s="152">
        <v>94.93</v>
      </c>
      <c r="M261" s="152">
        <v>5.07</v>
      </c>
      <c r="N261" s="152">
        <v>0</v>
      </c>
      <c r="O261" s="154">
        <f t="shared" si="174"/>
        <v>100.16</v>
      </c>
      <c r="P261" s="152">
        <v>0.16</v>
      </c>
      <c r="Q261" s="30">
        <f>(100-$P$261)*L261/100</f>
        <v>94.778112000000007</v>
      </c>
      <c r="R261" s="30">
        <f t="shared" ref="R261:S261" si="189">(100-$P$261)*M261/100</f>
        <v>5.0618880000000006</v>
      </c>
      <c r="S261" s="30">
        <f t="shared" si="189"/>
        <v>0</v>
      </c>
      <c r="T261" s="154" t="s">
        <v>1031</v>
      </c>
      <c r="U261" s="152">
        <v>38.340000000000003</v>
      </c>
      <c r="V261" s="152">
        <v>4.47</v>
      </c>
      <c r="W261" s="152">
        <v>0.23</v>
      </c>
      <c r="X261" s="152">
        <v>0.61</v>
      </c>
      <c r="Y261" s="152">
        <v>0</v>
      </c>
      <c r="Z261" s="152">
        <v>56.35</v>
      </c>
      <c r="AA261" s="12">
        <f t="shared" si="176"/>
        <v>100</v>
      </c>
      <c r="AB261" s="152">
        <v>38.340000000000003</v>
      </c>
      <c r="AC261" s="152">
        <v>4.47</v>
      </c>
      <c r="AD261" s="152">
        <v>0.23</v>
      </c>
      <c r="AE261" s="152">
        <v>0.61</v>
      </c>
      <c r="AF261" s="152">
        <v>0</v>
      </c>
      <c r="AG261" s="155">
        <v>56.35</v>
      </c>
      <c r="AI261">
        <v>20.83</v>
      </c>
      <c r="AK261">
        <f t="shared" si="186"/>
        <v>20.83</v>
      </c>
      <c r="AL261">
        <v>20.83</v>
      </c>
      <c r="AM261">
        <f t="shared" si="187"/>
        <v>20.796671999999997</v>
      </c>
      <c r="AN261" s="157">
        <v>18</v>
      </c>
    </row>
    <row r="262" spans="1:40">
      <c r="A262">
        <f t="shared" si="128"/>
        <v>261</v>
      </c>
      <c r="B262" s="153" t="s">
        <v>1028</v>
      </c>
      <c r="C262" s="152">
        <v>8</v>
      </c>
      <c r="D262" s="152" t="s">
        <v>1062</v>
      </c>
      <c r="E262" s="152" t="s">
        <v>1063</v>
      </c>
      <c r="J262" s="37" t="s">
        <v>453</v>
      </c>
      <c r="K262" s="153">
        <v>0.12</v>
      </c>
      <c r="L262" s="152">
        <v>93.96</v>
      </c>
      <c r="M262" s="152">
        <v>5.96</v>
      </c>
      <c r="N262" s="152">
        <v>0.08</v>
      </c>
      <c r="O262" s="154">
        <f t="shared" si="174"/>
        <v>100.11999999999999</v>
      </c>
      <c r="P262" s="152">
        <v>0.12</v>
      </c>
      <c r="Q262" s="30">
        <f>(100-$P$262)*L262/100</f>
        <v>93.847247999999979</v>
      </c>
      <c r="R262" s="30">
        <f t="shared" ref="R262:S262" si="190">(100-$P$262)*M262/100</f>
        <v>5.9528480000000004</v>
      </c>
      <c r="S262" s="30">
        <f t="shared" si="190"/>
        <v>7.9904000000000003E-2</v>
      </c>
      <c r="T262" s="154" t="s">
        <v>1031</v>
      </c>
      <c r="U262" s="152">
        <v>40.380000000000003</v>
      </c>
      <c r="V262" s="152">
        <v>5.83</v>
      </c>
      <c r="W262" s="152">
        <v>7.0000000000000007E-2</v>
      </c>
      <c r="X262" s="152">
        <v>1.25</v>
      </c>
      <c r="Y262" s="152">
        <v>0</v>
      </c>
      <c r="Z262" s="152">
        <v>52.46</v>
      </c>
      <c r="AA262" s="12">
        <f t="shared" si="176"/>
        <v>99.990000000000009</v>
      </c>
      <c r="AB262" s="152">
        <f>U262*(100/AA262)</f>
        <v>40.384038403840385</v>
      </c>
      <c r="AC262" s="152">
        <f>V262*(100/AA262)</f>
        <v>5.8305830583058302</v>
      </c>
      <c r="AD262" s="152">
        <f>W262*(100/AA262)</f>
        <v>7.0007000700070002E-2</v>
      </c>
      <c r="AE262" s="152">
        <f>X262*(100/AA262)</f>
        <v>1.25012501250125</v>
      </c>
      <c r="AF262" s="152">
        <f>Y262*(100/AA262)</f>
        <v>0</v>
      </c>
      <c r="AG262" s="155">
        <f>Z262*(100/AA262)</f>
        <v>52.465246524652464</v>
      </c>
      <c r="AI262">
        <v>22.405000000000001</v>
      </c>
      <c r="AK262">
        <f t="shared" si="186"/>
        <v>22.422938350680543</v>
      </c>
      <c r="AL262">
        <v>22.405000000000001</v>
      </c>
      <c r="AM262">
        <f t="shared" si="187"/>
        <v>22.378114</v>
      </c>
      <c r="AN262" s="157">
        <v>18</v>
      </c>
    </row>
    <row r="263" spans="1:40" s="152" customFormat="1">
      <c r="A263" s="152">
        <f t="shared" ref="A263:A272" si="191">A262+1</f>
        <v>262</v>
      </c>
      <c r="B263" s="153" t="s">
        <v>1028</v>
      </c>
      <c r="C263" s="152">
        <v>8</v>
      </c>
      <c r="D263" s="152" t="s">
        <v>1062</v>
      </c>
      <c r="E263" s="152" t="s">
        <v>1063</v>
      </c>
      <c r="G263" s="153"/>
      <c r="J263" s="37" t="s">
        <v>453</v>
      </c>
      <c r="K263" s="153">
        <v>0.11</v>
      </c>
      <c r="O263" s="154">
        <f t="shared" si="174"/>
        <v>0.11</v>
      </c>
      <c r="T263" s="154" t="s">
        <v>1031</v>
      </c>
      <c r="U263" s="152">
        <v>40.78</v>
      </c>
      <c r="V263" s="152">
        <v>5.73</v>
      </c>
      <c r="W263" s="152">
        <v>0.02</v>
      </c>
      <c r="X263" s="152">
        <v>0.09</v>
      </c>
      <c r="Y263" s="152">
        <v>0</v>
      </c>
      <c r="Z263" s="152">
        <v>53.38</v>
      </c>
      <c r="AA263" s="154">
        <f t="shared" si="176"/>
        <v>100.00000000000001</v>
      </c>
      <c r="AB263" s="152">
        <f>U263*(100/AA263)</f>
        <v>40.779999999999994</v>
      </c>
      <c r="AC263" s="152">
        <f>V263*(100/AA263)</f>
        <v>5.7299999999999995</v>
      </c>
      <c r="AD263" s="152">
        <f>W263*(100/AA263)</f>
        <v>1.9999999999999997E-2</v>
      </c>
      <c r="AE263" s="152">
        <f>X263*(100/AA263)</f>
        <v>8.9999999999999983E-2</v>
      </c>
      <c r="AF263" s="152">
        <f>Y263*(100/AA263)</f>
        <v>0</v>
      </c>
      <c r="AG263" s="155">
        <f>Z263*(100/AA263)</f>
        <v>53.379999999999995</v>
      </c>
      <c r="AH263"/>
      <c r="AI263">
        <v>20.079000000000001</v>
      </c>
      <c r="AJ263" s="3"/>
      <c r="AK263"/>
      <c r="AL263">
        <v>20.079000000000001</v>
      </c>
      <c r="AM263" s="3"/>
      <c r="AN263" s="157">
        <v>18</v>
      </c>
    </row>
    <row r="264" spans="1:40">
      <c r="A264">
        <f t="shared" si="191"/>
        <v>263</v>
      </c>
      <c r="B264" s="153" t="s">
        <v>1028</v>
      </c>
      <c r="C264" s="152">
        <v>8</v>
      </c>
      <c r="D264" s="152" t="s">
        <v>1062</v>
      </c>
      <c r="E264" s="152" t="s">
        <v>1063</v>
      </c>
      <c r="J264" s="37" t="s">
        <v>453</v>
      </c>
      <c r="K264" s="8">
        <v>0.2</v>
      </c>
      <c r="L264" s="152">
        <v>94.5</v>
      </c>
      <c r="M264">
        <v>5.4</v>
      </c>
      <c r="N264" s="152">
        <v>0.1</v>
      </c>
      <c r="O264" s="154">
        <f t="shared" si="174"/>
        <v>100.2</v>
      </c>
      <c r="P264">
        <v>0.2</v>
      </c>
      <c r="Q264" s="30">
        <f>(100-$P$264)*L264/100</f>
        <v>94.311000000000007</v>
      </c>
      <c r="R264" s="30">
        <f t="shared" ref="R264:S264" si="192">(100-$P$264)*M264/100</f>
        <v>5.3892000000000007</v>
      </c>
      <c r="S264" s="30">
        <f t="shared" si="192"/>
        <v>9.98E-2</v>
      </c>
      <c r="T264" s="154" t="s">
        <v>1031</v>
      </c>
      <c r="U264" s="152">
        <v>38.83</v>
      </c>
      <c r="V264" s="152">
        <v>4.57</v>
      </c>
      <c r="W264" s="152">
        <v>0.01</v>
      </c>
      <c r="X264" s="152">
        <v>0</v>
      </c>
      <c r="Y264" s="152">
        <v>0</v>
      </c>
      <c r="Z264" s="152">
        <v>56.6</v>
      </c>
      <c r="AA264" s="12">
        <f t="shared" si="176"/>
        <v>100.00999999999999</v>
      </c>
      <c r="AB264" s="152">
        <f>U264*(100/AA264)</f>
        <v>38.826117388261174</v>
      </c>
      <c r="AC264" s="152">
        <f>V264*(100/AA264)</f>
        <v>4.5695430456954309</v>
      </c>
      <c r="AD264" s="152">
        <f>W264*(100/AA264)</f>
        <v>9.9990000999900016E-3</v>
      </c>
      <c r="AE264" s="152">
        <f>X264*(100/AA264)</f>
        <v>0</v>
      </c>
      <c r="AF264" s="152">
        <f>Y264*(100/AA264)</f>
        <v>0</v>
      </c>
      <c r="AG264" s="155">
        <f>Z264*(100/AA264)</f>
        <v>56.594340565943412</v>
      </c>
      <c r="AI264">
        <v>21.681999999999999</v>
      </c>
      <c r="AK264">
        <f t="shared" si="186"/>
        <v>21.703703703703702</v>
      </c>
      <c r="AL264">
        <v>21.681999999999999</v>
      </c>
      <c r="AM264">
        <f>AL264*(Q264+R264+S264)/(P264+Q264+R264+S264)</f>
        <v>21.638635999999998</v>
      </c>
      <c r="AN264" s="157">
        <v>18</v>
      </c>
    </row>
    <row r="265" spans="1:40">
      <c r="A265">
        <f t="shared" si="191"/>
        <v>264</v>
      </c>
      <c r="B265" s="153" t="s">
        <v>1028</v>
      </c>
      <c r="C265" s="152">
        <v>8</v>
      </c>
      <c r="D265" s="152" t="s">
        <v>1062</v>
      </c>
      <c r="E265" s="152" t="s">
        <v>1063</v>
      </c>
      <c r="J265" s="37" t="s">
        <v>453</v>
      </c>
      <c r="K265" s="8">
        <v>0</v>
      </c>
      <c r="L265" s="152">
        <v>71.39</v>
      </c>
      <c r="M265">
        <v>14.49</v>
      </c>
      <c r="N265" s="152">
        <v>14.12</v>
      </c>
      <c r="O265" s="154">
        <f t="shared" si="174"/>
        <v>100</v>
      </c>
      <c r="P265" s="152">
        <v>0</v>
      </c>
      <c r="Q265" s="152">
        <v>71.39</v>
      </c>
      <c r="R265">
        <v>14.49</v>
      </c>
      <c r="S265" s="152">
        <v>14.12</v>
      </c>
      <c r="T265" s="154" t="s">
        <v>1031</v>
      </c>
      <c r="U265" s="152">
        <v>40.909999999999997</v>
      </c>
      <c r="V265" s="152">
        <v>4.8</v>
      </c>
      <c r="W265" s="152">
        <v>0.06</v>
      </c>
      <c r="X265" s="152">
        <v>0.01</v>
      </c>
      <c r="Y265" s="152">
        <v>0</v>
      </c>
      <c r="Z265" s="152">
        <v>54.23</v>
      </c>
      <c r="AA265" s="12">
        <f t="shared" si="176"/>
        <v>100.00999999999999</v>
      </c>
      <c r="AB265" s="152">
        <f>U265*(100/AA265)</f>
        <v>40.905909409059092</v>
      </c>
      <c r="AC265" s="152">
        <f>V265*(100/AA265)</f>
        <v>4.7995200479952009</v>
      </c>
      <c r="AD265" s="152">
        <f>W265*(100/AA265)</f>
        <v>5.9994000599940006E-2</v>
      </c>
      <c r="AE265" s="152">
        <f>X265*(100/AA265)</f>
        <v>9.9990000999900016E-3</v>
      </c>
      <c r="AF265" s="152">
        <f>Y265*(100/AA265)</f>
        <v>0</v>
      </c>
      <c r="AG265" s="155">
        <f>Z265*(100/AA265)</f>
        <v>54.224577542245775</v>
      </c>
      <c r="AN265" s="157">
        <v>18</v>
      </c>
    </row>
    <row r="266" spans="1:40" s="152" customFormat="1">
      <c r="A266" s="152">
        <f t="shared" si="191"/>
        <v>265</v>
      </c>
      <c r="B266" s="153" t="s">
        <v>1028</v>
      </c>
      <c r="C266" s="152">
        <v>8</v>
      </c>
      <c r="D266" s="152" t="s">
        <v>1062</v>
      </c>
      <c r="E266" s="152" t="s">
        <v>1063</v>
      </c>
      <c r="G266" s="153"/>
      <c r="J266" s="37" t="s">
        <v>453</v>
      </c>
      <c r="K266" s="153">
        <v>0</v>
      </c>
      <c r="L266" s="152">
        <v>83.73</v>
      </c>
      <c r="M266" s="152">
        <v>12.77</v>
      </c>
      <c r="N266" s="152">
        <v>3.5</v>
      </c>
      <c r="O266" s="154">
        <f t="shared" si="174"/>
        <v>100</v>
      </c>
      <c r="P266" s="152">
        <v>0</v>
      </c>
      <c r="Q266" s="152">
        <f>L266*(100/O266)</f>
        <v>83.73</v>
      </c>
      <c r="R266" s="152">
        <f>M266*(100/O266)</f>
        <v>12.77</v>
      </c>
      <c r="S266" s="152">
        <f>N266*(100/O266)</f>
        <v>3.5</v>
      </c>
      <c r="T266" s="154" t="s">
        <v>1031</v>
      </c>
      <c r="AA266" s="154"/>
      <c r="AG266" s="155"/>
      <c r="AH266"/>
      <c r="AI266"/>
      <c r="AJ266" s="3"/>
      <c r="AK266"/>
      <c r="AL266"/>
      <c r="AM266" s="3"/>
      <c r="AN266" s="157">
        <v>18</v>
      </c>
    </row>
    <row r="267" spans="1:40">
      <c r="A267" s="152">
        <f t="shared" si="191"/>
        <v>266</v>
      </c>
      <c r="B267" s="153" t="s">
        <v>1028</v>
      </c>
      <c r="C267" s="152">
        <v>8</v>
      </c>
      <c r="D267" s="152" t="s">
        <v>1062</v>
      </c>
      <c r="E267" s="152" t="s">
        <v>1063</v>
      </c>
      <c r="F267" s="152"/>
      <c r="G267" s="153"/>
      <c r="H267" s="152"/>
      <c r="I267" s="152"/>
      <c r="K267" s="153"/>
      <c r="L267" s="152"/>
      <c r="M267" s="152"/>
      <c r="N267" s="152"/>
      <c r="O267" s="154"/>
      <c r="P267" s="152"/>
      <c r="Q267" s="152"/>
      <c r="R267" s="152"/>
      <c r="S267" s="152"/>
      <c r="T267" s="154" t="s">
        <v>1031</v>
      </c>
      <c r="U267" s="152">
        <v>40.799999999999997</v>
      </c>
      <c r="V267" s="152">
        <v>5.2</v>
      </c>
      <c r="W267" s="152">
        <v>0</v>
      </c>
      <c r="X267" s="152">
        <v>0</v>
      </c>
      <c r="Y267" s="152">
        <v>5.3</v>
      </c>
      <c r="Z267" s="152">
        <v>48.7</v>
      </c>
      <c r="AA267" s="154">
        <f t="shared" si="176"/>
        <v>100</v>
      </c>
      <c r="AB267" s="152">
        <f>U267*(100/AA267)</f>
        <v>40.799999999999997</v>
      </c>
      <c r="AC267" s="152">
        <f>V267*(100/AA267)</f>
        <v>5.2</v>
      </c>
      <c r="AD267" s="152">
        <f>W267*(100/AA267)</f>
        <v>0</v>
      </c>
      <c r="AE267" s="152">
        <f>X267*(100/AA267)</f>
        <v>0</v>
      </c>
      <c r="AF267" s="152">
        <f>Y267*(100/AA267)</f>
        <v>5.3</v>
      </c>
      <c r="AG267" s="155">
        <f>Z267*(100/AA267)</f>
        <v>48.7</v>
      </c>
      <c r="AN267" s="157">
        <v>18</v>
      </c>
    </row>
    <row r="268" spans="1:40">
      <c r="A268" s="152">
        <f t="shared" si="191"/>
        <v>267</v>
      </c>
      <c r="B268" s="153" t="s">
        <v>1028</v>
      </c>
      <c r="C268" s="152">
        <v>8</v>
      </c>
      <c r="D268" s="152" t="s">
        <v>1062</v>
      </c>
      <c r="E268" s="152" t="s">
        <v>1063</v>
      </c>
      <c r="F268" s="152"/>
      <c r="G268" s="153"/>
      <c r="H268" s="152"/>
      <c r="I268" s="152"/>
      <c r="K268" s="153"/>
      <c r="L268" s="152"/>
      <c r="M268" s="152"/>
      <c r="N268" s="152"/>
      <c r="O268" s="154"/>
      <c r="P268" s="152"/>
      <c r="Q268" s="152"/>
      <c r="R268" s="152"/>
      <c r="S268" s="152"/>
      <c r="T268" s="154" t="s">
        <v>1031</v>
      </c>
      <c r="U268" s="152">
        <v>38.4</v>
      </c>
      <c r="V268" s="152">
        <v>4.8</v>
      </c>
      <c r="W268" s="152">
        <v>0</v>
      </c>
      <c r="X268" s="152">
        <v>0</v>
      </c>
      <c r="Y268" s="152">
        <v>0</v>
      </c>
      <c r="Z268" s="152">
        <v>56.8</v>
      </c>
      <c r="AA268" s="154">
        <f t="shared" si="176"/>
        <v>100</v>
      </c>
      <c r="AB268" s="152">
        <f>U268*(100/AA268)</f>
        <v>38.4</v>
      </c>
      <c r="AC268" s="152">
        <f>V268*(100/AA268)</f>
        <v>4.8</v>
      </c>
      <c r="AD268" s="152">
        <f>W268*(100/AA268)</f>
        <v>0</v>
      </c>
      <c r="AE268" s="152">
        <f>X268*(100/AA268)</f>
        <v>0</v>
      </c>
      <c r="AF268" s="152">
        <f>Y268*(100/AA268)</f>
        <v>0</v>
      </c>
      <c r="AG268" s="155">
        <f>Z268*(100/AA268)</f>
        <v>56.8</v>
      </c>
      <c r="AN268" s="157">
        <v>18</v>
      </c>
    </row>
    <row r="269" spans="1:40">
      <c r="A269" s="152">
        <f t="shared" si="191"/>
        <v>268</v>
      </c>
      <c r="B269" s="153" t="s">
        <v>1028</v>
      </c>
      <c r="C269" s="152">
        <v>8</v>
      </c>
      <c r="D269" s="152" t="s">
        <v>1062</v>
      </c>
      <c r="E269" s="152" t="s">
        <v>1063</v>
      </c>
      <c r="F269" s="152"/>
      <c r="G269" s="153"/>
      <c r="H269" s="152"/>
      <c r="I269" s="152"/>
      <c r="K269" s="153"/>
      <c r="L269" s="152"/>
      <c r="M269" s="152"/>
      <c r="N269" s="152"/>
      <c r="O269" s="154"/>
      <c r="P269" s="152"/>
      <c r="Q269" s="152"/>
      <c r="R269" s="152"/>
      <c r="S269" s="152"/>
      <c r="T269" s="154" t="s">
        <v>1031</v>
      </c>
      <c r="U269" s="152">
        <v>38.15</v>
      </c>
      <c r="V269" s="152">
        <v>5.18</v>
      </c>
      <c r="W269" s="152">
        <v>0</v>
      </c>
      <c r="X269" s="152">
        <v>0.21</v>
      </c>
      <c r="Y269" s="152">
        <v>2.2999999999999998</v>
      </c>
      <c r="Z269" s="152">
        <v>54.16</v>
      </c>
      <c r="AA269" s="154">
        <f t="shared" si="176"/>
        <v>100</v>
      </c>
      <c r="AB269" s="152">
        <f>U269*(100/AA269)</f>
        <v>38.15</v>
      </c>
      <c r="AC269" s="152">
        <f>V269*(100/AA269)</f>
        <v>5.18</v>
      </c>
      <c r="AD269" s="152">
        <f>W269*(100/AA269)</f>
        <v>0</v>
      </c>
      <c r="AE269" s="152">
        <f>X269*(100/AA269)</f>
        <v>0.21</v>
      </c>
      <c r="AF269" s="152">
        <f>Y269*(100/AA269)</f>
        <v>2.2999999999999998</v>
      </c>
      <c r="AG269" s="155">
        <f>Z269*(100/AA269)</f>
        <v>54.16</v>
      </c>
      <c r="AN269" s="157">
        <v>18</v>
      </c>
    </row>
    <row r="270" spans="1:40">
      <c r="A270" s="152">
        <f t="shared" si="191"/>
        <v>269</v>
      </c>
      <c r="B270" s="153" t="s">
        <v>1028</v>
      </c>
      <c r="C270" s="152">
        <v>8</v>
      </c>
      <c r="D270" s="152" t="s">
        <v>1062</v>
      </c>
      <c r="E270" s="152" t="s">
        <v>1063</v>
      </c>
      <c r="F270" s="152"/>
      <c r="G270" s="153"/>
      <c r="H270" s="152"/>
      <c r="I270" s="152"/>
      <c r="K270" s="153"/>
      <c r="L270" s="152"/>
      <c r="M270" s="152"/>
      <c r="N270" s="152"/>
      <c r="O270" s="154"/>
      <c r="P270" s="152"/>
      <c r="Q270" s="152"/>
      <c r="R270" s="152"/>
      <c r="S270" s="152"/>
      <c r="T270" s="154" t="s">
        <v>1031</v>
      </c>
      <c r="U270" s="152">
        <v>36.83</v>
      </c>
      <c r="V270" s="152">
        <v>4.71</v>
      </c>
      <c r="W270" s="152">
        <v>0.05</v>
      </c>
      <c r="X270" s="152">
        <v>0.25</v>
      </c>
      <c r="Y270" s="152">
        <v>0</v>
      </c>
      <c r="Z270" s="152">
        <v>58.15</v>
      </c>
      <c r="AA270" s="154">
        <f t="shared" si="176"/>
        <v>99.99</v>
      </c>
      <c r="AB270" s="152">
        <f>U270*(100/AA270)</f>
        <v>36.833683368336835</v>
      </c>
      <c r="AC270" s="152">
        <f>V270*(100/AA270)</f>
        <v>4.7104710471047113</v>
      </c>
      <c r="AD270" s="152">
        <f>W270*(100/AA270)</f>
        <v>5.0005000500050016E-2</v>
      </c>
      <c r="AE270" s="152">
        <f>X270*(100/AA270)</f>
        <v>0.25002500250025006</v>
      </c>
      <c r="AF270" s="152">
        <f>Y270*(100/AA270)</f>
        <v>0</v>
      </c>
      <c r="AG270" s="155">
        <f>Z270*(100/AA270)</f>
        <v>58.155815581558166</v>
      </c>
      <c r="AN270" s="157">
        <v>18</v>
      </c>
    </row>
    <row r="271" spans="1:40">
      <c r="A271">
        <f t="shared" si="191"/>
        <v>270</v>
      </c>
      <c r="B271" s="153" t="s">
        <v>1028</v>
      </c>
      <c r="C271" s="152">
        <v>8</v>
      </c>
      <c r="D271" s="152" t="s">
        <v>1062</v>
      </c>
      <c r="E271" s="152" t="s">
        <v>1063</v>
      </c>
      <c r="H271">
        <v>0.13</v>
      </c>
      <c r="AN271" s="181">
        <v>135</v>
      </c>
    </row>
    <row r="272" spans="1:40">
      <c r="A272">
        <f t="shared" si="191"/>
        <v>271</v>
      </c>
      <c r="B272" s="153" t="s">
        <v>1028</v>
      </c>
      <c r="C272" s="152">
        <v>8</v>
      </c>
      <c r="D272" s="152" t="s">
        <v>1062</v>
      </c>
      <c r="E272" s="152" t="s">
        <v>1063</v>
      </c>
      <c r="G272" s="8">
        <v>1.31</v>
      </c>
      <c r="AN272" s="181">
        <v>137</v>
      </c>
    </row>
  </sheetData>
  <hyperlinks>
    <hyperlink ref="AN74" r:id="rId1" display="https://www.ensingerplastics.com/en/shapes/pa12-tecamid-12-natural" xr:uid="{35FA2985-03F3-433E-9469-FD86F2DC432B}"/>
    <hyperlink ref="AN115" r:id="rId2" display="https://www.qenos.com/internet/home.nsf/(LUImages)/Tech%20Guide:%20Thermal%20and%20electrical%20properties%20of%20PE/$File/144%20QEN%20eX%20TN%20Thermal%20&amp;%20Electrical%20properties%20of%20PE.pdf" xr:uid="{135C803F-4CC7-48D8-BAD1-944FE3BF16E6}"/>
    <hyperlink ref="AN75" r:id="rId3" display="https://www.hinkel-elektronik.de/pdf_node/954.pdf" xr:uid="{0C8166B3-B283-4F20-88A3-42829FD3E433}"/>
    <hyperlink ref="AN73" r:id="rId4" display="https://rolec.de/fileadmin/Media/44/a2/Polyamid_PA6_en-.pdf" xr:uid="{62E60E83-CC26-427C-B81D-80550B9F3516}"/>
    <hyperlink ref="AN72" r:id="rId5" display="https://analyzing-testing.netzsch.com/en/polymers-netzsch-com/engineering-thermoplastics/pa11-polyamide-11" xr:uid="{8AA16E86-1FDB-4767-BA16-3FD0E1377575}"/>
  </hyperlinks>
  <pageMargins left="0.7" right="0.7" top="0.78740157499999996" bottom="0.78740157499999996" header="0.3" footer="0.3"/>
  <pageSetup paperSize="9"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148DD-CE82-4C15-A942-B9C8636CB370}">
  <dimension ref="A1:AM201"/>
  <sheetViews>
    <sheetView tabSelected="1" zoomScale="85" zoomScaleNormal="85" workbookViewId="0">
      <selection activeCell="B207" sqref="B207"/>
    </sheetView>
  </sheetViews>
  <sheetFormatPr baseColWidth="10" defaultRowHeight="15.05"/>
  <cols>
    <col min="1" max="1" width="11.5546875" style="3"/>
    <col min="2" max="2" width="10.33203125" customWidth="1"/>
    <col min="3" max="3" width="12.33203125" customWidth="1"/>
    <col min="4" max="4" width="19.6640625" customWidth="1"/>
    <col min="5" max="5" width="23.33203125" customWidth="1"/>
    <col min="6" max="6" width="26.33203125" style="12" customWidth="1"/>
    <col min="7" max="7" width="11.5546875" style="8"/>
    <col min="9" max="9" width="12" style="3" bestFit="1" customWidth="1"/>
    <col min="10" max="10" width="85.109375" style="12" customWidth="1"/>
    <col min="16" max="16" width="12" bestFit="1" customWidth="1"/>
    <col min="30" max="30" width="11.5546875" style="3"/>
    <col min="39" max="39" width="11.5546875" style="12"/>
  </cols>
  <sheetData>
    <row r="1" spans="1:39" s="4" customFormat="1" ht="45.1">
      <c r="A1" s="74" t="s">
        <v>28</v>
      </c>
      <c r="B1" s="75" t="s">
        <v>29</v>
      </c>
      <c r="C1" s="76" t="s">
        <v>30</v>
      </c>
      <c r="D1" s="77" t="s">
        <v>1215</v>
      </c>
      <c r="E1" s="75" t="s">
        <v>0</v>
      </c>
      <c r="F1" s="80" t="s">
        <v>31</v>
      </c>
      <c r="G1" s="78" t="s">
        <v>32</v>
      </c>
      <c r="H1" s="75" t="s">
        <v>1</v>
      </c>
      <c r="I1" s="79" t="s">
        <v>1216</v>
      </c>
      <c r="J1" s="80" t="s">
        <v>31</v>
      </c>
      <c r="K1" s="75" t="s">
        <v>1227</v>
      </c>
      <c r="L1" s="75" t="s">
        <v>1228</v>
      </c>
      <c r="M1" s="75" t="s">
        <v>1229</v>
      </c>
      <c r="N1" s="75" t="s">
        <v>1230</v>
      </c>
      <c r="O1" s="81" t="s">
        <v>1232</v>
      </c>
      <c r="P1" s="81" t="s">
        <v>1233</v>
      </c>
      <c r="Q1" s="81" t="s">
        <v>1236</v>
      </c>
      <c r="R1" s="81" t="s">
        <v>1234</v>
      </c>
      <c r="S1" s="81" t="s">
        <v>1237</v>
      </c>
      <c r="T1" s="81" t="s">
        <v>1238</v>
      </c>
      <c r="U1" s="81" t="s">
        <v>1239</v>
      </c>
      <c r="V1" s="81" t="s">
        <v>1240</v>
      </c>
      <c r="W1" s="81" t="s">
        <v>1241</v>
      </c>
      <c r="X1" s="81" t="s">
        <v>1235</v>
      </c>
      <c r="Y1" s="82" t="s">
        <v>1252</v>
      </c>
      <c r="Z1" s="82" t="s">
        <v>1255</v>
      </c>
      <c r="AA1" s="46" t="s">
        <v>1326</v>
      </c>
      <c r="AB1" s="47" t="s">
        <v>1395</v>
      </c>
      <c r="AC1" s="47" t="s">
        <v>1396</v>
      </c>
      <c r="AD1" s="230" t="s">
        <v>1375</v>
      </c>
      <c r="AE1" s="75" t="s">
        <v>1451</v>
      </c>
      <c r="AF1" s="75" t="s">
        <v>1452</v>
      </c>
      <c r="AG1" s="75" t="s">
        <v>1453</v>
      </c>
      <c r="AH1" s="75" t="s">
        <v>1454</v>
      </c>
      <c r="AI1" s="81" t="s">
        <v>1455</v>
      </c>
      <c r="AJ1" s="81" t="s">
        <v>1456</v>
      </c>
      <c r="AK1" s="60"/>
      <c r="AL1" s="60" t="s">
        <v>1457</v>
      </c>
      <c r="AM1" s="222" t="s">
        <v>1279</v>
      </c>
    </row>
    <row r="2" spans="1:39">
      <c r="A2" s="3">
        <v>1</v>
      </c>
      <c r="B2" t="s">
        <v>1280</v>
      </c>
      <c r="C2">
        <v>1</v>
      </c>
      <c r="D2" t="s">
        <v>1242</v>
      </c>
      <c r="E2" t="s">
        <v>1440</v>
      </c>
      <c r="G2" s="8">
        <v>2.6954545454545458</v>
      </c>
      <c r="J2" s="12" t="s">
        <v>1244</v>
      </c>
      <c r="K2">
        <v>54.23</v>
      </c>
      <c r="L2">
        <v>13.45</v>
      </c>
      <c r="M2">
        <v>13.83</v>
      </c>
      <c r="N2">
        <v>7.86</v>
      </c>
      <c r="O2">
        <v>2.81</v>
      </c>
      <c r="P2">
        <v>1.81</v>
      </c>
      <c r="Q2">
        <v>0.88</v>
      </c>
      <c r="R2">
        <v>0.79</v>
      </c>
      <c r="S2">
        <v>0.84</v>
      </c>
      <c r="U2">
        <v>0.38</v>
      </c>
      <c r="V2">
        <v>0.63</v>
      </c>
      <c r="X2">
        <v>1.28</v>
      </c>
      <c r="Y2">
        <v>0.26</v>
      </c>
      <c r="AB2" s="49"/>
      <c r="AC2" s="49"/>
      <c r="AE2" s="42">
        <f t="shared" ref="AE2:AE42" si="0">K2/(K2+M2+N2+L2+O2+P2)</f>
        <v>0.5769762740717097</v>
      </c>
      <c r="AF2" s="42">
        <f t="shared" ref="AF2:AF42" si="1">L2/(K2+M2+N2+L2+O2+P2)</f>
        <v>0.14310032982232151</v>
      </c>
      <c r="AG2" s="42">
        <f t="shared" ref="AG2:AG42" si="2">M2/(K2+M2+N2+L2+O2+P2)</f>
        <v>0.14714331311841683</v>
      </c>
      <c r="AH2" s="42">
        <f t="shared" ref="AH2:AH42" si="3">N2/(K2+M2+N2+L2+O2+P2)</f>
        <v>8.3625917650813911E-2</v>
      </c>
      <c r="AI2" s="42">
        <f t="shared" ref="AI2:AI42" si="4">O2/(K2+M2+N2+L2+O2+P2)</f>
        <v>2.9896797531652301E-2</v>
      </c>
      <c r="AJ2" s="42">
        <f t="shared" ref="AJ2:AJ42" si="5">P2/(K2+M2+N2+L2+O2+P2)</f>
        <v>1.9257367805085645E-2</v>
      </c>
      <c r="AL2">
        <f t="shared" ref="AL2:AL42" si="6">(K2+L2+O2+M2+N2+P2)/SUM(K2:Z2)</f>
        <v>0.94891468955073188</v>
      </c>
      <c r="AM2" s="12">
        <v>139</v>
      </c>
    </row>
    <row r="3" spans="1:39">
      <c r="A3" s="3">
        <f>A2+1</f>
        <v>2</v>
      </c>
      <c r="B3" t="s">
        <v>1280</v>
      </c>
      <c r="C3">
        <v>1</v>
      </c>
      <c r="D3" t="s">
        <v>1242</v>
      </c>
      <c r="E3" t="s">
        <v>1440</v>
      </c>
      <c r="G3" s="8">
        <v>2.688181818181818</v>
      </c>
      <c r="J3" s="12" t="s">
        <v>1243</v>
      </c>
      <c r="K3">
        <v>51.35</v>
      </c>
      <c r="L3">
        <v>13.95</v>
      </c>
      <c r="M3">
        <v>15.13</v>
      </c>
      <c r="N3">
        <v>7.92</v>
      </c>
      <c r="O3">
        <v>3.1</v>
      </c>
      <c r="P3">
        <v>1.81</v>
      </c>
      <c r="Q3">
        <v>0.93</v>
      </c>
      <c r="R3">
        <v>1.06</v>
      </c>
      <c r="S3">
        <v>0.79</v>
      </c>
      <c r="U3">
        <v>0.36</v>
      </c>
      <c r="V3">
        <v>0.55000000000000004</v>
      </c>
      <c r="X3">
        <v>1.19</v>
      </c>
      <c r="Y3">
        <v>0.36</v>
      </c>
      <c r="AE3" s="42">
        <f t="shared" si="0"/>
        <v>0.55061119450997209</v>
      </c>
      <c r="AF3" s="42">
        <f t="shared" si="1"/>
        <v>0.14958181428265063</v>
      </c>
      <c r="AG3" s="42">
        <f t="shared" si="2"/>
        <v>0.16223461291014368</v>
      </c>
      <c r="AH3" s="42">
        <f t="shared" si="3"/>
        <v>8.4923868754021012E-2</v>
      </c>
      <c r="AI3" s="42">
        <f t="shared" si="4"/>
        <v>3.3240403173922364E-2</v>
      </c>
      <c r="AJ3" s="42">
        <f t="shared" si="5"/>
        <v>1.9408106369290155E-2</v>
      </c>
      <c r="AL3">
        <f t="shared" si="6"/>
        <v>0.94680203045685274</v>
      </c>
      <c r="AM3" s="12">
        <v>139</v>
      </c>
    </row>
    <row r="4" spans="1:39">
      <c r="A4" s="3">
        <f t="shared" ref="A4:A60" si="7">A3+1</f>
        <v>3</v>
      </c>
      <c r="B4" t="s">
        <v>1280</v>
      </c>
      <c r="C4">
        <v>1</v>
      </c>
      <c r="D4" t="s">
        <v>1242</v>
      </c>
      <c r="E4" t="s">
        <v>1440</v>
      </c>
      <c r="I4" s="68"/>
      <c r="J4" s="12" t="s">
        <v>1249</v>
      </c>
      <c r="K4" s="39">
        <v>21.3</v>
      </c>
      <c r="L4" s="39">
        <v>23.4</v>
      </c>
      <c r="M4" s="39">
        <v>5.77</v>
      </c>
      <c r="N4" s="39">
        <v>5.96</v>
      </c>
      <c r="O4" s="39">
        <v>2.02</v>
      </c>
      <c r="P4" s="39">
        <v>2.2799999999999998</v>
      </c>
      <c r="Q4" s="39">
        <v>1.34</v>
      </c>
      <c r="R4" s="39">
        <v>3.26</v>
      </c>
      <c r="S4" s="39">
        <v>0.61</v>
      </c>
      <c r="T4" s="39">
        <v>0.13</v>
      </c>
      <c r="U4" s="39">
        <v>0.1</v>
      </c>
      <c r="V4" s="39">
        <v>0.28999999999999998</v>
      </c>
      <c r="W4" s="39">
        <v>0.15</v>
      </c>
      <c r="X4" s="39">
        <v>3.29</v>
      </c>
      <c r="AE4" s="42">
        <f t="shared" si="0"/>
        <v>0.35073275152313516</v>
      </c>
      <c r="AF4" s="42">
        <f t="shared" si="1"/>
        <v>0.385312036884571</v>
      </c>
      <c r="AG4" s="42">
        <f t="shared" si="2"/>
        <v>9.5010703112135664E-2</v>
      </c>
      <c r="AH4" s="42">
        <f t="shared" si="3"/>
        <v>9.813930512102749E-2</v>
      </c>
      <c r="AI4" s="42">
        <f t="shared" si="4"/>
        <v>3.3261979252428783E-2</v>
      </c>
      <c r="AJ4" s="42">
        <f t="shared" si="5"/>
        <v>3.7543224106701786E-2</v>
      </c>
      <c r="AL4">
        <f t="shared" si="6"/>
        <v>0.86881258941344774</v>
      </c>
      <c r="AM4" s="12">
        <v>140</v>
      </c>
    </row>
    <row r="5" spans="1:39">
      <c r="A5" s="3">
        <f t="shared" si="7"/>
        <v>4</v>
      </c>
      <c r="B5" t="s">
        <v>1280</v>
      </c>
      <c r="C5">
        <v>1</v>
      </c>
      <c r="D5" t="s">
        <v>1242</v>
      </c>
      <c r="E5" t="s">
        <v>1440</v>
      </c>
      <c r="J5" s="12" t="s">
        <v>1250</v>
      </c>
      <c r="K5" s="39">
        <v>27.4</v>
      </c>
      <c r="L5" s="39">
        <v>20</v>
      </c>
      <c r="M5" s="39">
        <v>5.77</v>
      </c>
      <c r="N5" s="39">
        <v>5.91</v>
      </c>
      <c r="O5" s="39">
        <v>2.48</v>
      </c>
      <c r="P5" s="39">
        <v>1.92</v>
      </c>
      <c r="Q5" s="39">
        <v>1.4</v>
      </c>
      <c r="R5" s="39">
        <v>3.22</v>
      </c>
      <c r="S5" s="39">
        <v>0.56000000000000005</v>
      </c>
      <c r="T5" s="39">
        <v>0.1</v>
      </c>
      <c r="U5" s="39">
        <v>0.11</v>
      </c>
      <c r="V5" s="39">
        <v>0.35</v>
      </c>
      <c r="W5" s="39">
        <v>0.14000000000000001</v>
      </c>
      <c r="X5" s="39">
        <v>2.13</v>
      </c>
      <c r="AE5" s="42">
        <f t="shared" si="0"/>
        <v>0.43163201008191554</v>
      </c>
      <c r="AF5" s="42">
        <f t="shared" si="1"/>
        <v>0.31505986137366099</v>
      </c>
      <c r="AG5" s="42">
        <f t="shared" si="2"/>
        <v>9.0894770006301195E-2</v>
      </c>
      <c r="AH5" s="42">
        <f t="shared" si="3"/>
        <v>9.3100189035916825E-2</v>
      </c>
      <c r="AI5" s="42">
        <f t="shared" si="4"/>
        <v>3.9067422810333964E-2</v>
      </c>
      <c r="AJ5" s="42">
        <f t="shared" si="5"/>
        <v>3.0245746691871456E-2</v>
      </c>
      <c r="AL5">
        <f t="shared" si="6"/>
        <v>0.88795635753252211</v>
      </c>
      <c r="AM5" s="12">
        <v>140</v>
      </c>
    </row>
    <row r="6" spans="1:39">
      <c r="A6" s="3">
        <f t="shared" si="7"/>
        <v>5</v>
      </c>
      <c r="B6" t="s">
        <v>1280</v>
      </c>
      <c r="C6">
        <v>1</v>
      </c>
      <c r="D6" t="s">
        <v>1242</v>
      </c>
      <c r="E6" t="s">
        <v>1440</v>
      </c>
      <c r="F6" s="72"/>
      <c r="G6" s="65"/>
      <c r="H6" s="40"/>
      <c r="I6" s="69"/>
      <c r="J6" s="71" t="s">
        <v>1245</v>
      </c>
      <c r="K6" s="39">
        <v>19.899999999999999</v>
      </c>
      <c r="L6" s="39">
        <v>16.2</v>
      </c>
      <c r="M6" s="39">
        <v>4.5199999999999996</v>
      </c>
      <c r="N6" s="39">
        <v>7.97</v>
      </c>
      <c r="O6" s="39">
        <v>1.61</v>
      </c>
      <c r="P6" s="39">
        <v>2.16</v>
      </c>
      <c r="Q6" s="39">
        <v>1.67</v>
      </c>
      <c r="R6" s="39">
        <v>1.94</v>
      </c>
      <c r="S6" s="39">
        <v>0.65</v>
      </c>
      <c r="T6" s="39">
        <v>7.0000000000000007E-2</v>
      </c>
      <c r="U6" s="39">
        <v>0.04</v>
      </c>
      <c r="V6" s="39">
        <v>0.23</v>
      </c>
      <c r="W6" s="39">
        <v>0.2</v>
      </c>
      <c r="X6" s="39">
        <v>1.84</v>
      </c>
      <c r="AE6" s="42">
        <f t="shared" si="0"/>
        <v>0.38006111535523296</v>
      </c>
      <c r="AF6" s="42">
        <f t="shared" si="1"/>
        <v>0.30939648586707408</v>
      </c>
      <c r="AG6" s="42">
        <f t="shared" si="2"/>
        <v>8.6325439266615733E-2</v>
      </c>
      <c r="AH6" s="42">
        <f t="shared" si="3"/>
        <v>0.15221543162719633</v>
      </c>
      <c r="AI6" s="42">
        <f t="shared" si="4"/>
        <v>3.074866310160428E-2</v>
      </c>
      <c r="AJ6" s="42">
        <f t="shared" si="5"/>
        <v>4.1252864782276549E-2</v>
      </c>
      <c r="AL6">
        <f t="shared" si="6"/>
        <v>0.88745762711864407</v>
      </c>
      <c r="AM6" s="12">
        <v>140</v>
      </c>
    </row>
    <row r="7" spans="1:39">
      <c r="A7" s="3">
        <f t="shared" si="7"/>
        <v>6</v>
      </c>
      <c r="B7" t="s">
        <v>1280</v>
      </c>
      <c r="C7">
        <v>1</v>
      </c>
      <c r="D7" t="s">
        <v>1242</v>
      </c>
      <c r="E7" t="s">
        <v>1440</v>
      </c>
      <c r="F7" s="72"/>
      <c r="G7" s="65"/>
      <c r="I7" s="69"/>
      <c r="J7" s="12" t="s">
        <v>1251</v>
      </c>
      <c r="K7" s="39">
        <v>23.2</v>
      </c>
      <c r="L7" s="39">
        <v>13.3</v>
      </c>
      <c r="M7" s="39">
        <v>5.92</v>
      </c>
      <c r="N7" s="39">
        <v>6.97</v>
      </c>
      <c r="O7" s="39">
        <v>1.43</v>
      </c>
      <c r="P7" s="39">
        <v>1.01</v>
      </c>
      <c r="Q7" s="39">
        <v>1.45</v>
      </c>
      <c r="R7" s="39">
        <v>1.6</v>
      </c>
      <c r="S7" s="39">
        <v>0.9</v>
      </c>
      <c r="T7" s="39">
        <v>7.0000000000000007E-2</v>
      </c>
      <c r="U7" s="39">
        <v>0.24</v>
      </c>
      <c r="V7" s="39">
        <v>0.68</v>
      </c>
      <c r="W7" s="39">
        <v>0.27</v>
      </c>
      <c r="X7" s="39">
        <v>1.37</v>
      </c>
      <c r="AE7" s="42">
        <f t="shared" si="0"/>
        <v>0.44761721010997491</v>
      </c>
      <c r="AF7" s="42">
        <f t="shared" si="1"/>
        <v>0.25660814200270116</v>
      </c>
      <c r="AG7" s="42">
        <f t="shared" si="2"/>
        <v>0.11421956395909705</v>
      </c>
      <c r="AH7" s="42">
        <f t="shared" si="3"/>
        <v>0.13447810148562608</v>
      </c>
      <c r="AI7" s="42">
        <f t="shared" si="4"/>
        <v>2.7590198726606213E-2</v>
      </c>
      <c r="AJ7" s="42">
        <f t="shared" si="5"/>
        <v>1.9486783715994598E-2</v>
      </c>
      <c r="AL7">
        <f t="shared" si="6"/>
        <v>0.88734805683958218</v>
      </c>
      <c r="AM7" s="12">
        <v>140</v>
      </c>
    </row>
    <row r="8" spans="1:39">
      <c r="A8" s="3">
        <f t="shared" si="7"/>
        <v>7</v>
      </c>
      <c r="B8" t="s">
        <v>1280</v>
      </c>
      <c r="C8">
        <v>1</v>
      </c>
      <c r="D8" t="s">
        <v>1242</v>
      </c>
      <c r="E8" t="s">
        <v>1440</v>
      </c>
      <c r="F8" s="72"/>
      <c r="G8" s="65"/>
      <c r="I8" s="69"/>
      <c r="J8" s="12" t="s">
        <v>1246</v>
      </c>
      <c r="K8" s="39">
        <v>24.4</v>
      </c>
      <c r="L8" s="39">
        <v>20.8</v>
      </c>
      <c r="M8" s="39">
        <v>7.94</v>
      </c>
      <c r="N8" s="39">
        <v>7.59</v>
      </c>
      <c r="O8" s="39">
        <v>2.35</v>
      </c>
      <c r="P8" s="39">
        <v>2.0499999999999998</v>
      </c>
      <c r="Q8" s="39">
        <v>1.34</v>
      </c>
      <c r="R8" s="39">
        <v>4.75</v>
      </c>
      <c r="S8" s="39">
        <v>0.71</v>
      </c>
      <c r="T8" s="39">
        <v>0.13</v>
      </c>
      <c r="U8" s="39">
        <v>0.12</v>
      </c>
      <c r="V8" s="39">
        <v>0.45</v>
      </c>
      <c r="W8" s="39">
        <v>0.2</v>
      </c>
      <c r="X8" s="39">
        <v>2.5</v>
      </c>
      <c r="AE8" s="42">
        <f t="shared" si="0"/>
        <v>0.37463534469522491</v>
      </c>
      <c r="AF8" s="42">
        <f t="shared" si="1"/>
        <v>0.31936127744510984</v>
      </c>
      <c r="AG8" s="42">
        <f t="shared" si="2"/>
        <v>0.12191002610164288</v>
      </c>
      <c r="AH8" s="42">
        <f t="shared" si="3"/>
        <v>0.11653615845232612</v>
      </c>
      <c r="AI8" s="42">
        <f t="shared" si="4"/>
        <v>3.608168278826962E-2</v>
      </c>
      <c r="AJ8" s="42">
        <f t="shared" si="5"/>
        <v>3.1475510517426683E-2</v>
      </c>
      <c r="AL8">
        <f t="shared" si="6"/>
        <v>0.86459577857427294</v>
      </c>
      <c r="AM8" s="12">
        <v>140</v>
      </c>
    </row>
    <row r="9" spans="1:39">
      <c r="A9" s="3">
        <f t="shared" si="7"/>
        <v>8</v>
      </c>
      <c r="B9" t="s">
        <v>1280</v>
      </c>
      <c r="C9">
        <v>1</v>
      </c>
      <c r="D9" t="s">
        <v>1242</v>
      </c>
      <c r="E9" t="s">
        <v>1440</v>
      </c>
      <c r="F9" s="72"/>
      <c r="G9" s="65"/>
      <c r="I9" s="69"/>
      <c r="J9" s="12" t="s">
        <v>1247</v>
      </c>
      <c r="K9" s="39">
        <v>33.1</v>
      </c>
      <c r="L9" s="39">
        <v>15.5</v>
      </c>
      <c r="M9" s="39">
        <v>7.05</v>
      </c>
      <c r="N9" s="39">
        <v>11.4</v>
      </c>
      <c r="O9" s="39">
        <v>2.62</v>
      </c>
      <c r="P9" s="39">
        <v>2.1</v>
      </c>
      <c r="Q9" s="39">
        <v>1.64</v>
      </c>
      <c r="R9" s="39">
        <v>2.79</v>
      </c>
      <c r="S9" s="39">
        <v>0.9</v>
      </c>
      <c r="T9" s="39">
        <v>7.0000000000000007E-2</v>
      </c>
      <c r="U9" s="39">
        <v>0.05</v>
      </c>
      <c r="V9" s="39">
        <v>0.32</v>
      </c>
      <c r="W9" s="39">
        <v>0.15</v>
      </c>
      <c r="X9" s="39">
        <v>3.36</v>
      </c>
      <c r="AE9" s="42">
        <f t="shared" si="0"/>
        <v>0.46119548557893275</v>
      </c>
      <c r="AF9" s="42">
        <f t="shared" si="1"/>
        <v>0.21596767451581442</v>
      </c>
      <c r="AG9" s="42">
        <f t="shared" si="2"/>
        <v>9.8230458408805912E-2</v>
      </c>
      <c r="AH9" s="42">
        <f t="shared" si="3"/>
        <v>0.15884074125679254</v>
      </c>
      <c r="AI9" s="42">
        <f t="shared" si="4"/>
        <v>3.6505503692350567E-2</v>
      </c>
      <c r="AJ9" s="42">
        <f t="shared" si="5"/>
        <v>2.9260136547303889E-2</v>
      </c>
      <c r="AL9">
        <f t="shared" si="6"/>
        <v>0.88550277606415795</v>
      </c>
      <c r="AM9" s="12">
        <v>140</v>
      </c>
    </row>
    <row r="10" spans="1:39">
      <c r="A10" s="3">
        <f t="shared" si="7"/>
        <v>9</v>
      </c>
      <c r="B10" t="s">
        <v>1280</v>
      </c>
      <c r="C10">
        <v>1</v>
      </c>
      <c r="D10" t="s">
        <v>1242</v>
      </c>
      <c r="E10" t="s">
        <v>1440</v>
      </c>
      <c r="F10" s="72"/>
      <c r="G10" s="65"/>
      <c r="I10" s="69"/>
      <c r="J10" s="12" t="s">
        <v>1248</v>
      </c>
      <c r="K10" s="39">
        <v>39.299999999999997</v>
      </c>
      <c r="L10" s="39">
        <v>9.3800000000000008</v>
      </c>
      <c r="M10" s="39">
        <v>5.78</v>
      </c>
      <c r="N10" s="39">
        <v>8.34</v>
      </c>
      <c r="O10" s="39">
        <v>1.67</v>
      </c>
      <c r="P10" s="39">
        <v>1.34</v>
      </c>
      <c r="Q10" s="39">
        <v>1.61</v>
      </c>
      <c r="R10" s="39">
        <v>1.05</v>
      </c>
      <c r="S10" s="39">
        <v>0.56999999999999995</v>
      </c>
      <c r="T10" s="39">
        <v>0.08</v>
      </c>
      <c r="U10" s="39">
        <v>0.05</v>
      </c>
      <c r="V10" s="39">
        <v>0.2</v>
      </c>
      <c r="W10" s="39">
        <v>0.15</v>
      </c>
      <c r="X10" s="39">
        <v>0.95</v>
      </c>
      <c r="AE10" s="42">
        <f t="shared" si="0"/>
        <v>0.59717368181127484</v>
      </c>
      <c r="AF10" s="42">
        <f t="shared" si="1"/>
        <v>0.14253153016258929</v>
      </c>
      <c r="AG10" s="42">
        <f t="shared" si="2"/>
        <v>8.7828597477586992E-2</v>
      </c>
      <c r="AH10" s="42">
        <f t="shared" si="3"/>
        <v>0.12672846072025529</v>
      </c>
      <c r="AI10" s="42">
        <f t="shared" si="4"/>
        <v>2.5376082662209389E-2</v>
      </c>
      <c r="AJ10" s="42">
        <f t="shared" si="5"/>
        <v>2.0361647166084181E-2</v>
      </c>
      <c r="AL10">
        <f t="shared" si="6"/>
        <v>0.93387256988789558</v>
      </c>
      <c r="AM10" s="12">
        <v>140</v>
      </c>
    </row>
    <row r="11" spans="1:39">
      <c r="A11" s="3">
        <f t="shared" si="7"/>
        <v>10</v>
      </c>
      <c r="B11" t="s">
        <v>1280</v>
      </c>
      <c r="C11">
        <v>1</v>
      </c>
      <c r="D11" t="s">
        <v>1242</v>
      </c>
      <c r="E11" t="s">
        <v>1440</v>
      </c>
      <c r="F11" s="72"/>
      <c r="G11" s="65"/>
      <c r="H11" s="39"/>
      <c r="I11" s="70"/>
      <c r="J11" s="12" t="s">
        <v>1253</v>
      </c>
      <c r="K11" s="83">
        <v>27.9</v>
      </c>
      <c r="L11" s="83">
        <v>40.700000000000003</v>
      </c>
      <c r="M11" s="83">
        <v>6.6</v>
      </c>
      <c r="N11" s="83">
        <v>7.99</v>
      </c>
      <c r="O11" s="83">
        <v>4.62</v>
      </c>
      <c r="P11" s="83">
        <v>2.5299999999999998</v>
      </c>
      <c r="Q11" s="83">
        <v>1.59</v>
      </c>
      <c r="R11" s="83">
        <v>3.53</v>
      </c>
      <c r="S11" s="83">
        <v>1.43</v>
      </c>
      <c r="X11" s="83">
        <v>0.48</v>
      </c>
      <c r="Y11" s="83">
        <v>1.52</v>
      </c>
      <c r="AE11" s="42">
        <f t="shared" si="0"/>
        <v>0.30883329643568735</v>
      </c>
      <c r="AF11" s="42">
        <f t="shared" si="1"/>
        <v>0.4505202568076157</v>
      </c>
      <c r="AG11" s="42">
        <f t="shared" si="2"/>
        <v>7.3057338941775504E-2</v>
      </c>
      <c r="AH11" s="42">
        <f t="shared" si="3"/>
        <v>8.8443657294664593E-2</v>
      </c>
      <c r="AI11" s="42">
        <f t="shared" si="4"/>
        <v>5.1140137259242859E-2</v>
      </c>
      <c r="AJ11" s="42">
        <f t="shared" si="5"/>
        <v>2.8005313261013944E-2</v>
      </c>
      <c r="AL11">
        <f t="shared" si="6"/>
        <v>0.91354029730003017</v>
      </c>
      <c r="AM11" s="12">
        <v>141</v>
      </c>
    </row>
    <row r="12" spans="1:39">
      <c r="A12" s="3">
        <f t="shared" si="7"/>
        <v>11</v>
      </c>
      <c r="B12" t="s">
        <v>1280</v>
      </c>
      <c r="C12">
        <v>1</v>
      </c>
      <c r="D12" t="s">
        <v>1242</v>
      </c>
      <c r="E12" t="s">
        <v>1440</v>
      </c>
      <c r="F12" s="72"/>
      <c r="G12" s="65">
        <v>2.41</v>
      </c>
      <c r="H12" s="39"/>
      <c r="I12" s="70"/>
      <c r="J12" s="12" t="s">
        <v>1254</v>
      </c>
      <c r="K12" s="83">
        <v>31.1</v>
      </c>
      <c r="L12" s="83">
        <v>10.01</v>
      </c>
      <c r="M12" s="83">
        <v>4.3600000000000003</v>
      </c>
      <c r="N12" s="83">
        <v>2.57</v>
      </c>
      <c r="O12" s="83">
        <v>2.1</v>
      </c>
      <c r="P12" s="83">
        <v>0.28000000000000003</v>
      </c>
      <c r="Q12" s="83">
        <v>0.86</v>
      </c>
      <c r="R12" s="83">
        <v>2.0699999999999998</v>
      </c>
      <c r="S12" s="83">
        <v>0.83</v>
      </c>
      <c r="V12" s="83">
        <v>0.9</v>
      </c>
      <c r="X12" s="83">
        <v>0.6</v>
      </c>
      <c r="AE12" s="42">
        <f t="shared" si="0"/>
        <v>0.61681872272907579</v>
      </c>
      <c r="AF12" s="42">
        <f t="shared" si="1"/>
        <v>0.19853232844109478</v>
      </c>
      <c r="AG12" s="42">
        <f t="shared" si="2"/>
        <v>8.6473621578738599E-2</v>
      </c>
      <c r="AH12" s="42">
        <f t="shared" si="3"/>
        <v>5.0971836572788573E-2</v>
      </c>
      <c r="AI12" s="42">
        <f t="shared" si="4"/>
        <v>4.1650138833796112E-2</v>
      </c>
      <c r="AJ12" s="42">
        <f t="shared" si="5"/>
        <v>5.5533518445061488E-3</v>
      </c>
      <c r="AL12">
        <f t="shared" si="6"/>
        <v>0.90553160919540232</v>
      </c>
      <c r="AM12" s="12">
        <v>142</v>
      </c>
    </row>
    <row r="13" spans="1:39">
      <c r="A13" s="3">
        <f t="shared" si="7"/>
        <v>12</v>
      </c>
      <c r="B13" t="s">
        <v>1280</v>
      </c>
      <c r="C13">
        <v>1</v>
      </c>
      <c r="D13" t="s">
        <v>1242</v>
      </c>
      <c r="E13" t="s">
        <v>1440</v>
      </c>
      <c r="F13" s="72"/>
      <c r="G13" s="65"/>
      <c r="H13" s="39"/>
      <c r="I13" s="70"/>
      <c r="J13" s="12" t="s">
        <v>1245</v>
      </c>
      <c r="K13" s="83">
        <v>42.14</v>
      </c>
      <c r="L13" s="83">
        <v>25.89</v>
      </c>
      <c r="M13" s="83">
        <v>5.68</v>
      </c>
      <c r="N13" s="83">
        <v>8.59</v>
      </c>
      <c r="O13" s="83">
        <v>3.86</v>
      </c>
      <c r="P13" s="83">
        <v>3.67</v>
      </c>
      <c r="Q13" s="83">
        <v>1.9</v>
      </c>
      <c r="R13" s="83">
        <v>3.75</v>
      </c>
      <c r="S13" s="83">
        <v>0.98</v>
      </c>
      <c r="Y13" s="83">
        <v>0.76</v>
      </c>
      <c r="Z13" s="83">
        <v>0.12</v>
      </c>
      <c r="AA13" s="83"/>
      <c r="AB13" s="83"/>
      <c r="AC13" s="83"/>
      <c r="AD13" s="69"/>
      <c r="AE13" s="42">
        <f t="shared" si="0"/>
        <v>0.46910831570744743</v>
      </c>
      <c r="AF13" s="42">
        <f t="shared" si="1"/>
        <v>0.28821106534565294</v>
      </c>
      <c r="AG13" s="42">
        <f t="shared" si="2"/>
        <v>6.323054658799955E-2</v>
      </c>
      <c r="AH13" s="42">
        <f t="shared" si="3"/>
        <v>9.5625069575865529E-2</v>
      </c>
      <c r="AI13" s="42">
        <f t="shared" si="4"/>
        <v>4.297005454747857E-2</v>
      </c>
      <c r="AJ13" s="42">
        <f t="shared" si="5"/>
        <v>4.0854948235556049E-2</v>
      </c>
      <c r="AL13">
        <f t="shared" si="6"/>
        <v>0.9228477501540987</v>
      </c>
      <c r="AM13" s="12">
        <v>143</v>
      </c>
    </row>
    <row r="14" spans="1:39">
      <c r="A14" s="3">
        <f t="shared" si="7"/>
        <v>13</v>
      </c>
      <c r="B14" t="s">
        <v>1280</v>
      </c>
      <c r="C14">
        <v>1</v>
      </c>
      <c r="D14" t="s">
        <v>1242</v>
      </c>
      <c r="E14" t="s">
        <v>1440</v>
      </c>
      <c r="F14" s="72"/>
      <c r="G14" s="65"/>
      <c r="H14" s="39"/>
      <c r="I14" s="70"/>
      <c r="J14" s="12" t="s">
        <v>1257</v>
      </c>
      <c r="K14" s="83">
        <v>32.75</v>
      </c>
      <c r="L14" s="83">
        <v>29.06</v>
      </c>
      <c r="M14" s="83">
        <v>10.02</v>
      </c>
      <c r="N14" s="83">
        <v>8.57</v>
      </c>
      <c r="O14" s="83">
        <v>2.87</v>
      </c>
      <c r="P14" s="83">
        <v>1.75</v>
      </c>
      <c r="Q14" s="83">
        <v>1.24</v>
      </c>
      <c r="R14" s="83">
        <v>4.7699999999999996</v>
      </c>
      <c r="S14" s="83">
        <v>1.57</v>
      </c>
      <c r="T14" s="83">
        <v>0.15</v>
      </c>
      <c r="U14" s="83">
        <v>0.31</v>
      </c>
      <c r="V14" s="83">
        <v>0.81</v>
      </c>
      <c r="X14" s="83">
        <v>3.01</v>
      </c>
      <c r="Z14">
        <v>0.22</v>
      </c>
      <c r="AE14" s="42">
        <f t="shared" si="0"/>
        <v>0.38520348153375678</v>
      </c>
      <c r="AF14" s="42">
        <f t="shared" si="1"/>
        <v>0.34180192895789224</v>
      </c>
      <c r="AG14" s="42">
        <f t="shared" si="2"/>
        <v>0.11785462244177841</v>
      </c>
      <c r="AH14" s="42">
        <f t="shared" si="3"/>
        <v>0.10079981180898613</v>
      </c>
      <c r="AI14" s="42">
        <f t="shared" si="4"/>
        <v>3.3756763114561279E-2</v>
      </c>
      <c r="AJ14" s="42">
        <f t="shared" si="5"/>
        <v>2.0583392143025171E-2</v>
      </c>
      <c r="AL14">
        <f t="shared" si="6"/>
        <v>0.8755921730175078</v>
      </c>
      <c r="AM14" s="12">
        <v>144</v>
      </c>
    </row>
    <row r="15" spans="1:39">
      <c r="A15" s="3">
        <f t="shared" si="7"/>
        <v>14</v>
      </c>
      <c r="B15" t="s">
        <v>1280</v>
      </c>
      <c r="C15">
        <v>1</v>
      </c>
      <c r="D15" t="s">
        <v>1242</v>
      </c>
      <c r="E15" t="s">
        <v>1440</v>
      </c>
      <c r="F15" s="72"/>
      <c r="G15" s="65"/>
      <c r="H15" s="39"/>
      <c r="I15" s="70"/>
      <c r="J15" s="12" t="s">
        <v>1256</v>
      </c>
      <c r="K15" s="83">
        <v>64.09</v>
      </c>
      <c r="L15" s="83">
        <v>10.46</v>
      </c>
      <c r="M15" s="83">
        <v>2.61</v>
      </c>
      <c r="N15" s="83">
        <v>8.36</v>
      </c>
      <c r="O15" s="83">
        <v>5.24</v>
      </c>
      <c r="P15" s="83">
        <v>1.17</v>
      </c>
      <c r="Q15" s="83">
        <v>1.38</v>
      </c>
      <c r="R15" s="83">
        <v>1.04</v>
      </c>
      <c r="W15" s="83"/>
      <c r="X15" s="83">
        <v>0.98</v>
      </c>
      <c r="Y15" s="83">
        <v>0.1</v>
      </c>
      <c r="AE15" s="42">
        <f t="shared" si="0"/>
        <v>0.69716088328075709</v>
      </c>
      <c r="AF15" s="42">
        <f t="shared" si="1"/>
        <v>0.11378222560643968</v>
      </c>
      <c r="AG15" s="42">
        <f t="shared" si="2"/>
        <v>2.8391167192429019E-2</v>
      </c>
      <c r="AH15" s="42">
        <f t="shared" si="3"/>
        <v>9.0938757750462298E-2</v>
      </c>
      <c r="AI15" s="42">
        <f t="shared" si="4"/>
        <v>5.6999891221581639E-2</v>
      </c>
      <c r="AJ15" s="42">
        <f t="shared" si="5"/>
        <v>1.2727074948330249E-2</v>
      </c>
      <c r="AL15">
        <f t="shared" si="6"/>
        <v>0.96332390233679133</v>
      </c>
      <c r="AM15" s="12">
        <v>145</v>
      </c>
    </row>
    <row r="16" spans="1:39">
      <c r="A16" s="3">
        <f t="shared" si="7"/>
        <v>15</v>
      </c>
      <c r="B16" t="s">
        <v>1280</v>
      </c>
      <c r="C16">
        <v>1</v>
      </c>
      <c r="D16" t="s">
        <v>1242</v>
      </c>
      <c r="E16" t="s">
        <v>1440</v>
      </c>
      <c r="F16" s="72"/>
      <c r="G16" s="65"/>
      <c r="H16" s="39"/>
      <c r="I16" s="70"/>
      <c r="J16" s="12" t="s">
        <v>1258</v>
      </c>
      <c r="K16" s="83">
        <v>58.1</v>
      </c>
      <c r="L16" s="83">
        <v>15.7</v>
      </c>
      <c r="M16" s="83">
        <v>10.199999999999999</v>
      </c>
      <c r="N16" s="83">
        <v>7.4</v>
      </c>
      <c r="O16" s="83">
        <v>11.3</v>
      </c>
      <c r="P16" s="83">
        <v>1.7</v>
      </c>
      <c r="Q16" s="83">
        <v>1.8</v>
      </c>
      <c r="R16" s="83">
        <v>1.6</v>
      </c>
      <c r="S16" s="83">
        <v>0.33</v>
      </c>
      <c r="T16" s="83">
        <v>0.14000000000000001</v>
      </c>
      <c r="X16" s="83">
        <v>1.1000000000000001</v>
      </c>
      <c r="Y16" s="83"/>
      <c r="AE16" s="42">
        <f t="shared" si="0"/>
        <v>0.55651340996168586</v>
      </c>
      <c r="AF16" s="42">
        <f t="shared" si="1"/>
        <v>0.1503831417624521</v>
      </c>
      <c r="AG16" s="42">
        <f t="shared" si="2"/>
        <v>9.7701149425287348E-2</v>
      </c>
      <c r="AH16" s="42">
        <f t="shared" si="3"/>
        <v>7.0881226053639848E-2</v>
      </c>
      <c r="AI16" s="42">
        <f t="shared" si="4"/>
        <v>0.1082375478927203</v>
      </c>
      <c r="AJ16" s="42">
        <f t="shared" si="5"/>
        <v>1.6283524904214558E-2</v>
      </c>
      <c r="AL16">
        <f t="shared" si="6"/>
        <v>0.95455792264789263</v>
      </c>
      <c r="AM16" s="12">
        <v>146</v>
      </c>
    </row>
    <row r="17" spans="1:39">
      <c r="A17" s="3">
        <f t="shared" si="7"/>
        <v>16</v>
      </c>
      <c r="B17" t="s">
        <v>1280</v>
      </c>
      <c r="C17">
        <v>1</v>
      </c>
      <c r="D17" t="s">
        <v>1242</v>
      </c>
      <c r="E17" t="s">
        <v>1440</v>
      </c>
      <c r="F17" s="72"/>
      <c r="G17" s="65">
        <v>1.0489999999999999</v>
      </c>
      <c r="H17" s="39"/>
      <c r="J17" s="12" t="s">
        <v>1259</v>
      </c>
      <c r="K17" s="39">
        <v>40</v>
      </c>
      <c r="L17" s="39">
        <v>29.4</v>
      </c>
      <c r="M17" s="39">
        <v>6.69</v>
      </c>
      <c r="N17" s="39">
        <v>9.42</v>
      </c>
      <c r="O17" s="39">
        <v>2.78</v>
      </c>
      <c r="P17" s="39">
        <v>1.37</v>
      </c>
      <c r="Q17" s="39">
        <v>1.97</v>
      </c>
      <c r="X17" s="39">
        <v>1.17</v>
      </c>
      <c r="AE17" s="42">
        <f t="shared" si="0"/>
        <v>0.44612982377871963</v>
      </c>
      <c r="AF17" s="42">
        <f t="shared" si="1"/>
        <v>0.32790542047735893</v>
      </c>
      <c r="AG17" s="42">
        <f t="shared" si="2"/>
        <v>7.4615213026990868E-2</v>
      </c>
      <c r="AH17" s="42">
        <f t="shared" si="3"/>
        <v>0.10506357349988847</v>
      </c>
      <c r="AI17" s="42">
        <f t="shared" si="4"/>
        <v>3.1006022752621012E-2</v>
      </c>
      <c r="AJ17" s="42">
        <f t="shared" si="5"/>
        <v>1.5279946464421148E-2</v>
      </c>
      <c r="AL17">
        <f t="shared" si="6"/>
        <v>0.96616379310344824</v>
      </c>
      <c r="AM17" s="12">
        <v>147</v>
      </c>
    </row>
    <row r="18" spans="1:39">
      <c r="A18" s="3">
        <f t="shared" si="7"/>
        <v>17</v>
      </c>
      <c r="B18" t="s">
        <v>1280</v>
      </c>
      <c r="C18">
        <v>1</v>
      </c>
      <c r="D18" t="s">
        <v>1242</v>
      </c>
      <c r="E18" t="s">
        <v>1440</v>
      </c>
      <c r="F18" s="72"/>
      <c r="G18" s="65"/>
      <c r="H18" s="39"/>
      <c r="J18" s="12" t="s">
        <v>1260</v>
      </c>
      <c r="K18" s="39">
        <v>29.7</v>
      </c>
      <c r="L18" s="39">
        <v>26.35</v>
      </c>
      <c r="M18" s="39">
        <v>9.09</v>
      </c>
      <c r="N18" s="39">
        <v>7.77</v>
      </c>
      <c r="O18" s="39">
        <v>2.6</v>
      </c>
      <c r="P18" s="39">
        <v>1.58</v>
      </c>
      <c r="Q18" s="39">
        <v>1.1200000000000001</v>
      </c>
      <c r="R18" s="39">
        <v>4.33</v>
      </c>
      <c r="S18" s="39">
        <v>1.42</v>
      </c>
      <c r="T18" s="39">
        <v>0.13</v>
      </c>
      <c r="U18" s="39">
        <v>0.28000000000000003</v>
      </c>
      <c r="V18" s="39">
        <v>0.73</v>
      </c>
      <c r="X18" s="39">
        <v>2.73</v>
      </c>
      <c r="Y18" s="39">
        <v>2.39</v>
      </c>
      <c r="Z18" s="39">
        <v>0.2</v>
      </c>
      <c r="AA18" s="39"/>
      <c r="AB18" s="39"/>
      <c r="AC18" s="39"/>
      <c r="AD18" s="70"/>
      <c r="AE18" s="42">
        <f t="shared" si="0"/>
        <v>0.38526397716954214</v>
      </c>
      <c r="AF18" s="42">
        <f t="shared" si="1"/>
        <v>0.34180827604099112</v>
      </c>
      <c r="AG18" s="42">
        <f t="shared" si="2"/>
        <v>0.11791412634582957</v>
      </c>
      <c r="AH18" s="42">
        <f t="shared" si="3"/>
        <v>0.10079128291607213</v>
      </c>
      <c r="AI18" s="42">
        <f t="shared" si="4"/>
        <v>3.3726812816188875E-2</v>
      </c>
      <c r="AJ18" s="42">
        <f t="shared" si="5"/>
        <v>2.0495524711376317E-2</v>
      </c>
      <c r="AL18">
        <f t="shared" si="6"/>
        <v>0.85257686352576845</v>
      </c>
      <c r="AM18" s="223">
        <v>148</v>
      </c>
    </row>
    <row r="19" spans="1:39">
      <c r="A19" s="3">
        <f t="shared" si="7"/>
        <v>18</v>
      </c>
      <c r="B19" t="s">
        <v>1280</v>
      </c>
      <c r="C19">
        <v>1</v>
      </c>
      <c r="D19" t="s">
        <v>1242</v>
      </c>
      <c r="E19" t="s">
        <v>1440</v>
      </c>
      <c r="F19" s="72"/>
      <c r="G19" s="65"/>
      <c r="H19" s="39"/>
      <c r="J19" s="12" t="s">
        <v>1033</v>
      </c>
      <c r="K19">
        <v>41.3</v>
      </c>
      <c r="L19">
        <v>16.399999999999999</v>
      </c>
      <c r="M19">
        <v>13.5</v>
      </c>
      <c r="N19">
        <v>9.57</v>
      </c>
      <c r="O19">
        <v>2.08</v>
      </c>
      <c r="P19">
        <v>2.23</v>
      </c>
      <c r="Q19">
        <v>1.01</v>
      </c>
      <c r="U19">
        <v>0.44500000000000001</v>
      </c>
      <c r="V19">
        <v>0.73499999999999999</v>
      </c>
      <c r="Y19">
        <v>1.5</v>
      </c>
      <c r="AE19" s="42">
        <f t="shared" si="0"/>
        <v>0.48542548189938872</v>
      </c>
      <c r="AF19" s="42">
        <f t="shared" si="1"/>
        <v>0.19275975552421246</v>
      </c>
      <c r="AG19" s="42">
        <f t="shared" si="2"/>
        <v>0.15867418899858954</v>
      </c>
      <c r="AH19" s="42">
        <f t="shared" si="3"/>
        <v>0.1124823695345557</v>
      </c>
      <c r="AI19" s="42">
        <f t="shared" si="4"/>
        <v>2.4447578749412315E-2</v>
      </c>
      <c r="AJ19" s="42">
        <f t="shared" si="5"/>
        <v>2.6210625293841088E-2</v>
      </c>
      <c r="AL19">
        <f t="shared" si="6"/>
        <v>0.95843190266982103</v>
      </c>
      <c r="AM19" s="12">
        <v>149</v>
      </c>
    </row>
    <row r="20" spans="1:39">
      <c r="A20" s="3">
        <f t="shared" si="7"/>
        <v>19</v>
      </c>
      <c r="B20" t="s">
        <v>1280</v>
      </c>
      <c r="C20">
        <v>1</v>
      </c>
      <c r="D20" t="s">
        <v>1242</v>
      </c>
      <c r="E20" t="s">
        <v>1440</v>
      </c>
      <c r="J20" s="12" t="s">
        <v>1261</v>
      </c>
      <c r="K20" s="39">
        <v>49.38</v>
      </c>
      <c r="L20" s="39">
        <v>14.68</v>
      </c>
      <c r="M20">
        <v>8.3800000000000008</v>
      </c>
      <c r="N20">
        <v>6.58</v>
      </c>
      <c r="O20">
        <v>7.78</v>
      </c>
      <c r="P20">
        <v>2.3199999999999998</v>
      </c>
      <c r="Q20">
        <v>1.41</v>
      </c>
      <c r="U20">
        <v>1.26</v>
      </c>
      <c r="V20">
        <v>0.38</v>
      </c>
      <c r="X20">
        <v>0.56999999999999995</v>
      </c>
      <c r="AE20" s="42">
        <f t="shared" si="0"/>
        <v>0.55408438061041287</v>
      </c>
      <c r="AF20" s="42">
        <f t="shared" si="1"/>
        <v>0.16472172351885098</v>
      </c>
      <c r="AG20" s="42">
        <f t="shared" si="2"/>
        <v>9.4030520646319574E-2</v>
      </c>
      <c r="AH20" s="42">
        <f t="shared" si="3"/>
        <v>7.3833034111310591E-2</v>
      </c>
      <c r="AI20" s="42">
        <f t="shared" si="4"/>
        <v>8.7298025134649904E-2</v>
      </c>
      <c r="AJ20" s="42">
        <f t="shared" si="5"/>
        <v>2.6032315978456011E-2</v>
      </c>
      <c r="AL20">
        <f t="shared" si="6"/>
        <v>0.96096614190209195</v>
      </c>
      <c r="AM20" s="12">
        <v>150</v>
      </c>
    </row>
    <row r="21" spans="1:39">
      <c r="A21" s="3">
        <f t="shared" si="7"/>
        <v>20</v>
      </c>
      <c r="B21" t="s">
        <v>1280</v>
      </c>
      <c r="C21">
        <v>1</v>
      </c>
      <c r="D21" t="s">
        <v>1242</v>
      </c>
      <c r="E21" t="s">
        <v>1440</v>
      </c>
      <c r="J21" s="12" t="s">
        <v>1262</v>
      </c>
      <c r="K21" s="39">
        <v>52</v>
      </c>
      <c r="L21" s="39">
        <v>14</v>
      </c>
      <c r="M21" s="39">
        <v>6.8</v>
      </c>
      <c r="N21" s="39">
        <v>5.9</v>
      </c>
      <c r="O21" s="39">
        <v>6</v>
      </c>
      <c r="P21" s="39">
        <v>2</v>
      </c>
      <c r="Q21" s="39">
        <v>2</v>
      </c>
      <c r="R21" s="39">
        <v>5.5</v>
      </c>
      <c r="S21" s="39">
        <v>0.5</v>
      </c>
      <c r="T21" s="39">
        <v>0.1</v>
      </c>
      <c r="AE21" s="42">
        <f t="shared" si="0"/>
        <v>0.59976931949250289</v>
      </c>
      <c r="AF21" s="42">
        <f t="shared" si="1"/>
        <v>0.16147635524798154</v>
      </c>
      <c r="AG21" s="42">
        <f t="shared" si="2"/>
        <v>7.8431372549019607E-2</v>
      </c>
      <c r="AH21" s="42">
        <f t="shared" si="3"/>
        <v>6.8050749711649372E-2</v>
      </c>
      <c r="AI21" s="42">
        <f t="shared" si="4"/>
        <v>6.920415224913494E-2</v>
      </c>
      <c r="AJ21" s="42">
        <f t="shared" si="5"/>
        <v>2.306805074971165E-2</v>
      </c>
      <c r="AL21">
        <f t="shared" si="6"/>
        <v>0.91455696202531656</v>
      </c>
      <c r="AM21" s="12">
        <v>151</v>
      </c>
    </row>
    <row r="22" spans="1:39">
      <c r="A22" s="3">
        <f t="shared" si="7"/>
        <v>21</v>
      </c>
      <c r="B22" t="s">
        <v>1280</v>
      </c>
      <c r="C22">
        <v>1</v>
      </c>
      <c r="D22" t="s">
        <v>1242</v>
      </c>
      <c r="E22" t="s">
        <v>1440</v>
      </c>
      <c r="J22" s="12" t="s">
        <v>1033</v>
      </c>
      <c r="K22" s="39">
        <v>58.7</v>
      </c>
      <c r="L22" s="39">
        <v>5.3</v>
      </c>
      <c r="M22" s="39">
        <v>6</v>
      </c>
      <c r="N22" s="39">
        <v>6.2</v>
      </c>
      <c r="O22" s="39">
        <v>7.7</v>
      </c>
      <c r="P22" s="39">
        <v>2.1</v>
      </c>
      <c r="Q22" s="39">
        <v>1.8</v>
      </c>
      <c r="X22" s="39">
        <v>1</v>
      </c>
      <c r="AE22" s="42">
        <f t="shared" si="0"/>
        <v>0.68255813953488376</v>
      </c>
      <c r="AF22" s="42">
        <f t="shared" si="1"/>
        <v>6.1627906976744182E-2</v>
      </c>
      <c r="AG22" s="42">
        <f t="shared" si="2"/>
        <v>6.9767441860465115E-2</v>
      </c>
      <c r="AH22" s="42">
        <f t="shared" si="3"/>
        <v>7.2093023255813959E-2</v>
      </c>
      <c r="AI22" s="42">
        <f t="shared" si="4"/>
        <v>8.9534883720930228E-2</v>
      </c>
      <c r="AJ22" s="42">
        <f t="shared" si="5"/>
        <v>2.441860465116279E-2</v>
      </c>
      <c r="AL22">
        <f t="shared" si="6"/>
        <v>0.96846846846846846</v>
      </c>
      <c r="AM22" s="12">
        <v>152</v>
      </c>
    </row>
    <row r="23" spans="1:39">
      <c r="A23" s="3">
        <f t="shared" si="7"/>
        <v>22</v>
      </c>
      <c r="B23" t="s">
        <v>1280</v>
      </c>
      <c r="C23">
        <v>1</v>
      </c>
      <c r="D23" t="s">
        <v>1242</v>
      </c>
      <c r="E23" t="s">
        <v>1440</v>
      </c>
      <c r="J23" s="12" t="s">
        <v>1033</v>
      </c>
      <c r="K23" s="39">
        <v>46.7</v>
      </c>
      <c r="L23" s="39">
        <v>26.3</v>
      </c>
      <c r="M23" s="39">
        <v>4.6900000000000004</v>
      </c>
      <c r="N23" s="39">
        <v>6.86</v>
      </c>
      <c r="O23" s="39">
        <v>4.62</v>
      </c>
      <c r="P23" s="39">
        <v>2.2200000000000002</v>
      </c>
      <c r="Q23" s="39">
        <v>0.88800000000000001</v>
      </c>
      <c r="S23" s="39">
        <v>0.77</v>
      </c>
      <c r="U23" s="39">
        <v>0.28100000000000003</v>
      </c>
      <c r="V23" s="39">
        <v>0.71399999999999997</v>
      </c>
      <c r="W23" s="39">
        <v>0.109</v>
      </c>
      <c r="X23" s="39">
        <v>2.1800000000000002</v>
      </c>
      <c r="Z23" s="39">
        <v>7.3999999999999996E-2</v>
      </c>
      <c r="AA23" s="39"/>
      <c r="AB23" s="39"/>
      <c r="AC23" s="39"/>
      <c r="AD23" s="70"/>
      <c r="AE23" s="42">
        <f t="shared" si="0"/>
        <v>0.51099682678630054</v>
      </c>
      <c r="AF23" s="42">
        <f t="shared" si="1"/>
        <v>0.28777765619870882</v>
      </c>
      <c r="AG23" s="42">
        <f t="shared" si="2"/>
        <v>5.1318525002735531E-2</v>
      </c>
      <c r="AH23" s="42">
        <f t="shared" si="3"/>
        <v>7.5062917168180324E-2</v>
      </c>
      <c r="AI23" s="42">
        <f t="shared" si="4"/>
        <v>5.0552576868366346E-2</v>
      </c>
      <c r="AJ23" s="42">
        <f t="shared" si="5"/>
        <v>2.4291497975708502E-2</v>
      </c>
      <c r="AL23">
        <f t="shared" si="6"/>
        <v>0.94797004335829715</v>
      </c>
      <c r="AM23" s="223">
        <v>153</v>
      </c>
    </row>
    <row r="24" spans="1:39">
      <c r="A24" s="3">
        <f t="shared" si="7"/>
        <v>23</v>
      </c>
      <c r="B24" t="s">
        <v>1280</v>
      </c>
      <c r="C24">
        <v>1</v>
      </c>
      <c r="D24" t="s">
        <v>1242</v>
      </c>
      <c r="E24" t="s">
        <v>1440</v>
      </c>
      <c r="J24" s="12" t="s">
        <v>1263</v>
      </c>
      <c r="K24">
        <v>30.31</v>
      </c>
      <c r="L24" s="39">
        <v>23.05</v>
      </c>
      <c r="M24">
        <v>10.02</v>
      </c>
      <c r="N24">
        <v>13.03</v>
      </c>
      <c r="O24">
        <v>1.94</v>
      </c>
      <c r="P24" s="39">
        <v>2.83</v>
      </c>
      <c r="Q24">
        <v>0.94</v>
      </c>
      <c r="R24">
        <v>1.96</v>
      </c>
      <c r="S24">
        <v>1.07</v>
      </c>
      <c r="T24" s="39">
        <v>0.18</v>
      </c>
      <c r="U24">
        <v>0.68</v>
      </c>
      <c r="V24" s="39">
        <v>0.73</v>
      </c>
      <c r="AE24" s="42">
        <f t="shared" si="0"/>
        <v>0.37336782458733681</v>
      </c>
      <c r="AF24" s="42">
        <f t="shared" si="1"/>
        <v>0.28393693027839373</v>
      </c>
      <c r="AG24" s="42">
        <f t="shared" si="2"/>
        <v>0.12342941611234295</v>
      </c>
      <c r="AH24" s="42">
        <f t="shared" si="3"/>
        <v>0.16050751416605075</v>
      </c>
      <c r="AI24" s="42">
        <f t="shared" si="4"/>
        <v>2.3897511702389754E-2</v>
      </c>
      <c r="AJ24" s="42">
        <f t="shared" si="5"/>
        <v>3.4860803153486088E-2</v>
      </c>
      <c r="AL24">
        <f t="shared" si="6"/>
        <v>0.93590039197602026</v>
      </c>
      <c r="AM24" s="12">
        <v>154</v>
      </c>
    </row>
    <row r="25" spans="1:39">
      <c r="A25" s="3">
        <f t="shared" si="7"/>
        <v>24</v>
      </c>
      <c r="B25" t="s">
        <v>1280</v>
      </c>
      <c r="C25">
        <v>1</v>
      </c>
      <c r="D25" t="s">
        <v>1242</v>
      </c>
      <c r="E25" t="s">
        <v>1440</v>
      </c>
      <c r="J25" s="12" t="s">
        <v>1263</v>
      </c>
      <c r="K25">
        <v>47.4</v>
      </c>
      <c r="L25">
        <v>18.8</v>
      </c>
      <c r="M25">
        <v>4.38</v>
      </c>
      <c r="N25">
        <v>9.9499999999999993</v>
      </c>
      <c r="O25">
        <v>4.53</v>
      </c>
      <c r="P25">
        <v>2.91</v>
      </c>
      <c r="Q25">
        <v>0.98</v>
      </c>
      <c r="R25">
        <v>1.26</v>
      </c>
      <c r="S25">
        <v>0.75</v>
      </c>
      <c r="T25">
        <v>0.11</v>
      </c>
      <c r="U25">
        <v>0.47</v>
      </c>
      <c r="V25">
        <v>0.34</v>
      </c>
      <c r="Z25" s="39"/>
      <c r="AA25" s="39"/>
      <c r="AB25" s="39"/>
      <c r="AC25" s="39"/>
      <c r="AD25" s="70"/>
      <c r="AE25" s="42">
        <f t="shared" si="0"/>
        <v>0.53882005229055363</v>
      </c>
      <c r="AF25" s="42">
        <f t="shared" si="1"/>
        <v>0.21370921905194953</v>
      </c>
      <c r="AG25" s="42">
        <f t="shared" si="2"/>
        <v>4.9789701034443558E-2</v>
      </c>
      <c r="AH25" s="42">
        <f t="shared" si="3"/>
        <v>0.11310674093440945</v>
      </c>
      <c r="AI25" s="42">
        <f t="shared" si="4"/>
        <v>5.149482778219848E-2</v>
      </c>
      <c r="AJ25" s="42">
        <f t="shared" si="5"/>
        <v>3.3079458906445383E-2</v>
      </c>
      <c r="AL25">
        <f t="shared" si="6"/>
        <v>0.9574444928167174</v>
      </c>
      <c r="AM25" s="12">
        <v>154</v>
      </c>
    </row>
    <row r="26" spans="1:39">
      <c r="A26" s="3">
        <f t="shared" si="7"/>
        <v>25</v>
      </c>
      <c r="B26" t="s">
        <v>1280</v>
      </c>
      <c r="C26">
        <v>1</v>
      </c>
      <c r="D26" t="s">
        <v>1242</v>
      </c>
      <c r="E26" t="s">
        <v>1440</v>
      </c>
      <c r="J26" s="72" t="s">
        <v>1264</v>
      </c>
      <c r="K26" s="39">
        <v>40.9</v>
      </c>
      <c r="L26" s="39">
        <v>12.2</v>
      </c>
      <c r="M26" s="39">
        <v>5.7</v>
      </c>
      <c r="N26" s="39">
        <v>13.6</v>
      </c>
      <c r="O26" s="39">
        <v>10.9</v>
      </c>
      <c r="P26" s="39">
        <v>3.1</v>
      </c>
      <c r="Q26" s="39">
        <v>1.8</v>
      </c>
      <c r="S26" s="39">
        <v>1.2</v>
      </c>
      <c r="T26" s="39"/>
      <c r="U26" s="39"/>
      <c r="AE26" s="42">
        <f t="shared" si="0"/>
        <v>0.47337962962962959</v>
      </c>
      <c r="AF26" s="42">
        <f t="shared" si="1"/>
        <v>0.14120370370370369</v>
      </c>
      <c r="AG26" s="42">
        <f t="shared" si="2"/>
        <v>6.5972222222222224E-2</v>
      </c>
      <c r="AH26" s="42">
        <f t="shared" si="3"/>
        <v>0.15740740740740738</v>
      </c>
      <c r="AI26" s="42">
        <f t="shared" si="4"/>
        <v>0.12615740740740741</v>
      </c>
      <c r="AJ26" s="42">
        <f t="shared" si="5"/>
        <v>3.5879629629629629E-2</v>
      </c>
      <c r="AL26">
        <f t="shared" si="6"/>
        <v>0.96644295302013405</v>
      </c>
      <c r="AM26" s="12">
        <v>155</v>
      </c>
    </row>
    <row r="27" spans="1:39">
      <c r="A27" s="3">
        <f t="shared" si="7"/>
        <v>26</v>
      </c>
      <c r="B27" t="s">
        <v>1280</v>
      </c>
      <c r="C27">
        <v>1</v>
      </c>
      <c r="D27" t="s">
        <v>1242</v>
      </c>
      <c r="E27" t="s">
        <v>1440</v>
      </c>
      <c r="J27" s="12" t="s">
        <v>1265</v>
      </c>
      <c r="K27">
        <v>42.5</v>
      </c>
      <c r="L27">
        <v>16.399999999999999</v>
      </c>
      <c r="M27">
        <v>5.7</v>
      </c>
      <c r="N27">
        <v>17.600000000000001</v>
      </c>
      <c r="O27">
        <v>12.9</v>
      </c>
      <c r="P27">
        <v>2.2999999999999998</v>
      </c>
      <c r="Q27">
        <v>1.8</v>
      </c>
      <c r="S27">
        <v>2.5</v>
      </c>
      <c r="T27">
        <v>0.1</v>
      </c>
      <c r="U27">
        <v>0.2</v>
      </c>
      <c r="V27">
        <v>1.1000000000000001</v>
      </c>
      <c r="Z27">
        <v>0.04</v>
      </c>
      <c r="AE27" s="42">
        <f t="shared" si="0"/>
        <v>0.43634496919917853</v>
      </c>
      <c r="AF27" s="42">
        <f t="shared" si="1"/>
        <v>0.16837782340862417</v>
      </c>
      <c r="AG27" s="42">
        <f t="shared" si="2"/>
        <v>5.8521560574948658E-2</v>
      </c>
      <c r="AH27" s="42">
        <f t="shared" si="3"/>
        <v>0.18069815195071867</v>
      </c>
      <c r="AI27" s="42">
        <f t="shared" si="4"/>
        <v>0.13244353182751537</v>
      </c>
      <c r="AJ27" s="42">
        <f t="shared" si="5"/>
        <v>2.3613963039014366E-2</v>
      </c>
      <c r="AL27">
        <f t="shared" si="6"/>
        <v>0.94434748885010666</v>
      </c>
      <c r="AM27" s="12">
        <v>156</v>
      </c>
    </row>
    <row r="28" spans="1:39">
      <c r="A28" s="3">
        <f t="shared" si="7"/>
        <v>27</v>
      </c>
      <c r="B28" t="s">
        <v>1280</v>
      </c>
      <c r="C28">
        <v>1</v>
      </c>
      <c r="D28" t="s">
        <v>1242</v>
      </c>
      <c r="E28" t="s">
        <v>1440</v>
      </c>
      <c r="J28" s="12" t="s">
        <v>1266</v>
      </c>
      <c r="K28">
        <v>40.85</v>
      </c>
      <c r="L28">
        <v>12.2</v>
      </c>
      <c r="M28">
        <v>5.7</v>
      </c>
      <c r="N28">
        <v>13.6</v>
      </c>
      <c r="O28">
        <v>10.9</v>
      </c>
      <c r="P28">
        <v>3.1</v>
      </c>
      <c r="Q28">
        <v>1.8</v>
      </c>
      <c r="S28">
        <v>1.2</v>
      </c>
      <c r="T28">
        <v>0.1</v>
      </c>
      <c r="U28">
        <v>0.2</v>
      </c>
      <c r="V28">
        <v>0.4</v>
      </c>
      <c r="Z28">
        <v>7.0000000000000007E-2</v>
      </c>
      <c r="AE28" s="42">
        <f t="shared" si="0"/>
        <v>0.47307469600463226</v>
      </c>
      <c r="AF28" s="42">
        <f t="shared" si="1"/>
        <v>0.14128546612623044</v>
      </c>
      <c r="AG28" s="42">
        <f t="shared" si="2"/>
        <v>6.6010422698320789E-2</v>
      </c>
      <c r="AH28" s="42">
        <f t="shared" si="3"/>
        <v>0.15749855240301097</v>
      </c>
      <c r="AI28" s="42">
        <f t="shared" si="4"/>
        <v>0.12623045744064851</v>
      </c>
      <c r="AJ28" s="42">
        <f t="shared" si="5"/>
        <v>3.5900405327156916E-2</v>
      </c>
      <c r="AL28">
        <f t="shared" si="6"/>
        <v>0.95816688859298704</v>
      </c>
      <c r="AM28" s="12">
        <v>156</v>
      </c>
    </row>
    <row r="29" spans="1:39">
      <c r="A29" s="3">
        <f t="shared" si="7"/>
        <v>28</v>
      </c>
      <c r="B29" t="s">
        <v>1280</v>
      </c>
      <c r="C29">
        <v>1</v>
      </c>
      <c r="D29" t="s">
        <v>1242</v>
      </c>
      <c r="E29" t="s">
        <v>1440</v>
      </c>
      <c r="J29" s="72" t="s">
        <v>1270</v>
      </c>
      <c r="K29" s="39">
        <v>45.13</v>
      </c>
      <c r="L29" s="39">
        <v>18.78</v>
      </c>
      <c r="M29" s="39">
        <v>3.84</v>
      </c>
      <c r="N29" s="39">
        <v>9.73</v>
      </c>
      <c r="O29" s="39">
        <v>4.6399999999999997</v>
      </c>
      <c r="P29" s="39">
        <v>2.2000000000000002</v>
      </c>
      <c r="Q29" s="39">
        <v>1.29</v>
      </c>
      <c r="S29" s="39">
        <v>0.93</v>
      </c>
      <c r="T29" s="39"/>
      <c r="AE29" s="42">
        <f t="shared" si="0"/>
        <v>0.5352229601518026</v>
      </c>
      <c r="AF29" s="42">
        <f t="shared" si="1"/>
        <v>0.22272296015180265</v>
      </c>
      <c r="AG29" s="42">
        <f t="shared" si="2"/>
        <v>4.5540796963946861E-2</v>
      </c>
      <c r="AH29" s="42">
        <f t="shared" si="3"/>
        <v>0.11539373814041745</v>
      </c>
      <c r="AI29" s="42">
        <f t="shared" si="4"/>
        <v>5.5028462998102455E-2</v>
      </c>
      <c r="AJ29" s="42">
        <f t="shared" si="5"/>
        <v>2.6091081593927895E-2</v>
      </c>
      <c r="AL29">
        <f t="shared" si="6"/>
        <v>0.9743471227178182</v>
      </c>
      <c r="AM29" s="12">
        <v>157</v>
      </c>
    </row>
    <row r="30" spans="1:39">
      <c r="A30" s="3">
        <f t="shared" si="7"/>
        <v>29</v>
      </c>
      <c r="B30" t="s">
        <v>1280</v>
      </c>
      <c r="C30">
        <v>1</v>
      </c>
      <c r="D30" t="s">
        <v>1242</v>
      </c>
      <c r="E30" t="s">
        <v>1440</v>
      </c>
      <c r="F30" s="12" t="s">
        <v>1274</v>
      </c>
      <c r="G30" s="8">
        <v>1.7649999999999999</v>
      </c>
      <c r="J30" s="12" t="s">
        <v>1271</v>
      </c>
      <c r="K30">
        <v>27.56</v>
      </c>
      <c r="L30" s="39">
        <v>27.23</v>
      </c>
      <c r="M30">
        <v>12.48</v>
      </c>
      <c r="N30">
        <v>9.64</v>
      </c>
      <c r="O30">
        <v>1.95</v>
      </c>
      <c r="P30">
        <v>3.12</v>
      </c>
      <c r="Q30">
        <v>1.26</v>
      </c>
      <c r="R30">
        <v>3.13</v>
      </c>
      <c r="S30">
        <v>0.91</v>
      </c>
      <c r="T30">
        <v>0.13400000000000001</v>
      </c>
      <c r="U30">
        <v>0.16400000000000001</v>
      </c>
      <c r="V30">
        <v>0.46300000000000002</v>
      </c>
      <c r="X30">
        <v>2.31</v>
      </c>
      <c r="Y30">
        <v>0.46100000000000002</v>
      </c>
      <c r="AE30" s="42">
        <f t="shared" si="0"/>
        <v>0.33617955598926563</v>
      </c>
      <c r="AF30" s="42">
        <f t="shared" si="1"/>
        <v>0.33215418394730423</v>
      </c>
      <c r="AG30" s="42">
        <f t="shared" si="2"/>
        <v>0.15223225176872407</v>
      </c>
      <c r="AH30" s="42">
        <f t="shared" si="3"/>
        <v>0.11758965601366186</v>
      </c>
      <c r="AI30" s="42">
        <f t="shared" si="4"/>
        <v>2.3786289338863134E-2</v>
      </c>
      <c r="AJ30" s="42">
        <f t="shared" si="5"/>
        <v>3.8058062942181017E-2</v>
      </c>
      <c r="AL30">
        <f t="shared" si="6"/>
        <v>0.90274413073162141</v>
      </c>
      <c r="AM30" s="12">
        <v>158</v>
      </c>
    </row>
    <row r="31" spans="1:39">
      <c r="A31" s="3">
        <f t="shared" si="7"/>
        <v>30</v>
      </c>
      <c r="B31" t="s">
        <v>1280</v>
      </c>
      <c r="C31">
        <v>1</v>
      </c>
      <c r="D31" t="s">
        <v>1242</v>
      </c>
      <c r="E31" t="s">
        <v>1440</v>
      </c>
      <c r="F31" s="12" t="s">
        <v>1274</v>
      </c>
      <c r="G31" s="8">
        <v>1.331</v>
      </c>
      <c r="J31" s="12" t="s">
        <v>1267</v>
      </c>
      <c r="K31">
        <v>27.87</v>
      </c>
      <c r="L31" s="39">
        <v>27.55</v>
      </c>
      <c r="M31">
        <v>10.64</v>
      </c>
      <c r="N31">
        <v>10.52</v>
      </c>
      <c r="O31">
        <v>2.2999999999999998</v>
      </c>
      <c r="P31">
        <v>3.16</v>
      </c>
      <c r="Q31">
        <v>1.53</v>
      </c>
      <c r="R31">
        <v>3.07</v>
      </c>
      <c r="S31">
        <v>0.86799999999999999</v>
      </c>
      <c r="T31">
        <v>0.112</v>
      </c>
      <c r="U31">
        <v>0.217</v>
      </c>
      <c r="V31">
        <v>0.52100000000000002</v>
      </c>
      <c r="X31">
        <v>2.69</v>
      </c>
      <c r="Y31">
        <v>0.64300000000000002</v>
      </c>
      <c r="AE31" s="42">
        <f t="shared" si="0"/>
        <v>0.33971233544612389</v>
      </c>
      <c r="AF31" s="42">
        <f t="shared" si="1"/>
        <v>0.33581179912237935</v>
      </c>
      <c r="AG31" s="42">
        <f t="shared" si="2"/>
        <v>0.12969283276450513</v>
      </c>
      <c r="AH31" s="42">
        <f t="shared" si="3"/>
        <v>0.12823013164310093</v>
      </c>
      <c r="AI31" s="42">
        <f t="shared" si="4"/>
        <v>2.8035104826913702E-2</v>
      </c>
      <c r="AJ31" s="42">
        <f t="shared" si="5"/>
        <v>3.8517796196977087E-2</v>
      </c>
      <c r="AL31">
        <f t="shared" si="6"/>
        <v>0.89474430423923845</v>
      </c>
      <c r="AM31" s="12">
        <v>158</v>
      </c>
    </row>
    <row r="32" spans="1:39">
      <c r="A32" s="3">
        <f t="shared" si="7"/>
        <v>31</v>
      </c>
      <c r="B32" t="s">
        <v>1280</v>
      </c>
      <c r="C32">
        <v>1</v>
      </c>
      <c r="D32" t="s">
        <v>1242</v>
      </c>
      <c r="E32" t="s">
        <v>1440</v>
      </c>
      <c r="F32" s="12" t="s">
        <v>1274</v>
      </c>
      <c r="G32" s="8">
        <v>1.7689999999999999</v>
      </c>
      <c r="J32" s="12" t="s">
        <v>1278</v>
      </c>
      <c r="K32">
        <v>34.35</v>
      </c>
      <c r="L32">
        <v>21.16</v>
      </c>
      <c r="M32">
        <v>16.66</v>
      </c>
      <c r="N32">
        <v>10.029999999999999</v>
      </c>
      <c r="O32">
        <v>3.66</v>
      </c>
      <c r="P32">
        <v>3.42</v>
      </c>
      <c r="Q32">
        <v>1.5</v>
      </c>
      <c r="R32">
        <v>2.58</v>
      </c>
      <c r="S32">
        <v>0.79600000000000004</v>
      </c>
      <c r="T32">
        <v>0.11700000000000001</v>
      </c>
      <c r="U32">
        <v>0.24</v>
      </c>
      <c r="V32">
        <v>0.33300000000000002</v>
      </c>
      <c r="X32">
        <v>1.1299999999999999</v>
      </c>
      <c r="Y32">
        <v>0.192</v>
      </c>
      <c r="AE32" s="42">
        <f t="shared" si="0"/>
        <v>0.384744623655914</v>
      </c>
      <c r="AF32" s="42">
        <f t="shared" si="1"/>
        <v>0.23700716845878136</v>
      </c>
      <c r="AG32" s="42">
        <f t="shared" si="2"/>
        <v>0.18660394265232974</v>
      </c>
      <c r="AH32" s="42">
        <f t="shared" si="3"/>
        <v>0.11234318996415769</v>
      </c>
      <c r="AI32" s="42">
        <f t="shared" si="4"/>
        <v>4.0994623655913977E-2</v>
      </c>
      <c r="AJ32" s="42">
        <f t="shared" si="5"/>
        <v>3.8306451612903226E-2</v>
      </c>
      <c r="AL32">
        <f t="shared" si="6"/>
        <v>0.92837534314948844</v>
      </c>
      <c r="AM32" s="12">
        <v>158</v>
      </c>
    </row>
    <row r="33" spans="1:39">
      <c r="A33" s="3">
        <f t="shared" si="7"/>
        <v>32</v>
      </c>
      <c r="B33" t="s">
        <v>1280</v>
      </c>
      <c r="C33">
        <v>1</v>
      </c>
      <c r="D33" t="s">
        <v>1242</v>
      </c>
      <c r="E33" t="s">
        <v>1440</v>
      </c>
      <c r="F33" s="12" t="s">
        <v>1274</v>
      </c>
      <c r="G33" s="8">
        <v>2.343</v>
      </c>
      <c r="J33" s="12" t="s">
        <v>1268</v>
      </c>
      <c r="K33">
        <v>49.33</v>
      </c>
      <c r="L33">
        <v>15.82</v>
      </c>
      <c r="M33">
        <v>10.45</v>
      </c>
      <c r="N33">
        <v>9.4700000000000006</v>
      </c>
      <c r="O33">
        <v>8.2799999999999994</v>
      </c>
      <c r="P33">
        <v>2.2799999999999998</v>
      </c>
      <c r="Q33">
        <v>1.1399999999999999</v>
      </c>
      <c r="R33">
        <v>1.36</v>
      </c>
      <c r="S33">
        <v>0.53400000000000003</v>
      </c>
      <c r="V33">
        <v>0.13300000000000001</v>
      </c>
      <c r="X33">
        <v>0.20300000000000001</v>
      </c>
      <c r="AE33" s="42">
        <f t="shared" si="0"/>
        <v>0.51584230889888116</v>
      </c>
      <c r="AF33" s="42">
        <f t="shared" si="1"/>
        <v>0.16542925860085747</v>
      </c>
      <c r="AG33" s="42">
        <f t="shared" si="2"/>
        <v>0.10927533200878385</v>
      </c>
      <c r="AH33" s="42">
        <f t="shared" si="3"/>
        <v>9.902750182996968E-2</v>
      </c>
      <c r="AI33" s="42">
        <f t="shared" si="4"/>
        <v>8.6583708041409593E-2</v>
      </c>
      <c r="AJ33" s="42">
        <f t="shared" si="5"/>
        <v>2.3841890620098293E-2</v>
      </c>
      <c r="AL33">
        <f t="shared" si="6"/>
        <v>0.96595959595959591</v>
      </c>
      <c r="AM33" s="12">
        <v>158</v>
      </c>
    </row>
    <row r="34" spans="1:39">
      <c r="A34" s="3">
        <f t="shared" si="7"/>
        <v>33</v>
      </c>
      <c r="B34" t="s">
        <v>1280</v>
      </c>
      <c r="C34">
        <v>1</v>
      </c>
      <c r="D34" t="s">
        <v>1242</v>
      </c>
      <c r="E34" t="s">
        <v>1440</v>
      </c>
      <c r="F34" s="12" t="s">
        <v>1274</v>
      </c>
      <c r="G34" s="8">
        <v>2.1829999999999998</v>
      </c>
      <c r="J34" s="12" t="s">
        <v>1269</v>
      </c>
      <c r="K34">
        <v>47.78</v>
      </c>
      <c r="L34">
        <v>17.04</v>
      </c>
      <c r="M34">
        <v>11.01</v>
      </c>
      <c r="N34">
        <v>7.86</v>
      </c>
      <c r="O34">
        <v>7.37</v>
      </c>
      <c r="P34">
        <v>2.97</v>
      </c>
      <c r="Q34">
        <v>1.21</v>
      </c>
      <c r="R34">
        <v>1.83</v>
      </c>
      <c r="S34">
        <v>0.39</v>
      </c>
      <c r="U34">
        <v>0.126</v>
      </c>
      <c r="V34">
        <v>0.13400000000000001</v>
      </c>
      <c r="X34">
        <v>0.36099999999999999</v>
      </c>
      <c r="AE34" s="42">
        <f t="shared" si="0"/>
        <v>0.50813570137190256</v>
      </c>
      <c r="AF34" s="42">
        <f t="shared" si="1"/>
        <v>0.18121875997022227</v>
      </c>
      <c r="AG34" s="42">
        <f t="shared" si="2"/>
        <v>0.11709029033287248</v>
      </c>
      <c r="AH34" s="42">
        <f t="shared" si="3"/>
        <v>8.3590343507391265E-2</v>
      </c>
      <c r="AI34" s="42">
        <f t="shared" si="4"/>
        <v>7.8379240667871955E-2</v>
      </c>
      <c r="AJ34" s="42">
        <f t="shared" si="5"/>
        <v>3.1585664149739449E-2</v>
      </c>
      <c r="AL34">
        <f t="shared" si="6"/>
        <v>0.95869740316677032</v>
      </c>
      <c r="AM34" s="12">
        <v>158</v>
      </c>
    </row>
    <row r="35" spans="1:39">
      <c r="A35" s="3">
        <f t="shared" si="7"/>
        <v>34</v>
      </c>
      <c r="B35" t="s">
        <v>1280</v>
      </c>
      <c r="C35">
        <v>1</v>
      </c>
      <c r="D35" t="s">
        <v>1242</v>
      </c>
      <c r="E35" t="s">
        <v>1440</v>
      </c>
      <c r="F35" s="12" t="s">
        <v>1274</v>
      </c>
      <c r="G35" s="8">
        <v>2.052</v>
      </c>
      <c r="J35" s="12" t="s">
        <v>1272</v>
      </c>
      <c r="K35">
        <v>55.36</v>
      </c>
      <c r="L35">
        <v>13.25</v>
      </c>
      <c r="M35">
        <v>8.4499999999999993</v>
      </c>
      <c r="N35">
        <v>5.0599999999999996</v>
      </c>
      <c r="O35">
        <v>8.83</v>
      </c>
      <c r="P35">
        <v>1.87</v>
      </c>
      <c r="Q35">
        <v>1.18</v>
      </c>
      <c r="R35">
        <v>0.41199999999999998</v>
      </c>
      <c r="S35">
        <v>0.17</v>
      </c>
      <c r="U35">
        <v>0.23899999999999999</v>
      </c>
      <c r="X35">
        <v>0.13800000000000001</v>
      </c>
      <c r="AE35" s="42">
        <f t="shared" si="0"/>
        <v>0.59642318465847877</v>
      </c>
      <c r="AF35" s="42">
        <f t="shared" si="1"/>
        <v>0.1427494074552898</v>
      </c>
      <c r="AG35" s="42">
        <f t="shared" si="2"/>
        <v>9.1036414565826312E-2</v>
      </c>
      <c r="AH35" s="42">
        <f t="shared" si="3"/>
        <v>5.4514113337642743E-2</v>
      </c>
      <c r="AI35" s="42">
        <f t="shared" si="4"/>
        <v>9.5130359836242184E-2</v>
      </c>
      <c r="AJ35" s="42">
        <f t="shared" si="5"/>
        <v>2.0146520146520144E-2</v>
      </c>
      <c r="AL35">
        <f t="shared" si="6"/>
        <v>0.9774744889899849</v>
      </c>
      <c r="AM35" s="12">
        <v>158</v>
      </c>
    </row>
    <row r="36" spans="1:39">
      <c r="A36" s="3">
        <f t="shared" si="7"/>
        <v>35</v>
      </c>
      <c r="B36" t="s">
        <v>1280</v>
      </c>
      <c r="C36">
        <v>1</v>
      </c>
      <c r="D36" t="s">
        <v>1242</v>
      </c>
      <c r="E36" t="s">
        <v>1440</v>
      </c>
      <c r="G36" s="8">
        <v>2.74</v>
      </c>
      <c r="J36" s="12" t="s">
        <v>1275</v>
      </c>
      <c r="K36" s="39">
        <v>35.979999999999997</v>
      </c>
      <c r="L36" s="39">
        <v>19.34</v>
      </c>
      <c r="M36" s="39">
        <v>11.54</v>
      </c>
      <c r="N36" s="39">
        <v>9</v>
      </c>
      <c r="O36" s="39">
        <v>1.35</v>
      </c>
      <c r="P36" s="39">
        <v>1.81</v>
      </c>
      <c r="Q36" s="39">
        <v>1.1499999999999999</v>
      </c>
      <c r="R36" s="39">
        <v>1.02</v>
      </c>
      <c r="S36" s="39">
        <v>1.1100000000000001</v>
      </c>
      <c r="T36" s="39">
        <v>0.16</v>
      </c>
      <c r="U36" s="39">
        <v>0.43</v>
      </c>
      <c r="V36" s="39">
        <v>0.8</v>
      </c>
      <c r="X36" s="39">
        <v>4.95</v>
      </c>
      <c r="Y36" s="39">
        <v>0.66</v>
      </c>
      <c r="AE36" s="42">
        <f t="shared" si="0"/>
        <v>0.45532776512275369</v>
      </c>
      <c r="AF36" s="42">
        <f t="shared" si="1"/>
        <v>0.24474816502151356</v>
      </c>
      <c r="AG36" s="42">
        <f t="shared" si="2"/>
        <v>0.1460389774740572</v>
      </c>
      <c r="AH36" s="42">
        <f t="shared" si="3"/>
        <v>0.11389521640091117</v>
      </c>
      <c r="AI36" s="42">
        <f t="shared" si="4"/>
        <v>1.7084282460136675E-2</v>
      </c>
      <c r="AJ36" s="42">
        <f t="shared" si="5"/>
        <v>2.2905593520627692E-2</v>
      </c>
      <c r="AL36">
        <f t="shared" si="6"/>
        <v>0.88488241881299001</v>
      </c>
      <c r="AM36" s="223">
        <v>159</v>
      </c>
    </row>
    <row r="37" spans="1:39">
      <c r="A37" s="3">
        <f t="shared" si="7"/>
        <v>36</v>
      </c>
      <c r="B37" t="s">
        <v>1280</v>
      </c>
      <c r="C37">
        <v>1</v>
      </c>
      <c r="D37" t="s">
        <v>1242</v>
      </c>
      <c r="E37" t="s">
        <v>1440</v>
      </c>
      <c r="J37" s="12" t="s">
        <v>1276</v>
      </c>
      <c r="K37" s="39">
        <v>33.700000000000003</v>
      </c>
      <c r="L37" s="39">
        <v>35</v>
      </c>
      <c r="M37" s="39">
        <v>5.37</v>
      </c>
      <c r="N37" s="39">
        <v>13.31</v>
      </c>
      <c r="O37" s="39">
        <v>2.27</v>
      </c>
      <c r="P37" s="39">
        <v>4.62</v>
      </c>
      <c r="Q37" s="39">
        <v>1.66</v>
      </c>
      <c r="S37" s="39">
        <v>1.52</v>
      </c>
      <c r="T37" s="39">
        <v>0.14000000000000001</v>
      </c>
      <c r="U37" s="39">
        <v>0.11</v>
      </c>
      <c r="V37" s="39">
        <v>0.27</v>
      </c>
      <c r="AE37" s="42">
        <f t="shared" si="0"/>
        <v>0.35748382306141935</v>
      </c>
      <c r="AF37" s="42">
        <f t="shared" si="1"/>
        <v>0.37127400021215656</v>
      </c>
      <c r="AG37" s="42">
        <f t="shared" si="2"/>
        <v>5.6964039461122315E-2</v>
      </c>
      <c r="AH37" s="42">
        <f t="shared" si="3"/>
        <v>0.1411901983663944</v>
      </c>
      <c r="AI37" s="42">
        <f t="shared" si="4"/>
        <v>2.4079770870902729E-2</v>
      </c>
      <c r="AJ37" s="42">
        <f t="shared" si="5"/>
        <v>4.9008168028004673E-2</v>
      </c>
      <c r="AL37">
        <f t="shared" si="6"/>
        <v>0.96223333673573552</v>
      </c>
      <c r="AM37" s="12">
        <v>160</v>
      </c>
    </row>
    <row r="38" spans="1:39">
      <c r="A38" s="3">
        <f t="shared" si="7"/>
        <v>37</v>
      </c>
      <c r="B38" t="s">
        <v>1280</v>
      </c>
      <c r="C38">
        <v>1</v>
      </c>
      <c r="D38" t="s">
        <v>1242</v>
      </c>
      <c r="E38" t="s">
        <v>1440</v>
      </c>
      <c r="F38" s="72"/>
      <c r="J38" s="12" t="s">
        <v>1277</v>
      </c>
      <c r="K38" s="39">
        <v>41.1</v>
      </c>
      <c r="L38" s="39">
        <v>19.2</v>
      </c>
      <c r="M38" s="39">
        <v>12.06</v>
      </c>
      <c r="N38" s="39">
        <v>6.4</v>
      </c>
      <c r="O38" s="39">
        <v>2.68</v>
      </c>
      <c r="P38" s="39">
        <v>1.85</v>
      </c>
      <c r="Q38" s="39">
        <v>0.89</v>
      </c>
      <c r="R38" s="39">
        <v>1.39</v>
      </c>
      <c r="S38" s="39">
        <v>1.07</v>
      </c>
      <c r="T38" s="39">
        <v>0.08</v>
      </c>
      <c r="V38" s="39"/>
      <c r="Y38" s="39"/>
      <c r="AE38" s="42">
        <f t="shared" si="0"/>
        <v>0.49345659743066395</v>
      </c>
      <c r="AF38" s="42">
        <f t="shared" si="1"/>
        <v>0.2305198703325729</v>
      </c>
      <c r="AG38" s="42">
        <f t="shared" si="2"/>
        <v>0.14479529355264736</v>
      </c>
      <c r="AH38" s="42">
        <f t="shared" si="3"/>
        <v>7.683995677752431E-2</v>
      </c>
      <c r="AI38" s="42">
        <f t="shared" si="4"/>
        <v>3.2176731900588305E-2</v>
      </c>
      <c r="AJ38" s="42">
        <f t="shared" si="5"/>
        <v>2.2211550006003122E-2</v>
      </c>
      <c r="AL38">
        <f t="shared" si="6"/>
        <v>0.96044741697416969</v>
      </c>
      <c r="AM38" s="12">
        <v>161</v>
      </c>
    </row>
    <row r="39" spans="1:39">
      <c r="A39" s="3">
        <f t="shared" si="7"/>
        <v>38</v>
      </c>
      <c r="B39" t="s">
        <v>1280</v>
      </c>
      <c r="C39">
        <v>1</v>
      </c>
      <c r="D39" t="s">
        <v>1242</v>
      </c>
      <c r="E39" t="s">
        <v>1440</v>
      </c>
      <c r="G39" s="65"/>
      <c r="H39" s="39"/>
      <c r="J39" s="12" t="s">
        <v>1281</v>
      </c>
      <c r="K39" s="39">
        <v>30.37</v>
      </c>
      <c r="L39" s="39">
        <v>26.8</v>
      </c>
      <c r="M39" s="39">
        <v>13.05</v>
      </c>
      <c r="N39" s="39">
        <v>11.5</v>
      </c>
      <c r="O39" s="39">
        <v>3.32</v>
      </c>
      <c r="P39" s="39">
        <v>2.64</v>
      </c>
      <c r="Q39" s="39">
        <v>1.33</v>
      </c>
      <c r="R39" s="39">
        <v>2.1800000000000002</v>
      </c>
      <c r="S39" s="39">
        <v>1.39</v>
      </c>
      <c r="T39" s="39">
        <v>0.31</v>
      </c>
      <c r="V39" s="39"/>
      <c r="X39" s="39">
        <v>3.05</v>
      </c>
      <c r="Y39" s="84"/>
      <c r="AE39" s="42">
        <f t="shared" si="0"/>
        <v>0.34637317518248179</v>
      </c>
      <c r="AF39" s="42">
        <f t="shared" si="1"/>
        <v>0.30565693430656937</v>
      </c>
      <c r="AG39" s="42">
        <f t="shared" si="2"/>
        <v>0.14883667883211682</v>
      </c>
      <c r="AH39" s="42">
        <f t="shared" si="3"/>
        <v>0.13115875912408761</v>
      </c>
      <c r="AI39" s="42">
        <f t="shared" si="4"/>
        <v>3.7864963503649637E-2</v>
      </c>
      <c r="AJ39" s="42">
        <f t="shared" si="5"/>
        <v>3.0109489051094895E-2</v>
      </c>
      <c r="AL39">
        <f t="shared" si="6"/>
        <v>0.91390452366062136</v>
      </c>
      <c r="AM39" s="12">
        <v>162</v>
      </c>
    </row>
    <row r="40" spans="1:39">
      <c r="A40" s="3">
        <f t="shared" si="7"/>
        <v>39</v>
      </c>
      <c r="B40" t="s">
        <v>1280</v>
      </c>
      <c r="C40">
        <v>1</v>
      </c>
      <c r="D40" t="s">
        <v>1242</v>
      </c>
      <c r="E40" t="s">
        <v>1440</v>
      </c>
      <c r="G40" s="8">
        <v>2.5</v>
      </c>
      <c r="J40" s="12" t="s">
        <v>1300</v>
      </c>
      <c r="K40" s="39">
        <v>48.26</v>
      </c>
      <c r="L40" s="39">
        <v>19.07</v>
      </c>
      <c r="M40" s="39">
        <v>4.4400000000000004</v>
      </c>
      <c r="N40" s="39">
        <v>4.04</v>
      </c>
      <c r="O40" s="39">
        <v>2.41</v>
      </c>
      <c r="P40" s="39">
        <v>1.1599999999999999</v>
      </c>
      <c r="Q40" s="39">
        <v>1.17</v>
      </c>
      <c r="X40">
        <v>1.06</v>
      </c>
      <c r="AE40" s="42">
        <f t="shared" si="0"/>
        <v>0.60796170319979848</v>
      </c>
      <c r="AF40" s="42">
        <f t="shared" si="1"/>
        <v>0.24023683547493074</v>
      </c>
      <c r="AG40" s="42">
        <f t="shared" si="2"/>
        <v>5.5933484504913082E-2</v>
      </c>
      <c r="AH40" s="42">
        <f t="shared" si="3"/>
        <v>5.0894431846812804E-2</v>
      </c>
      <c r="AI40" s="42">
        <f t="shared" si="4"/>
        <v>3.0360292265054174E-2</v>
      </c>
      <c r="AJ40" s="42">
        <f t="shared" si="5"/>
        <v>1.4613252708490804E-2</v>
      </c>
      <c r="AL40">
        <f t="shared" si="6"/>
        <v>0.9726749172895478</v>
      </c>
      <c r="AM40" s="12">
        <v>167</v>
      </c>
    </row>
    <row r="41" spans="1:39">
      <c r="A41" s="3">
        <f t="shared" si="7"/>
        <v>40</v>
      </c>
      <c r="B41" t="s">
        <v>1280</v>
      </c>
      <c r="C41">
        <v>1</v>
      </c>
      <c r="D41" t="s">
        <v>1242</v>
      </c>
      <c r="E41" t="s">
        <v>1440</v>
      </c>
      <c r="G41" s="8">
        <v>2.35</v>
      </c>
      <c r="J41" s="12" t="s">
        <v>1302</v>
      </c>
      <c r="K41" s="39">
        <v>37.86</v>
      </c>
      <c r="L41" s="39">
        <v>25.23</v>
      </c>
      <c r="M41">
        <v>1.1499999999999999</v>
      </c>
      <c r="N41">
        <v>5.58</v>
      </c>
      <c r="P41" s="39">
        <v>0.23</v>
      </c>
      <c r="AE41" s="42">
        <f t="shared" si="0"/>
        <v>0.54047109207708777</v>
      </c>
      <c r="AF41" s="42">
        <f t="shared" si="1"/>
        <v>0.36017130620985011</v>
      </c>
      <c r="AG41" s="42">
        <f t="shared" si="2"/>
        <v>1.6416845110635261E-2</v>
      </c>
      <c r="AH41" s="42">
        <f t="shared" si="3"/>
        <v>7.965738758029979E-2</v>
      </c>
      <c r="AI41" s="42">
        <f t="shared" si="4"/>
        <v>0</v>
      </c>
      <c r="AJ41" s="42">
        <f t="shared" si="5"/>
        <v>3.2833690221270523E-3</v>
      </c>
      <c r="AL41">
        <f t="shared" si="6"/>
        <v>1</v>
      </c>
      <c r="AM41" s="12">
        <v>168</v>
      </c>
    </row>
    <row r="42" spans="1:39">
      <c r="A42" s="3">
        <f t="shared" si="7"/>
        <v>41</v>
      </c>
      <c r="B42" t="s">
        <v>1280</v>
      </c>
      <c r="C42">
        <v>1</v>
      </c>
      <c r="D42" t="s">
        <v>1242</v>
      </c>
      <c r="E42" t="s">
        <v>1440</v>
      </c>
      <c r="G42" s="8">
        <v>2.5099999999999998</v>
      </c>
      <c r="J42" s="12" t="s">
        <v>1302</v>
      </c>
      <c r="K42" s="39">
        <v>15.8</v>
      </c>
      <c r="L42" s="39">
        <v>39.06</v>
      </c>
      <c r="M42" s="39">
        <v>1.6</v>
      </c>
      <c r="N42" s="39">
        <v>7.6</v>
      </c>
      <c r="P42">
        <v>0.15</v>
      </c>
      <c r="Q42" s="39"/>
      <c r="R42" s="39"/>
      <c r="S42" s="39"/>
      <c r="T42" s="39"/>
      <c r="U42" s="39"/>
      <c r="V42" s="39"/>
      <c r="W42" s="39"/>
      <c r="X42" s="39"/>
      <c r="Y42" s="83"/>
      <c r="AE42" s="42">
        <f t="shared" si="0"/>
        <v>0.2460675907179567</v>
      </c>
      <c r="AF42" s="42">
        <f t="shared" si="1"/>
        <v>0.60831646161034103</v>
      </c>
      <c r="AG42" s="42">
        <f t="shared" si="2"/>
        <v>2.4918237034729791E-2</v>
      </c>
      <c r="AH42" s="42">
        <f t="shared" si="3"/>
        <v>0.11836162591496649</v>
      </c>
      <c r="AI42" s="42">
        <f t="shared" si="4"/>
        <v>0</v>
      </c>
      <c r="AJ42" s="42">
        <f t="shared" si="5"/>
        <v>2.3360847220059177E-3</v>
      </c>
      <c r="AL42">
        <f t="shared" si="6"/>
        <v>1</v>
      </c>
      <c r="AM42" s="13">
        <v>168</v>
      </c>
    </row>
    <row r="43" spans="1:39" s="6" customFormat="1">
      <c r="A43" s="7">
        <f>A97+1</f>
        <v>49</v>
      </c>
      <c r="B43" s="6" t="s">
        <v>1280</v>
      </c>
      <c r="C43" s="6">
        <v>2</v>
      </c>
      <c r="D43" s="6" t="s">
        <v>1304</v>
      </c>
      <c r="E43" s="6" t="s">
        <v>1441</v>
      </c>
      <c r="F43" s="15"/>
      <c r="G43" s="5">
        <v>2.69</v>
      </c>
      <c r="I43" s="7">
        <v>0.73</v>
      </c>
      <c r="J43" s="15"/>
      <c r="AD43" s="7"/>
      <c r="AE43" s="43"/>
      <c r="AF43" s="43"/>
      <c r="AG43" s="43"/>
      <c r="AH43" s="43"/>
      <c r="AI43" s="43"/>
      <c r="AJ43" s="43"/>
      <c r="AM43" s="224">
        <v>208</v>
      </c>
    </row>
    <row r="44" spans="1:39">
      <c r="A44" s="3">
        <f t="shared" si="7"/>
        <v>50</v>
      </c>
      <c r="B44" t="s">
        <v>1280</v>
      </c>
      <c r="C44">
        <v>2</v>
      </c>
      <c r="D44" t="s">
        <v>1304</v>
      </c>
      <c r="E44" t="s">
        <v>1441</v>
      </c>
      <c r="G44" s="8">
        <v>2.1</v>
      </c>
      <c r="I44" s="3">
        <v>0.72</v>
      </c>
      <c r="AE44" s="42"/>
      <c r="AF44" s="42"/>
      <c r="AG44" s="42"/>
      <c r="AH44" s="42"/>
      <c r="AI44" s="42"/>
      <c r="AJ44" s="42"/>
      <c r="AM44" s="224">
        <v>208</v>
      </c>
    </row>
    <row r="45" spans="1:39">
      <c r="A45" s="3">
        <f t="shared" si="7"/>
        <v>51</v>
      </c>
      <c r="B45" t="s">
        <v>1280</v>
      </c>
      <c r="C45">
        <v>2</v>
      </c>
      <c r="D45" t="s">
        <v>1443</v>
      </c>
      <c r="E45" t="s">
        <v>1441</v>
      </c>
      <c r="G45" s="8">
        <v>2.4500000000000002</v>
      </c>
      <c r="K45">
        <v>47.6</v>
      </c>
      <c r="L45">
        <v>10.7</v>
      </c>
      <c r="M45">
        <v>7.42</v>
      </c>
      <c r="N45">
        <v>23.8</v>
      </c>
      <c r="O45">
        <v>2.16</v>
      </c>
      <c r="P45">
        <v>1.5</v>
      </c>
      <c r="Q45">
        <v>1.68</v>
      </c>
      <c r="R45">
        <v>1.1599999999999999</v>
      </c>
      <c r="X45">
        <v>0.76</v>
      </c>
      <c r="AE45" s="42">
        <f t="shared" ref="AE45:AE50" si="8">K45/(K45+M45+N45+L45+O45+P45)</f>
        <v>0.51083923588752944</v>
      </c>
      <c r="AF45" s="42">
        <f t="shared" ref="AF45:AF50" si="9">L45/(K45+M45+N45+L45+O45+P45)</f>
        <v>0.11483150890749086</v>
      </c>
      <c r="AG45" s="42">
        <f t="shared" ref="AG45:AG50" si="10">M45/(K45+M45+N45+L45+O45+P45)</f>
        <v>7.9630822064820764E-2</v>
      </c>
      <c r="AH45" s="42">
        <f t="shared" ref="AH45:AH50" si="11">N45/(K45+M45+N45+L45+O45+P45)</f>
        <v>0.25541961794376472</v>
      </c>
      <c r="AI45" s="42">
        <f t="shared" ref="AI45:AI50" si="12">O45/(K45+M45+N45+L45+O45+P45)</f>
        <v>2.31809401159047E-2</v>
      </c>
      <c r="AJ45" s="42">
        <f t="shared" ref="AJ45:AJ50" si="13">P45/(K45+M45+N45+L45+O45+P45)</f>
        <v>1.6097875080489373E-2</v>
      </c>
      <c r="AL45">
        <f t="shared" ref="AL45:AL50" si="14">(K45+L45+O45+M45+N45+P45)/SUM(K45:Z45)</f>
        <v>0.96280223186608793</v>
      </c>
      <c r="AM45" s="224">
        <v>217</v>
      </c>
    </row>
    <row r="46" spans="1:39">
      <c r="A46" s="3">
        <f t="shared" si="7"/>
        <v>52</v>
      </c>
      <c r="B46" t="s">
        <v>1280</v>
      </c>
      <c r="C46">
        <v>2</v>
      </c>
      <c r="D46" t="s">
        <v>1443</v>
      </c>
      <c r="E46" t="s">
        <v>1441</v>
      </c>
      <c r="G46" s="8">
        <v>1.74</v>
      </c>
      <c r="K46">
        <v>54.6</v>
      </c>
      <c r="L46">
        <v>1.4</v>
      </c>
      <c r="M46">
        <v>5.3</v>
      </c>
      <c r="N46">
        <v>28.8</v>
      </c>
      <c r="O46">
        <v>0.37</v>
      </c>
      <c r="P46">
        <v>1.89</v>
      </c>
      <c r="Q46">
        <v>3.72</v>
      </c>
      <c r="R46">
        <v>0.17</v>
      </c>
      <c r="S46">
        <v>1.03</v>
      </c>
      <c r="X46">
        <v>0</v>
      </c>
      <c r="AE46" s="42">
        <f t="shared" si="8"/>
        <v>0.59116500649631865</v>
      </c>
      <c r="AF46" s="42">
        <f t="shared" si="9"/>
        <v>1.5158077089649195E-2</v>
      </c>
      <c r="AG46" s="42">
        <f t="shared" si="10"/>
        <v>5.7384148982243387E-2</v>
      </c>
      <c r="AH46" s="42">
        <f t="shared" si="11"/>
        <v>0.31182330012992632</v>
      </c>
      <c r="AI46" s="42">
        <f t="shared" si="12"/>
        <v>4.0060632308358589E-3</v>
      </c>
      <c r="AJ46" s="42">
        <f t="shared" si="13"/>
        <v>2.0463404071026415E-2</v>
      </c>
      <c r="AL46">
        <f t="shared" si="14"/>
        <v>0.94942434210526316</v>
      </c>
      <c r="AM46" s="224">
        <v>217</v>
      </c>
    </row>
    <row r="47" spans="1:39">
      <c r="A47" s="3">
        <f t="shared" si="7"/>
        <v>53</v>
      </c>
      <c r="B47" t="s">
        <v>1280</v>
      </c>
      <c r="C47">
        <v>2</v>
      </c>
      <c r="D47" t="s">
        <v>1443</v>
      </c>
      <c r="E47" t="s">
        <v>1441</v>
      </c>
      <c r="K47">
        <v>54.28</v>
      </c>
      <c r="L47">
        <v>5</v>
      </c>
      <c r="M47">
        <v>8.8000000000000007</v>
      </c>
      <c r="N47">
        <v>23.58</v>
      </c>
      <c r="P47">
        <v>1.31</v>
      </c>
      <c r="Q47">
        <v>2</v>
      </c>
      <c r="S47">
        <v>1.48</v>
      </c>
      <c r="X47">
        <v>0.53</v>
      </c>
      <c r="AE47" s="42">
        <f t="shared" si="8"/>
        <v>0.58384425083360225</v>
      </c>
      <c r="AF47" s="42">
        <f t="shared" si="9"/>
        <v>5.378078950198989E-2</v>
      </c>
      <c r="AG47" s="42">
        <f t="shared" si="10"/>
        <v>9.4654189523502213E-2</v>
      </c>
      <c r="AH47" s="42">
        <f t="shared" si="11"/>
        <v>0.2536302032913843</v>
      </c>
      <c r="AI47" s="42">
        <f t="shared" si="12"/>
        <v>0</v>
      </c>
      <c r="AJ47" s="42">
        <f t="shared" si="13"/>
        <v>1.4090566849521351E-2</v>
      </c>
      <c r="AL47">
        <f t="shared" si="14"/>
        <v>0.95865126830274283</v>
      </c>
      <c r="AM47" s="224">
        <v>217</v>
      </c>
    </row>
    <row r="48" spans="1:39">
      <c r="A48" s="3">
        <f t="shared" si="7"/>
        <v>54</v>
      </c>
      <c r="B48" t="s">
        <v>1280</v>
      </c>
      <c r="C48">
        <v>2</v>
      </c>
      <c r="D48" t="s">
        <v>1443</v>
      </c>
      <c r="E48" t="s">
        <v>1442</v>
      </c>
      <c r="G48" s="8">
        <v>2.41</v>
      </c>
      <c r="K48">
        <v>52.5</v>
      </c>
      <c r="L48">
        <v>4.72</v>
      </c>
      <c r="M48">
        <v>8.3000000000000007</v>
      </c>
      <c r="N48">
        <v>17.649999999999999</v>
      </c>
      <c r="P48">
        <v>0.57999999999999996</v>
      </c>
      <c r="S48">
        <v>2.17</v>
      </c>
      <c r="X48">
        <v>0.84</v>
      </c>
      <c r="AE48" s="42">
        <f t="shared" si="8"/>
        <v>0.62686567164179119</v>
      </c>
      <c r="AF48" s="42">
        <f t="shared" si="9"/>
        <v>5.6358208955223886E-2</v>
      </c>
      <c r="AG48" s="42">
        <f t="shared" si="10"/>
        <v>9.9104477611940328E-2</v>
      </c>
      <c r="AH48" s="42">
        <f t="shared" si="11"/>
        <v>0.21074626865671645</v>
      </c>
      <c r="AI48" s="42">
        <f t="shared" si="12"/>
        <v>0</v>
      </c>
      <c r="AJ48" s="42">
        <f t="shared" si="13"/>
        <v>6.9253731343283586E-3</v>
      </c>
      <c r="AL48">
        <f t="shared" si="14"/>
        <v>0.9653065928999538</v>
      </c>
      <c r="AM48" s="224">
        <v>217</v>
      </c>
    </row>
    <row r="49" spans="1:39">
      <c r="A49" s="3">
        <f t="shared" si="7"/>
        <v>55</v>
      </c>
      <c r="B49" t="s">
        <v>1280</v>
      </c>
      <c r="C49">
        <v>2</v>
      </c>
      <c r="D49" t="s">
        <v>1443</v>
      </c>
      <c r="E49" t="s">
        <v>1442</v>
      </c>
      <c r="G49" s="8">
        <v>1.88</v>
      </c>
      <c r="K49">
        <v>45.3</v>
      </c>
      <c r="L49">
        <v>8.6999999999999993</v>
      </c>
      <c r="M49">
        <v>19.84</v>
      </c>
      <c r="N49">
        <v>18.100000000000001</v>
      </c>
      <c r="P49">
        <v>0.97</v>
      </c>
      <c r="Q49">
        <v>2.48</v>
      </c>
      <c r="R49">
        <v>0.35</v>
      </c>
      <c r="X49">
        <v>0.35</v>
      </c>
      <c r="AE49" s="42">
        <f t="shared" si="8"/>
        <v>0.48756861478850494</v>
      </c>
      <c r="AF49" s="42">
        <f t="shared" si="9"/>
        <v>9.3639005489183066E-2</v>
      </c>
      <c r="AG49" s="42">
        <f t="shared" si="10"/>
        <v>0.21353998493165427</v>
      </c>
      <c r="AH49" s="42">
        <f t="shared" si="11"/>
        <v>0.19481218383381765</v>
      </c>
      <c r="AI49" s="42">
        <f t="shared" si="12"/>
        <v>0</v>
      </c>
      <c r="AJ49" s="42">
        <f t="shared" si="13"/>
        <v>1.0440210956839951E-2</v>
      </c>
      <c r="AL49">
        <f t="shared" si="14"/>
        <v>0.96690602560099914</v>
      </c>
      <c r="AM49" s="224">
        <v>217</v>
      </c>
    </row>
    <row r="50" spans="1:39">
      <c r="A50" s="3">
        <f t="shared" si="7"/>
        <v>56</v>
      </c>
      <c r="B50" t="s">
        <v>1280</v>
      </c>
      <c r="C50">
        <v>2</v>
      </c>
      <c r="D50" t="s">
        <v>1443</v>
      </c>
      <c r="E50" t="s">
        <v>1442</v>
      </c>
      <c r="G50" s="8">
        <v>2.65</v>
      </c>
      <c r="K50">
        <v>52.4</v>
      </c>
      <c r="L50">
        <v>2.4</v>
      </c>
      <c r="M50">
        <v>6.6</v>
      </c>
      <c r="N50">
        <v>27.5</v>
      </c>
      <c r="O50">
        <v>0.36</v>
      </c>
      <c r="P50">
        <v>1.83</v>
      </c>
      <c r="Q50">
        <v>3.48</v>
      </c>
      <c r="R50">
        <v>0.12</v>
      </c>
      <c r="S50">
        <v>0.97</v>
      </c>
      <c r="X50">
        <v>0</v>
      </c>
      <c r="AE50" s="42">
        <f t="shared" si="8"/>
        <v>0.57525524206828405</v>
      </c>
      <c r="AF50" s="42">
        <f t="shared" si="9"/>
        <v>2.6347568339005378E-2</v>
      </c>
      <c r="AG50" s="42">
        <f t="shared" si="10"/>
        <v>7.2455812932264788E-2</v>
      </c>
      <c r="AH50" s="42">
        <f t="shared" si="11"/>
        <v>0.3018992205511033</v>
      </c>
      <c r="AI50" s="42">
        <f t="shared" si="12"/>
        <v>3.952135250850807E-3</v>
      </c>
      <c r="AJ50" s="42">
        <f t="shared" si="13"/>
        <v>2.0090020858491601E-2</v>
      </c>
      <c r="AL50">
        <f t="shared" si="14"/>
        <v>0.95222663600250868</v>
      </c>
      <c r="AM50" s="224">
        <v>217</v>
      </c>
    </row>
    <row r="51" spans="1:39">
      <c r="A51" s="3">
        <f t="shared" si="7"/>
        <v>57</v>
      </c>
      <c r="B51" t="s">
        <v>1280</v>
      </c>
      <c r="C51">
        <v>2</v>
      </c>
      <c r="D51" t="s">
        <v>1443</v>
      </c>
      <c r="E51" t="s">
        <v>1442</v>
      </c>
      <c r="G51" s="8">
        <v>1.75</v>
      </c>
      <c r="AE51" s="42"/>
      <c r="AF51" s="42"/>
      <c r="AG51" s="42"/>
      <c r="AH51" s="42"/>
      <c r="AI51" s="42"/>
      <c r="AJ51" s="42"/>
      <c r="AM51" s="224">
        <v>202</v>
      </c>
    </row>
    <row r="52" spans="1:39">
      <c r="A52" s="3">
        <f t="shared" si="7"/>
        <v>58</v>
      </c>
      <c r="B52" t="s">
        <v>1280</v>
      </c>
      <c r="C52">
        <v>2</v>
      </c>
      <c r="D52" t="s">
        <v>1443</v>
      </c>
      <c r="E52" t="s">
        <v>1442</v>
      </c>
      <c r="G52" s="8">
        <v>2.21</v>
      </c>
      <c r="AE52" s="42"/>
      <c r="AF52" s="42"/>
      <c r="AG52" s="42"/>
      <c r="AH52" s="42"/>
      <c r="AI52" s="42"/>
      <c r="AJ52" s="42"/>
      <c r="AM52" s="224">
        <v>199</v>
      </c>
    </row>
    <row r="53" spans="1:39">
      <c r="A53" s="3">
        <f t="shared" si="7"/>
        <v>59</v>
      </c>
      <c r="B53" t="s">
        <v>1280</v>
      </c>
      <c r="C53">
        <v>2</v>
      </c>
      <c r="D53" t="s">
        <v>1443</v>
      </c>
      <c r="E53" t="s">
        <v>1442</v>
      </c>
      <c r="G53" s="8">
        <v>2.08</v>
      </c>
      <c r="AE53" s="42"/>
      <c r="AF53" s="42"/>
      <c r="AG53" s="42"/>
      <c r="AH53" s="42"/>
      <c r="AI53" s="42"/>
      <c r="AJ53" s="42"/>
      <c r="AM53" s="224">
        <v>199</v>
      </c>
    </row>
    <row r="54" spans="1:39">
      <c r="A54" s="3">
        <f t="shared" si="7"/>
        <v>60</v>
      </c>
      <c r="B54" t="s">
        <v>1280</v>
      </c>
      <c r="C54">
        <v>2</v>
      </c>
      <c r="D54" t="s">
        <v>1443</v>
      </c>
      <c r="E54" t="s">
        <v>1442</v>
      </c>
      <c r="G54" s="8">
        <v>1.88</v>
      </c>
      <c r="AE54" s="42"/>
      <c r="AF54" s="42"/>
      <c r="AG54" s="42"/>
      <c r="AH54" s="42"/>
      <c r="AI54" s="42"/>
      <c r="AJ54" s="42"/>
      <c r="AM54" s="224">
        <v>199</v>
      </c>
    </row>
    <row r="55" spans="1:39">
      <c r="A55" s="3">
        <f t="shared" si="7"/>
        <v>61</v>
      </c>
      <c r="B55" t="s">
        <v>1280</v>
      </c>
      <c r="C55">
        <v>2</v>
      </c>
      <c r="D55" t="s">
        <v>1443</v>
      </c>
      <c r="E55" t="s">
        <v>1442</v>
      </c>
      <c r="G55" s="8">
        <v>1.87</v>
      </c>
      <c r="AE55" s="42"/>
      <c r="AF55" s="42"/>
      <c r="AG55" s="42"/>
      <c r="AH55" s="42"/>
      <c r="AI55" s="42"/>
      <c r="AJ55" s="42"/>
      <c r="AM55" s="224">
        <v>199</v>
      </c>
    </row>
    <row r="56" spans="1:39">
      <c r="A56" s="3">
        <f t="shared" si="7"/>
        <v>62</v>
      </c>
      <c r="B56" t="s">
        <v>1280</v>
      </c>
      <c r="C56">
        <v>2</v>
      </c>
      <c r="D56" t="s">
        <v>1443</v>
      </c>
      <c r="E56" t="s">
        <v>1442</v>
      </c>
      <c r="G56" s="8">
        <v>1.39</v>
      </c>
      <c r="AE56" s="42"/>
      <c r="AF56" s="42"/>
      <c r="AG56" s="42"/>
      <c r="AH56" s="42"/>
      <c r="AI56" s="42"/>
      <c r="AJ56" s="42"/>
      <c r="AM56" s="224">
        <v>199</v>
      </c>
    </row>
    <row r="57" spans="1:39">
      <c r="A57" s="3">
        <f t="shared" si="7"/>
        <v>63</v>
      </c>
      <c r="B57" t="s">
        <v>1280</v>
      </c>
      <c r="C57">
        <v>2</v>
      </c>
      <c r="D57" t="s">
        <v>1443</v>
      </c>
      <c r="E57" t="s">
        <v>1442</v>
      </c>
      <c r="G57" s="8">
        <v>2.1</v>
      </c>
      <c r="AE57" s="42"/>
      <c r="AF57" s="42"/>
      <c r="AG57" s="42"/>
      <c r="AH57" s="42"/>
      <c r="AI57" s="42"/>
      <c r="AJ57" s="42"/>
      <c r="AM57" s="224">
        <v>199</v>
      </c>
    </row>
    <row r="58" spans="1:39">
      <c r="A58" s="3">
        <f t="shared" si="7"/>
        <v>64</v>
      </c>
      <c r="B58" t="s">
        <v>1280</v>
      </c>
      <c r="C58">
        <v>2</v>
      </c>
      <c r="D58" t="s">
        <v>1443</v>
      </c>
      <c r="E58" t="s">
        <v>1442</v>
      </c>
      <c r="G58" s="8">
        <v>2.21</v>
      </c>
      <c r="AE58" s="42"/>
      <c r="AF58" s="42"/>
      <c r="AG58" s="42"/>
      <c r="AH58" s="42"/>
      <c r="AI58" s="42"/>
      <c r="AJ58" s="42"/>
      <c r="AM58" s="224">
        <v>199</v>
      </c>
    </row>
    <row r="59" spans="1:39">
      <c r="A59" s="3">
        <f t="shared" si="7"/>
        <v>65</v>
      </c>
      <c r="B59" t="s">
        <v>1280</v>
      </c>
      <c r="C59">
        <v>2</v>
      </c>
      <c r="D59" t="s">
        <v>1443</v>
      </c>
      <c r="E59" t="s">
        <v>1442</v>
      </c>
      <c r="K59">
        <v>62.33</v>
      </c>
      <c r="L59">
        <v>1</v>
      </c>
      <c r="M59">
        <v>4.16</v>
      </c>
      <c r="N59">
        <v>25.52</v>
      </c>
      <c r="O59">
        <v>0.08</v>
      </c>
      <c r="P59">
        <v>0.94</v>
      </c>
      <c r="Q59">
        <v>3.25</v>
      </c>
      <c r="R59">
        <v>0.12</v>
      </c>
      <c r="S59">
        <v>0.84</v>
      </c>
      <c r="X59">
        <v>0</v>
      </c>
      <c r="AE59" s="42">
        <f t="shared" ref="AE59:AE84" si="15">K59/(K59+M59+N59+L59+O59+P59)</f>
        <v>0.66287355099436363</v>
      </c>
      <c r="AF59" s="42">
        <f t="shared" ref="AF59:AF84" si="16">L59/(K59+M59+N59+L59+O59+P59)</f>
        <v>1.0634903754121027E-2</v>
      </c>
      <c r="AG59" s="42">
        <f t="shared" ref="AG59:AG84" si="17">M59/(K59+M59+N59+L59+O59+P59)</f>
        <v>4.424119961714347E-2</v>
      </c>
      <c r="AH59" s="42">
        <f t="shared" ref="AH59:AH84" si="18">N59/(K59+M59+N59+L59+O59+P59)</f>
        <v>0.2714027438051686</v>
      </c>
      <c r="AI59" s="42">
        <f t="shared" ref="AI59:AI84" si="19">O59/(K59+M59+N59+L59+O59+P59)</f>
        <v>8.5079230032968219E-4</v>
      </c>
      <c r="AJ59" s="42">
        <f t="shared" ref="AJ59:AJ84" si="20">P59/(K59+M59+N59+L59+O59+P59)</f>
        <v>9.9968095288737648E-3</v>
      </c>
      <c r="AL59">
        <f t="shared" ref="AL59:AL84" si="21">(K59+L59+O59+M59+N59+P59)/SUM(K59:Z59)</f>
        <v>0.95714576547231267</v>
      </c>
      <c r="AM59" s="224">
        <v>199</v>
      </c>
    </row>
    <row r="60" spans="1:39">
      <c r="A60" s="3">
        <f t="shared" si="7"/>
        <v>66</v>
      </c>
      <c r="B60" t="s">
        <v>1280</v>
      </c>
      <c r="C60">
        <v>2</v>
      </c>
      <c r="D60" t="s">
        <v>1304</v>
      </c>
      <c r="E60" t="s">
        <v>1442</v>
      </c>
      <c r="K60">
        <v>65.02</v>
      </c>
      <c r="L60">
        <v>1.76</v>
      </c>
      <c r="M60">
        <v>6.86</v>
      </c>
      <c r="N60">
        <v>19.18</v>
      </c>
      <c r="O60">
        <v>0.85</v>
      </c>
      <c r="P60">
        <v>2</v>
      </c>
      <c r="Q60">
        <v>0</v>
      </c>
      <c r="R60">
        <v>0.04</v>
      </c>
      <c r="S60">
        <v>0.93</v>
      </c>
      <c r="X60">
        <v>0</v>
      </c>
      <c r="AE60" s="42">
        <f t="shared" si="15"/>
        <v>0.67962788753005121</v>
      </c>
      <c r="AF60" s="42">
        <f t="shared" si="16"/>
        <v>1.8396571548029685E-2</v>
      </c>
      <c r="AG60" s="42">
        <f t="shared" si="17"/>
        <v>7.1704818647433888E-2</v>
      </c>
      <c r="AH60" s="42">
        <f t="shared" si="18"/>
        <v>0.20048081948364169</v>
      </c>
      <c r="AI60" s="42">
        <f t="shared" si="19"/>
        <v>8.8847078499007005E-3</v>
      </c>
      <c r="AJ60" s="42">
        <f t="shared" si="20"/>
        <v>2.0905194940942826E-2</v>
      </c>
      <c r="AL60">
        <f t="shared" si="21"/>
        <v>0.9899627483443707</v>
      </c>
      <c r="AM60" s="224">
        <v>199</v>
      </c>
    </row>
    <row r="61" spans="1:39">
      <c r="A61" s="3">
        <f t="shared" ref="A61:A131" si="22">A60+1</f>
        <v>67</v>
      </c>
      <c r="B61" t="s">
        <v>1280</v>
      </c>
      <c r="C61">
        <v>2</v>
      </c>
      <c r="D61" t="s">
        <v>1304</v>
      </c>
      <c r="E61" t="s">
        <v>1442</v>
      </c>
      <c r="G61" s="8">
        <v>2.41</v>
      </c>
      <c r="K61">
        <v>52.5</v>
      </c>
      <c r="L61">
        <v>4.72</v>
      </c>
      <c r="M61">
        <v>8.3000000000000007</v>
      </c>
      <c r="N61">
        <v>17.649999999999999</v>
      </c>
      <c r="O61">
        <v>0</v>
      </c>
      <c r="P61">
        <v>0.57999999999999996</v>
      </c>
      <c r="Q61">
        <v>0</v>
      </c>
      <c r="R61">
        <v>0</v>
      </c>
      <c r="S61">
        <v>2.17</v>
      </c>
      <c r="X61">
        <v>0.84</v>
      </c>
      <c r="AE61" s="42">
        <f t="shared" si="15"/>
        <v>0.62686567164179119</v>
      </c>
      <c r="AF61" s="42">
        <f t="shared" si="16"/>
        <v>5.6358208955223886E-2</v>
      </c>
      <c r="AG61" s="42">
        <f t="shared" si="17"/>
        <v>9.9104477611940328E-2</v>
      </c>
      <c r="AH61" s="42">
        <f t="shared" si="18"/>
        <v>0.21074626865671645</v>
      </c>
      <c r="AI61" s="42">
        <f t="shared" si="19"/>
        <v>0</v>
      </c>
      <c r="AJ61" s="42">
        <f t="shared" si="20"/>
        <v>6.9253731343283586E-3</v>
      </c>
      <c r="AL61">
        <f t="shared" si="21"/>
        <v>0.9653065928999538</v>
      </c>
      <c r="AM61" s="224">
        <v>199</v>
      </c>
    </row>
    <row r="62" spans="1:39">
      <c r="A62" s="3">
        <f t="shared" si="22"/>
        <v>68</v>
      </c>
      <c r="B62" t="s">
        <v>1280</v>
      </c>
      <c r="C62">
        <v>2</v>
      </c>
      <c r="D62" t="s">
        <v>1304</v>
      </c>
      <c r="E62" t="s">
        <v>1442</v>
      </c>
      <c r="G62" s="8">
        <v>1.8</v>
      </c>
      <c r="K62">
        <v>50.49</v>
      </c>
      <c r="L62">
        <v>4.1900000000000004</v>
      </c>
      <c r="M62">
        <v>10.93</v>
      </c>
      <c r="N62">
        <v>27.56</v>
      </c>
      <c r="O62">
        <v>0.56999999999999995</v>
      </c>
      <c r="P62">
        <v>1.24</v>
      </c>
      <c r="Q62">
        <v>0.82</v>
      </c>
      <c r="R62">
        <v>0.24</v>
      </c>
      <c r="S62">
        <v>2.23</v>
      </c>
      <c r="X62">
        <v>0.1</v>
      </c>
      <c r="AE62" s="42">
        <f t="shared" si="15"/>
        <v>0.53158559696778274</v>
      </c>
      <c r="AF62" s="42">
        <f t="shared" si="16"/>
        <v>4.4114550431669834E-2</v>
      </c>
      <c r="AG62" s="42">
        <f t="shared" si="17"/>
        <v>0.11507685828595494</v>
      </c>
      <c r="AH62" s="42">
        <f t="shared" si="18"/>
        <v>0.29016635081069703</v>
      </c>
      <c r="AI62" s="42">
        <f t="shared" si="19"/>
        <v>6.0012634238787114E-3</v>
      </c>
      <c r="AJ62" s="42">
        <f t="shared" si="20"/>
        <v>1.3055380080016847E-2</v>
      </c>
      <c r="AL62">
        <f t="shared" si="21"/>
        <v>0.96553827386398317</v>
      </c>
      <c r="AM62" s="224">
        <v>199</v>
      </c>
    </row>
    <row r="63" spans="1:39">
      <c r="A63" s="3">
        <f t="shared" si="22"/>
        <v>69</v>
      </c>
      <c r="B63" t="s">
        <v>1280</v>
      </c>
      <c r="C63">
        <v>2</v>
      </c>
      <c r="D63" t="s">
        <v>1304</v>
      </c>
      <c r="E63" t="s">
        <v>1442</v>
      </c>
      <c r="K63">
        <v>47.1</v>
      </c>
      <c r="L63">
        <v>7.8</v>
      </c>
      <c r="M63">
        <v>5.7</v>
      </c>
      <c r="N63">
        <v>23.1</v>
      </c>
      <c r="O63">
        <v>0.7</v>
      </c>
      <c r="P63">
        <v>1.5</v>
      </c>
      <c r="Q63">
        <v>5.3</v>
      </c>
      <c r="R63">
        <v>0</v>
      </c>
      <c r="S63">
        <v>1.2</v>
      </c>
      <c r="X63">
        <v>1.5</v>
      </c>
      <c r="AE63" s="42">
        <f t="shared" si="15"/>
        <v>0.54831199068684511</v>
      </c>
      <c r="AF63" s="42">
        <f t="shared" si="16"/>
        <v>9.0803259604190917E-2</v>
      </c>
      <c r="AG63" s="42">
        <f t="shared" si="17"/>
        <v>6.6356228172293363E-2</v>
      </c>
      <c r="AH63" s="42">
        <f t="shared" si="18"/>
        <v>0.26891734575087312</v>
      </c>
      <c r="AI63" s="42">
        <f t="shared" si="19"/>
        <v>8.1490104772991845E-3</v>
      </c>
      <c r="AJ63" s="42">
        <f t="shared" si="20"/>
        <v>1.7462165308498253E-2</v>
      </c>
      <c r="AL63">
        <f t="shared" si="21"/>
        <v>0.91480298189563369</v>
      </c>
      <c r="AM63" s="224">
        <v>199</v>
      </c>
    </row>
    <row r="64" spans="1:39">
      <c r="A64" s="3">
        <f t="shared" si="22"/>
        <v>70</v>
      </c>
      <c r="B64" t="s">
        <v>1280</v>
      </c>
      <c r="C64">
        <v>2</v>
      </c>
      <c r="D64" t="s">
        <v>1304</v>
      </c>
      <c r="E64" t="s">
        <v>1442</v>
      </c>
      <c r="K64">
        <v>59.82</v>
      </c>
      <c r="L64">
        <v>1.86</v>
      </c>
      <c r="M64">
        <v>3.77</v>
      </c>
      <c r="N64">
        <v>27.76</v>
      </c>
      <c r="O64">
        <v>1.61</v>
      </c>
      <c r="P64">
        <v>0.7</v>
      </c>
      <c r="Q64">
        <v>0.33</v>
      </c>
      <c r="R64">
        <v>0</v>
      </c>
      <c r="S64">
        <v>0</v>
      </c>
      <c r="X64">
        <v>1.39</v>
      </c>
      <c r="AE64" s="42">
        <f t="shared" si="15"/>
        <v>0.62625628140703515</v>
      </c>
      <c r="AF64" s="42">
        <f t="shared" si="16"/>
        <v>1.9472361809045224E-2</v>
      </c>
      <c r="AG64" s="42">
        <f t="shared" si="17"/>
        <v>3.9468174204355104E-2</v>
      </c>
      <c r="AH64" s="42">
        <f t="shared" si="18"/>
        <v>0.29061976549413732</v>
      </c>
      <c r="AI64" s="42">
        <f t="shared" si="19"/>
        <v>1.6855108877721941E-2</v>
      </c>
      <c r="AJ64" s="42">
        <f t="shared" si="20"/>
        <v>7.3283082077051911E-3</v>
      </c>
      <c r="AL64">
        <f t="shared" si="21"/>
        <v>0.98231180584121758</v>
      </c>
      <c r="AM64" s="224">
        <v>199</v>
      </c>
    </row>
    <row r="65" spans="1:39">
      <c r="A65" s="3">
        <f t="shared" si="22"/>
        <v>71</v>
      </c>
      <c r="B65" t="s">
        <v>1280</v>
      </c>
      <c r="C65">
        <v>2</v>
      </c>
      <c r="D65" t="s">
        <v>1304</v>
      </c>
      <c r="E65" t="s">
        <v>1442</v>
      </c>
      <c r="K65">
        <v>52.2</v>
      </c>
      <c r="L65">
        <v>5.9</v>
      </c>
      <c r="M65">
        <v>6</v>
      </c>
      <c r="N65">
        <v>27.5</v>
      </c>
      <c r="O65">
        <v>0</v>
      </c>
      <c r="P65">
        <v>1.7</v>
      </c>
      <c r="Q65">
        <v>0.6</v>
      </c>
      <c r="R65">
        <v>0.74</v>
      </c>
      <c r="S65">
        <v>1.53</v>
      </c>
      <c r="X65">
        <v>0.13</v>
      </c>
      <c r="AE65" s="42">
        <f t="shared" si="15"/>
        <v>0.55948553054662375</v>
      </c>
      <c r="AF65" s="42">
        <f t="shared" si="16"/>
        <v>6.3236870310825297E-2</v>
      </c>
      <c r="AG65" s="42">
        <f t="shared" si="17"/>
        <v>6.4308681672025719E-2</v>
      </c>
      <c r="AH65" s="42">
        <f t="shared" si="18"/>
        <v>0.29474812433011788</v>
      </c>
      <c r="AI65" s="42">
        <f t="shared" si="19"/>
        <v>0</v>
      </c>
      <c r="AJ65" s="42">
        <f t="shared" si="20"/>
        <v>1.8220793140407286E-2</v>
      </c>
      <c r="AL65">
        <f t="shared" si="21"/>
        <v>0.96884735202492223</v>
      </c>
      <c r="AM65" s="224">
        <v>199</v>
      </c>
    </row>
    <row r="66" spans="1:39">
      <c r="A66" s="3">
        <f t="shared" si="22"/>
        <v>72</v>
      </c>
      <c r="B66" t="s">
        <v>1280</v>
      </c>
      <c r="C66">
        <v>2</v>
      </c>
      <c r="D66" t="s">
        <v>1304</v>
      </c>
      <c r="E66" t="s">
        <v>1442</v>
      </c>
      <c r="K66">
        <v>58.7</v>
      </c>
      <c r="L66">
        <v>9.5</v>
      </c>
      <c r="M66">
        <v>6.2</v>
      </c>
      <c r="N66">
        <v>20.100000000000001</v>
      </c>
      <c r="O66">
        <v>0.1</v>
      </c>
      <c r="P66">
        <v>1.6</v>
      </c>
      <c r="Q66">
        <v>1</v>
      </c>
      <c r="R66">
        <v>1</v>
      </c>
      <c r="S66">
        <v>0</v>
      </c>
      <c r="X66">
        <v>0.4</v>
      </c>
      <c r="AE66" s="42">
        <f t="shared" si="15"/>
        <v>0.61018711018711025</v>
      </c>
      <c r="AF66" s="42">
        <f t="shared" si="16"/>
        <v>9.8752598752598758E-2</v>
      </c>
      <c r="AG66" s="42">
        <f t="shared" si="17"/>
        <v>6.4449064449064453E-2</v>
      </c>
      <c r="AH66" s="42">
        <f t="shared" si="18"/>
        <v>0.20893970893970898</v>
      </c>
      <c r="AI66" s="42">
        <f t="shared" si="19"/>
        <v>1.0395010395010398E-3</v>
      </c>
      <c r="AJ66" s="42">
        <f t="shared" si="20"/>
        <v>1.6632016632016636E-2</v>
      </c>
      <c r="AL66">
        <f t="shared" si="21"/>
        <v>0.97565922920892489</v>
      </c>
      <c r="AM66" s="224">
        <v>199</v>
      </c>
    </row>
    <row r="67" spans="1:39">
      <c r="A67" s="3">
        <f t="shared" si="22"/>
        <v>73</v>
      </c>
      <c r="B67" t="s">
        <v>1280</v>
      </c>
      <c r="C67">
        <v>2</v>
      </c>
      <c r="D67" t="s">
        <v>1304</v>
      </c>
      <c r="E67" t="s">
        <v>1442</v>
      </c>
      <c r="G67" s="8">
        <v>2.2200000000000002</v>
      </c>
      <c r="K67">
        <v>62.32</v>
      </c>
      <c r="L67">
        <v>0.5</v>
      </c>
      <c r="M67">
        <v>3.57</v>
      </c>
      <c r="N67">
        <v>27.21</v>
      </c>
      <c r="O67">
        <v>0.7</v>
      </c>
      <c r="P67">
        <v>0.95</v>
      </c>
      <c r="Q67">
        <v>2.58</v>
      </c>
      <c r="R67">
        <v>0</v>
      </c>
      <c r="S67">
        <v>2.15</v>
      </c>
      <c r="X67">
        <v>0</v>
      </c>
      <c r="AE67" s="42">
        <f t="shared" si="15"/>
        <v>0.65427821522309715</v>
      </c>
      <c r="AF67" s="42">
        <f t="shared" si="16"/>
        <v>5.2493438320209973E-3</v>
      </c>
      <c r="AG67" s="42">
        <f t="shared" si="17"/>
        <v>3.7480314960629917E-2</v>
      </c>
      <c r="AH67" s="42">
        <f t="shared" si="18"/>
        <v>0.28566929133858271</v>
      </c>
      <c r="AI67" s="42">
        <f t="shared" si="19"/>
        <v>7.3490813648293962E-3</v>
      </c>
      <c r="AJ67" s="42">
        <f t="shared" si="20"/>
        <v>9.9737532808398949E-3</v>
      </c>
      <c r="AL67">
        <f t="shared" si="21"/>
        <v>0.95269053810762161</v>
      </c>
      <c r="AM67" s="224">
        <v>199</v>
      </c>
    </row>
    <row r="68" spans="1:39">
      <c r="A68" s="3">
        <f t="shared" si="22"/>
        <v>74</v>
      </c>
      <c r="B68" t="s">
        <v>1280</v>
      </c>
      <c r="C68">
        <v>2</v>
      </c>
      <c r="D68" t="s">
        <v>1304</v>
      </c>
      <c r="E68" t="s">
        <v>1442</v>
      </c>
      <c r="K68">
        <v>45.3</v>
      </c>
      <c r="L68">
        <v>8.6999999999999993</v>
      </c>
      <c r="M68">
        <v>19.84</v>
      </c>
      <c r="N68">
        <v>18.100000000000001</v>
      </c>
      <c r="O68">
        <v>0</v>
      </c>
      <c r="P68">
        <v>0.97</v>
      </c>
      <c r="Q68">
        <v>2.48</v>
      </c>
      <c r="R68">
        <v>0.35099999999999998</v>
      </c>
      <c r="S68">
        <v>3.27</v>
      </c>
      <c r="X68">
        <v>0.35199999999999998</v>
      </c>
      <c r="AE68" s="42">
        <f t="shared" si="15"/>
        <v>0.48756861478850494</v>
      </c>
      <c r="AF68" s="42">
        <f t="shared" si="16"/>
        <v>9.3639005489183066E-2</v>
      </c>
      <c r="AG68" s="42">
        <f t="shared" si="17"/>
        <v>0.21353998493165427</v>
      </c>
      <c r="AH68" s="42">
        <f t="shared" si="18"/>
        <v>0.19481218383381765</v>
      </c>
      <c r="AI68" s="42">
        <f t="shared" si="19"/>
        <v>0</v>
      </c>
      <c r="AJ68" s="42">
        <f t="shared" si="20"/>
        <v>1.0440210956839951E-2</v>
      </c>
      <c r="AL68">
        <f t="shared" si="21"/>
        <v>0.93505630868633194</v>
      </c>
      <c r="AM68" s="224">
        <v>199</v>
      </c>
    </row>
    <row r="69" spans="1:39">
      <c r="A69" s="3">
        <f t="shared" si="22"/>
        <v>75</v>
      </c>
      <c r="B69" t="s">
        <v>1280</v>
      </c>
      <c r="C69">
        <v>2</v>
      </c>
      <c r="D69" t="s">
        <v>1304</v>
      </c>
      <c r="E69" t="s">
        <v>1442</v>
      </c>
      <c r="G69" s="8">
        <v>1.39</v>
      </c>
      <c r="K69">
        <v>56.44</v>
      </c>
      <c r="L69">
        <v>0.75</v>
      </c>
      <c r="M69">
        <v>8.44</v>
      </c>
      <c r="N69">
        <v>29.24</v>
      </c>
      <c r="O69">
        <v>0.09</v>
      </c>
      <c r="P69">
        <v>0.4</v>
      </c>
      <c r="Q69">
        <v>1.24</v>
      </c>
      <c r="R69">
        <v>0</v>
      </c>
      <c r="S69">
        <v>0</v>
      </c>
      <c r="X69">
        <v>0</v>
      </c>
      <c r="AE69" s="42">
        <f t="shared" si="15"/>
        <v>0.59186241610738255</v>
      </c>
      <c r="AF69" s="42">
        <f t="shared" si="16"/>
        <v>7.8649328859060411E-3</v>
      </c>
      <c r="AG69" s="42">
        <f t="shared" si="17"/>
        <v>8.8506711409395963E-2</v>
      </c>
      <c r="AH69" s="42">
        <f t="shared" si="18"/>
        <v>0.30662751677852346</v>
      </c>
      <c r="AI69" s="42">
        <f t="shared" si="19"/>
        <v>9.4379194630872477E-4</v>
      </c>
      <c r="AJ69" s="42">
        <f t="shared" si="20"/>
        <v>4.1946308724832215E-3</v>
      </c>
      <c r="AL69">
        <f t="shared" si="21"/>
        <v>0.98716356107660463</v>
      </c>
      <c r="AM69" s="224">
        <v>199</v>
      </c>
    </row>
    <row r="70" spans="1:39">
      <c r="A70" s="3">
        <f t="shared" si="22"/>
        <v>76</v>
      </c>
      <c r="B70" t="s">
        <v>1280</v>
      </c>
      <c r="C70">
        <v>2</v>
      </c>
      <c r="D70" t="s">
        <v>1304</v>
      </c>
      <c r="E70" t="s">
        <v>1442</v>
      </c>
      <c r="G70" s="8">
        <v>2</v>
      </c>
      <c r="K70">
        <v>64.45</v>
      </c>
      <c r="L70">
        <v>3.92</v>
      </c>
      <c r="M70">
        <v>7.77</v>
      </c>
      <c r="N70">
        <v>15.89</v>
      </c>
      <c r="O70">
        <v>0.89</v>
      </c>
      <c r="P70">
        <v>2.4500000000000002</v>
      </c>
      <c r="Q70">
        <v>1.6</v>
      </c>
      <c r="R70">
        <v>0</v>
      </c>
      <c r="S70">
        <v>0</v>
      </c>
      <c r="X70">
        <v>0</v>
      </c>
      <c r="AE70" s="42">
        <f t="shared" si="15"/>
        <v>0.67578903219041631</v>
      </c>
      <c r="AF70" s="42">
        <f t="shared" si="16"/>
        <v>4.1103072244940753E-2</v>
      </c>
      <c r="AG70" s="42">
        <f t="shared" si="17"/>
        <v>8.1472161056936138E-2</v>
      </c>
      <c r="AH70" s="42">
        <f t="shared" si="18"/>
        <v>0.16661423927859914</v>
      </c>
      <c r="AI70" s="42">
        <f t="shared" si="19"/>
        <v>9.3320750760197118E-3</v>
      </c>
      <c r="AJ70" s="42">
        <f t="shared" si="20"/>
        <v>2.5689420153087974E-2</v>
      </c>
      <c r="AL70">
        <f t="shared" si="21"/>
        <v>0.98350005156233888</v>
      </c>
      <c r="AM70" s="224">
        <v>199</v>
      </c>
    </row>
    <row r="71" spans="1:39">
      <c r="A71" s="3">
        <f t="shared" si="22"/>
        <v>77</v>
      </c>
      <c r="B71" t="s">
        <v>1280</v>
      </c>
      <c r="C71">
        <v>2</v>
      </c>
      <c r="D71" t="s">
        <v>1304</v>
      </c>
      <c r="E71" t="s">
        <v>1442</v>
      </c>
      <c r="K71">
        <v>68.900000000000006</v>
      </c>
      <c r="L71">
        <v>1.61</v>
      </c>
      <c r="M71">
        <v>6.5</v>
      </c>
      <c r="N71">
        <v>18.670000000000002</v>
      </c>
      <c r="O71">
        <v>0.24</v>
      </c>
      <c r="P71">
        <v>0.53</v>
      </c>
      <c r="Q71">
        <v>1.52</v>
      </c>
      <c r="R71">
        <v>0</v>
      </c>
      <c r="S71">
        <v>1.33</v>
      </c>
      <c r="X71">
        <v>0</v>
      </c>
      <c r="AE71" s="42">
        <f t="shared" si="15"/>
        <v>0.71435977190254019</v>
      </c>
      <c r="AF71" s="42">
        <f t="shared" si="16"/>
        <v>1.6692586832555728E-2</v>
      </c>
      <c r="AG71" s="42">
        <f t="shared" si="17"/>
        <v>6.7392431311560391E-2</v>
      </c>
      <c r="AH71" s="42">
        <f t="shared" si="18"/>
        <v>0.1935717988595127</v>
      </c>
      <c r="AI71" s="42">
        <f t="shared" si="19"/>
        <v>2.4883359253499221E-3</v>
      </c>
      <c r="AJ71" s="42">
        <f t="shared" si="20"/>
        <v>5.4950751684810784E-3</v>
      </c>
      <c r="AL71">
        <f t="shared" si="21"/>
        <v>0.9712990936555892</v>
      </c>
      <c r="AM71" s="224">
        <v>199</v>
      </c>
    </row>
    <row r="72" spans="1:39">
      <c r="A72" s="3">
        <f t="shared" si="22"/>
        <v>78</v>
      </c>
      <c r="B72" t="s">
        <v>1280</v>
      </c>
      <c r="C72">
        <v>2</v>
      </c>
      <c r="D72" t="s">
        <v>1304</v>
      </c>
      <c r="E72" t="s">
        <v>1442</v>
      </c>
      <c r="G72" s="8">
        <v>2.21</v>
      </c>
      <c r="K72">
        <v>52.1</v>
      </c>
      <c r="L72">
        <v>6.61</v>
      </c>
      <c r="M72">
        <v>11.99</v>
      </c>
      <c r="N72">
        <v>18.34</v>
      </c>
      <c r="O72">
        <v>2.4300000000000002</v>
      </c>
      <c r="P72">
        <v>4.8499999999999996</v>
      </c>
      <c r="Q72">
        <v>1.57</v>
      </c>
      <c r="R72">
        <v>0</v>
      </c>
      <c r="S72">
        <v>0.87</v>
      </c>
      <c r="X72">
        <v>0</v>
      </c>
      <c r="AE72" s="42">
        <f t="shared" si="15"/>
        <v>0.54090531561461797</v>
      </c>
      <c r="AF72" s="42">
        <f t="shared" si="16"/>
        <v>6.8625415282392022E-2</v>
      </c>
      <c r="AG72" s="42">
        <f t="shared" si="17"/>
        <v>0.12448089700996677</v>
      </c>
      <c r="AH72" s="42">
        <f t="shared" si="18"/>
        <v>0.19040697674418602</v>
      </c>
      <c r="AI72" s="42">
        <f t="shared" si="19"/>
        <v>2.5228405315614617E-2</v>
      </c>
      <c r="AJ72" s="42">
        <f t="shared" si="20"/>
        <v>5.0352990033222585E-2</v>
      </c>
      <c r="AL72">
        <f t="shared" si="21"/>
        <v>0.97529364115026318</v>
      </c>
      <c r="AM72" s="224">
        <v>199</v>
      </c>
    </row>
    <row r="73" spans="1:39">
      <c r="A73" s="3">
        <f t="shared" si="22"/>
        <v>79</v>
      </c>
      <c r="B73" t="s">
        <v>1280</v>
      </c>
      <c r="C73">
        <v>2</v>
      </c>
      <c r="D73" t="s">
        <v>1304</v>
      </c>
      <c r="E73" t="s">
        <v>1442</v>
      </c>
      <c r="K73">
        <v>47.53</v>
      </c>
      <c r="L73">
        <v>4.17</v>
      </c>
      <c r="M73">
        <v>5.99</v>
      </c>
      <c r="N73">
        <v>20.69</v>
      </c>
      <c r="O73">
        <v>0.33</v>
      </c>
      <c r="P73">
        <v>0.82</v>
      </c>
      <c r="Q73">
        <v>0.76</v>
      </c>
      <c r="R73">
        <v>0</v>
      </c>
      <c r="S73">
        <v>0</v>
      </c>
      <c r="X73">
        <v>1</v>
      </c>
      <c r="AE73" s="42">
        <f t="shared" si="15"/>
        <v>0.59763611215893375</v>
      </c>
      <c r="AF73" s="42">
        <f t="shared" si="16"/>
        <v>5.2433044134288946E-2</v>
      </c>
      <c r="AG73" s="42">
        <f t="shared" si="17"/>
        <v>7.5317490255249586E-2</v>
      </c>
      <c r="AH73" s="42">
        <f t="shared" si="18"/>
        <v>0.2601534012322394</v>
      </c>
      <c r="AI73" s="42">
        <f t="shared" si="19"/>
        <v>4.1493775933609959E-3</v>
      </c>
      <c r="AJ73" s="42">
        <f t="shared" si="20"/>
        <v>1.0310574625927322E-2</v>
      </c>
      <c r="AL73">
        <f t="shared" si="21"/>
        <v>0.97834912043301758</v>
      </c>
      <c r="AM73" s="224">
        <v>199</v>
      </c>
    </row>
    <row r="74" spans="1:39">
      <c r="A74" s="3">
        <f t="shared" si="22"/>
        <v>80</v>
      </c>
      <c r="B74" t="s">
        <v>1280</v>
      </c>
      <c r="C74">
        <v>2</v>
      </c>
      <c r="D74" t="s">
        <v>1304</v>
      </c>
      <c r="E74" t="s">
        <v>1442</v>
      </c>
      <c r="K74">
        <v>57.76</v>
      </c>
      <c r="L74">
        <v>1.58</v>
      </c>
      <c r="M74">
        <v>8.56</v>
      </c>
      <c r="N74">
        <v>21.58</v>
      </c>
      <c r="O74">
        <v>0.14000000000000001</v>
      </c>
      <c r="P74">
        <v>1.19</v>
      </c>
      <c r="Q74">
        <v>1.08</v>
      </c>
      <c r="R74">
        <v>0</v>
      </c>
      <c r="S74">
        <v>0</v>
      </c>
      <c r="X74">
        <v>0.02</v>
      </c>
      <c r="AE74" s="42">
        <f t="shared" si="15"/>
        <v>0.6360532980949235</v>
      </c>
      <c r="AF74" s="42">
        <f t="shared" si="16"/>
        <v>1.7398964871710169E-2</v>
      </c>
      <c r="AG74" s="42">
        <f t="shared" si="17"/>
        <v>9.4262746393569005E-2</v>
      </c>
      <c r="AH74" s="42">
        <f t="shared" si="18"/>
        <v>0.23763902653892743</v>
      </c>
      <c r="AI74" s="42">
        <f t="shared" si="19"/>
        <v>1.5416804316705213E-3</v>
      </c>
      <c r="AJ74" s="42">
        <f t="shared" si="20"/>
        <v>1.3104283669199428E-2</v>
      </c>
      <c r="AL74">
        <f t="shared" si="21"/>
        <v>0.98803177020998811</v>
      </c>
      <c r="AM74" s="224">
        <v>199</v>
      </c>
    </row>
    <row r="75" spans="1:39">
      <c r="A75" s="3">
        <f t="shared" si="22"/>
        <v>81</v>
      </c>
      <c r="B75" t="s">
        <v>1280</v>
      </c>
      <c r="C75">
        <v>2</v>
      </c>
      <c r="D75" t="s">
        <v>1304</v>
      </c>
      <c r="E75" t="s">
        <v>1442</v>
      </c>
      <c r="K75">
        <v>54.8</v>
      </c>
      <c r="L75">
        <v>4.2</v>
      </c>
      <c r="M75">
        <v>8.49</v>
      </c>
      <c r="N75">
        <v>28.5</v>
      </c>
      <c r="O75">
        <v>0.08</v>
      </c>
      <c r="P75">
        <v>0.35</v>
      </c>
      <c r="Q75">
        <v>0.45</v>
      </c>
      <c r="R75">
        <v>0.28000000000000003</v>
      </c>
      <c r="S75">
        <v>2.71</v>
      </c>
      <c r="X75">
        <v>0</v>
      </c>
      <c r="AE75" s="42">
        <f t="shared" si="15"/>
        <v>0.5683468160132753</v>
      </c>
      <c r="AF75" s="42">
        <f t="shared" si="16"/>
        <v>4.3559427504667091E-2</v>
      </c>
      <c r="AG75" s="42">
        <f t="shared" si="17"/>
        <v>8.8052271313005609E-2</v>
      </c>
      <c r="AH75" s="42">
        <f t="shared" si="18"/>
        <v>0.29558182949595524</v>
      </c>
      <c r="AI75" s="42">
        <f t="shared" si="19"/>
        <v>8.2970338104127784E-4</v>
      </c>
      <c r="AJ75" s="42">
        <f t="shared" si="20"/>
        <v>3.6299522920555903E-3</v>
      </c>
      <c r="AL75">
        <f t="shared" si="21"/>
        <v>0.96555177248147406</v>
      </c>
      <c r="AM75" s="224">
        <v>199</v>
      </c>
    </row>
    <row r="76" spans="1:39">
      <c r="A76" s="3">
        <f t="shared" si="22"/>
        <v>82</v>
      </c>
      <c r="B76" t="s">
        <v>1280</v>
      </c>
      <c r="C76">
        <v>2</v>
      </c>
      <c r="D76" t="s">
        <v>1304</v>
      </c>
      <c r="E76" t="s">
        <v>1442</v>
      </c>
      <c r="G76" s="8">
        <v>2.65</v>
      </c>
      <c r="K76">
        <v>52.4</v>
      </c>
      <c r="L76">
        <v>2.4</v>
      </c>
      <c r="M76">
        <v>6.6</v>
      </c>
      <c r="N76">
        <v>27.5</v>
      </c>
      <c r="O76">
        <v>0.36</v>
      </c>
      <c r="P76">
        <v>1.83</v>
      </c>
      <c r="Q76">
        <v>3.48</v>
      </c>
      <c r="R76">
        <v>0.12</v>
      </c>
      <c r="S76">
        <v>0.97</v>
      </c>
      <c r="X76">
        <v>0</v>
      </c>
      <c r="AE76" s="42">
        <f t="shared" si="15"/>
        <v>0.57525524206828405</v>
      </c>
      <c r="AF76" s="42">
        <f t="shared" si="16"/>
        <v>2.6347568339005378E-2</v>
      </c>
      <c r="AG76" s="42">
        <f t="shared" si="17"/>
        <v>7.2455812932264788E-2</v>
      </c>
      <c r="AH76" s="42">
        <f t="shared" si="18"/>
        <v>0.3018992205511033</v>
      </c>
      <c r="AI76" s="42">
        <f t="shared" si="19"/>
        <v>3.952135250850807E-3</v>
      </c>
      <c r="AJ76" s="42">
        <f t="shared" si="20"/>
        <v>2.0090020858491601E-2</v>
      </c>
      <c r="AL76">
        <f t="shared" si="21"/>
        <v>0.95222663600250868</v>
      </c>
      <c r="AM76" s="224">
        <v>217</v>
      </c>
    </row>
    <row r="77" spans="1:39">
      <c r="A77" s="3">
        <f t="shared" si="22"/>
        <v>83</v>
      </c>
      <c r="B77" t="s">
        <v>1280</v>
      </c>
      <c r="C77">
        <v>2</v>
      </c>
      <c r="D77" t="s">
        <v>1304</v>
      </c>
      <c r="E77" t="s">
        <v>1305</v>
      </c>
      <c r="G77" s="66">
        <v>2.42</v>
      </c>
      <c r="K77">
        <v>62.6</v>
      </c>
      <c r="L77">
        <v>5.7</v>
      </c>
      <c r="M77">
        <v>8.1199999999999992</v>
      </c>
      <c r="N77">
        <v>4.6500000000000004</v>
      </c>
      <c r="P77">
        <v>3.52</v>
      </c>
      <c r="Q77">
        <v>9.0500000000000007</v>
      </c>
      <c r="X77">
        <v>1.1599999999999999</v>
      </c>
      <c r="AD77" s="3">
        <v>6.52</v>
      </c>
      <c r="AE77" s="42">
        <f t="shared" si="15"/>
        <v>0.74004019387634468</v>
      </c>
      <c r="AF77" s="42">
        <f t="shared" si="16"/>
        <v>6.7383851519092097E-2</v>
      </c>
      <c r="AG77" s="42">
        <f t="shared" si="17"/>
        <v>9.5992434093864515E-2</v>
      </c>
      <c r="AH77" s="42">
        <f t="shared" si="18"/>
        <v>5.4971036765575132E-2</v>
      </c>
      <c r="AI77" s="42">
        <f t="shared" si="19"/>
        <v>0</v>
      </c>
      <c r="AJ77" s="42">
        <f t="shared" si="20"/>
        <v>4.1612483745123538E-2</v>
      </c>
      <c r="AL77">
        <f t="shared" si="21"/>
        <v>0.89229957805907179</v>
      </c>
      <c r="AM77" s="224">
        <v>217</v>
      </c>
    </row>
    <row r="78" spans="1:39">
      <c r="A78" s="3">
        <f t="shared" si="22"/>
        <v>84</v>
      </c>
      <c r="B78" t="s">
        <v>1280</v>
      </c>
      <c r="C78">
        <v>2</v>
      </c>
      <c r="D78" t="s">
        <v>1304</v>
      </c>
      <c r="E78" t="s">
        <v>1305</v>
      </c>
      <c r="K78">
        <v>59.17</v>
      </c>
      <c r="L78">
        <v>5.8</v>
      </c>
      <c r="M78">
        <v>6.33</v>
      </c>
      <c r="N78">
        <v>3.73</v>
      </c>
      <c r="O78">
        <v>0.18</v>
      </c>
      <c r="P78">
        <v>4.87</v>
      </c>
      <c r="Q78">
        <v>8.25</v>
      </c>
      <c r="X78">
        <v>0.72</v>
      </c>
      <c r="AD78" s="3">
        <v>16.100000000000001</v>
      </c>
      <c r="AE78" s="42">
        <f t="shared" si="15"/>
        <v>0.7388861138861138</v>
      </c>
      <c r="AF78" s="42">
        <f t="shared" si="16"/>
        <v>7.2427572427572418E-2</v>
      </c>
      <c r="AG78" s="42">
        <f t="shared" si="17"/>
        <v>7.9045954045954034E-2</v>
      </c>
      <c r="AH78" s="42">
        <f t="shared" si="18"/>
        <v>4.6578421578421569E-2</v>
      </c>
      <c r="AI78" s="42">
        <f t="shared" si="19"/>
        <v>2.2477522477522475E-3</v>
      </c>
      <c r="AJ78" s="42">
        <f t="shared" si="20"/>
        <v>6.0814185814185809E-2</v>
      </c>
      <c r="AL78">
        <f t="shared" si="21"/>
        <v>0.89927007299270079</v>
      </c>
      <c r="AM78" s="224">
        <v>217</v>
      </c>
    </row>
    <row r="79" spans="1:39">
      <c r="A79" s="3">
        <f t="shared" si="22"/>
        <v>85</v>
      </c>
      <c r="B79" t="s">
        <v>1280</v>
      </c>
      <c r="C79">
        <v>2</v>
      </c>
      <c r="D79" t="s">
        <v>1304</v>
      </c>
      <c r="E79" t="s">
        <v>1305</v>
      </c>
      <c r="G79" s="8">
        <v>2.36</v>
      </c>
      <c r="K79">
        <v>54</v>
      </c>
      <c r="L79">
        <v>12.9</v>
      </c>
      <c r="M79">
        <v>2</v>
      </c>
      <c r="N79">
        <v>0.9</v>
      </c>
      <c r="O79">
        <v>1</v>
      </c>
      <c r="P79">
        <v>4.9000000000000004</v>
      </c>
      <c r="Q79">
        <v>13.5</v>
      </c>
      <c r="X79">
        <v>4</v>
      </c>
      <c r="AD79" s="3">
        <v>3.7</v>
      </c>
      <c r="AE79" s="42">
        <f t="shared" si="15"/>
        <v>0.71334214002642005</v>
      </c>
      <c r="AF79" s="42">
        <f t="shared" si="16"/>
        <v>0.17040951122853368</v>
      </c>
      <c r="AG79" s="42">
        <f t="shared" si="17"/>
        <v>2.6420079260237778E-2</v>
      </c>
      <c r="AH79" s="42">
        <f t="shared" si="18"/>
        <v>1.1889035667107001E-2</v>
      </c>
      <c r="AI79" s="42">
        <f t="shared" si="19"/>
        <v>1.3210039630118889E-2</v>
      </c>
      <c r="AJ79" s="42">
        <f t="shared" si="20"/>
        <v>6.4729194187582564E-2</v>
      </c>
      <c r="AL79">
        <f t="shared" si="21"/>
        <v>0.8122317596566524</v>
      </c>
      <c r="AM79" s="224">
        <v>217</v>
      </c>
    </row>
    <row r="80" spans="1:39">
      <c r="A80" s="3">
        <f t="shared" si="22"/>
        <v>86</v>
      </c>
      <c r="B80" t="s">
        <v>1280</v>
      </c>
      <c r="C80">
        <v>2</v>
      </c>
      <c r="D80" t="s">
        <v>1304</v>
      </c>
      <c r="E80" t="s">
        <v>1306</v>
      </c>
      <c r="G80" s="8">
        <v>2.5299999999999998</v>
      </c>
      <c r="K80">
        <v>78.34</v>
      </c>
      <c r="L80">
        <v>2.15</v>
      </c>
      <c r="M80">
        <v>3.61</v>
      </c>
      <c r="N80">
        <v>8.5500000000000007</v>
      </c>
      <c r="O80">
        <v>0.12</v>
      </c>
      <c r="P80">
        <v>1.65</v>
      </c>
      <c r="Q80">
        <v>3.46</v>
      </c>
      <c r="R80">
        <v>1.07</v>
      </c>
      <c r="AD80" s="3">
        <v>0.42</v>
      </c>
      <c r="AE80" s="42">
        <f t="shared" si="15"/>
        <v>0.82969709807244219</v>
      </c>
      <c r="AF80" s="42">
        <f t="shared" si="16"/>
        <v>2.2770599449269218E-2</v>
      </c>
      <c r="AG80" s="42">
        <f t="shared" si="17"/>
        <v>3.823342512179622E-2</v>
      </c>
      <c r="AH80" s="42">
        <f t="shared" si="18"/>
        <v>9.0552848972675279E-2</v>
      </c>
      <c r="AI80" s="42">
        <f t="shared" si="19"/>
        <v>1.2709171785638632E-3</v>
      </c>
      <c r="AJ80" s="42">
        <f t="shared" si="20"/>
        <v>1.7475111205253122E-2</v>
      </c>
      <c r="AL80">
        <f t="shared" si="21"/>
        <v>0.95421930267812038</v>
      </c>
      <c r="AM80" s="224">
        <v>217</v>
      </c>
    </row>
    <row r="81" spans="1:39">
      <c r="A81" s="3">
        <f t="shared" si="22"/>
        <v>87</v>
      </c>
      <c r="B81" t="s">
        <v>1280</v>
      </c>
      <c r="C81">
        <v>2</v>
      </c>
      <c r="D81" t="s">
        <v>1304</v>
      </c>
      <c r="E81" t="s">
        <v>1306</v>
      </c>
      <c r="K81">
        <v>69.400000000000006</v>
      </c>
      <c r="L81">
        <v>2.5099999999999998</v>
      </c>
      <c r="M81">
        <v>5.41</v>
      </c>
      <c r="N81">
        <v>11.26</v>
      </c>
      <c r="O81">
        <v>0.09</v>
      </c>
      <c r="P81">
        <v>1.28</v>
      </c>
      <c r="Q81">
        <v>3.45</v>
      </c>
      <c r="R81">
        <v>1.61</v>
      </c>
      <c r="S81">
        <v>1.38</v>
      </c>
      <c r="X81">
        <v>1.83</v>
      </c>
      <c r="AD81" s="3">
        <v>1.56</v>
      </c>
      <c r="AE81" s="42">
        <f t="shared" si="15"/>
        <v>0.77153974430239014</v>
      </c>
      <c r="AF81" s="42">
        <f t="shared" si="16"/>
        <v>2.7904391328515833E-2</v>
      </c>
      <c r="AG81" s="42">
        <f t="shared" si="17"/>
        <v>6.0144524735964412E-2</v>
      </c>
      <c r="AH81" s="42">
        <f t="shared" si="18"/>
        <v>0.1251806559199555</v>
      </c>
      <c r="AI81" s="42">
        <f t="shared" si="19"/>
        <v>1.0005558643690936E-3</v>
      </c>
      <c r="AJ81" s="42">
        <f t="shared" si="20"/>
        <v>1.423012784880489E-2</v>
      </c>
      <c r="AL81">
        <f t="shared" si="21"/>
        <v>0.91580126247200166</v>
      </c>
      <c r="AM81" s="224">
        <v>217</v>
      </c>
    </row>
    <row r="82" spans="1:39">
      <c r="A82" s="3">
        <f t="shared" si="22"/>
        <v>88</v>
      </c>
      <c r="B82" t="s">
        <v>1280</v>
      </c>
      <c r="C82">
        <v>2</v>
      </c>
      <c r="D82" t="s">
        <v>1304</v>
      </c>
      <c r="E82" t="s">
        <v>1307</v>
      </c>
      <c r="K82">
        <v>47.8</v>
      </c>
      <c r="L82">
        <v>16.7</v>
      </c>
      <c r="M82">
        <v>8.23</v>
      </c>
      <c r="N82">
        <v>9.4</v>
      </c>
      <c r="O82">
        <v>1.99</v>
      </c>
      <c r="Q82">
        <v>5.4</v>
      </c>
      <c r="R82">
        <v>0.27</v>
      </c>
      <c r="S82">
        <v>0.18</v>
      </c>
      <c r="T82">
        <v>2.68</v>
      </c>
      <c r="X82">
        <v>1.75</v>
      </c>
      <c r="AD82" s="3">
        <v>5.5</v>
      </c>
      <c r="AE82" s="42">
        <f t="shared" si="15"/>
        <v>0.56823585354255823</v>
      </c>
      <c r="AF82" s="42">
        <f t="shared" si="16"/>
        <v>0.19852591535901093</v>
      </c>
      <c r="AG82" s="42">
        <f t="shared" si="17"/>
        <v>9.7836424155967661E-2</v>
      </c>
      <c r="AH82" s="42">
        <f t="shared" si="18"/>
        <v>0.11174512601046124</v>
      </c>
      <c r="AI82" s="42">
        <f t="shared" si="19"/>
        <v>2.3656680932001902E-2</v>
      </c>
      <c r="AJ82" s="42">
        <f t="shared" si="20"/>
        <v>0</v>
      </c>
      <c r="AL82">
        <f t="shared" si="21"/>
        <v>0.89110169491525415</v>
      </c>
      <c r="AM82" s="224">
        <v>222</v>
      </c>
    </row>
    <row r="83" spans="1:39">
      <c r="A83" s="3">
        <f t="shared" si="22"/>
        <v>89</v>
      </c>
      <c r="B83" t="s">
        <v>1280</v>
      </c>
      <c r="C83">
        <v>2</v>
      </c>
      <c r="D83" t="s">
        <v>1304</v>
      </c>
      <c r="E83" t="s">
        <v>1307</v>
      </c>
      <c r="K83">
        <v>47.77</v>
      </c>
      <c r="L83">
        <v>16.68</v>
      </c>
      <c r="M83">
        <v>8.2100000000000009</v>
      </c>
      <c r="N83">
        <v>9.41</v>
      </c>
      <c r="O83">
        <v>1.97</v>
      </c>
      <c r="Q83">
        <v>5.39</v>
      </c>
      <c r="R83">
        <v>0.27</v>
      </c>
      <c r="S83">
        <v>0.2</v>
      </c>
      <c r="T83">
        <v>2.7</v>
      </c>
      <c r="X83">
        <v>1.74</v>
      </c>
      <c r="AD83" s="3">
        <v>5.6</v>
      </c>
      <c r="AE83" s="42">
        <f t="shared" si="15"/>
        <v>0.56841980009519288</v>
      </c>
      <c r="AF83" s="42">
        <f t="shared" si="16"/>
        <v>0.19847691575440268</v>
      </c>
      <c r="AG83" s="42">
        <f t="shared" si="17"/>
        <v>9.7691575440266562E-2</v>
      </c>
      <c r="AH83" s="42">
        <f t="shared" si="18"/>
        <v>0.11197049024274157</v>
      </c>
      <c r="AI83" s="42">
        <f t="shared" si="19"/>
        <v>2.3441218467396479E-2</v>
      </c>
      <c r="AJ83" s="42">
        <f t="shared" si="20"/>
        <v>0</v>
      </c>
      <c r="AL83">
        <f t="shared" si="21"/>
        <v>0.89082043671825317</v>
      </c>
      <c r="AM83" s="224">
        <v>222</v>
      </c>
    </row>
    <row r="84" spans="1:39">
      <c r="A84" s="3">
        <f t="shared" si="22"/>
        <v>90</v>
      </c>
      <c r="B84" t="s">
        <v>1280</v>
      </c>
      <c r="C84">
        <v>2</v>
      </c>
      <c r="D84" t="s">
        <v>1304</v>
      </c>
      <c r="E84" t="s">
        <v>1307</v>
      </c>
      <c r="K84">
        <v>47.78</v>
      </c>
      <c r="L84">
        <v>16.690000000000001</v>
      </c>
      <c r="M84">
        <v>8.2200000000000006</v>
      </c>
      <c r="N84">
        <v>9.42</v>
      </c>
      <c r="O84">
        <v>1.98</v>
      </c>
      <c r="Q84">
        <v>5.4</v>
      </c>
      <c r="R84">
        <v>0.27</v>
      </c>
      <c r="S84">
        <v>0.19</v>
      </c>
      <c r="T84">
        <v>2.69</v>
      </c>
      <c r="X84">
        <v>1.75</v>
      </c>
      <c r="AD84" s="3">
        <v>5.55</v>
      </c>
      <c r="AE84" s="42">
        <f t="shared" si="15"/>
        <v>0.56820073730526821</v>
      </c>
      <c r="AF84" s="42">
        <f t="shared" si="16"/>
        <v>0.19847782138185277</v>
      </c>
      <c r="AG84" s="42">
        <f t="shared" si="17"/>
        <v>9.7752408134141988E-2</v>
      </c>
      <c r="AH84" s="42">
        <f t="shared" si="18"/>
        <v>0.1120228326792722</v>
      </c>
      <c r="AI84" s="42">
        <f t="shared" si="19"/>
        <v>2.3546200499464858E-2</v>
      </c>
      <c r="AJ84" s="42">
        <f t="shared" si="20"/>
        <v>0</v>
      </c>
      <c r="AL84">
        <f t="shared" si="21"/>
        <v>0.89087827100328432</v>
      </c>
      <c r="AM84" s="224">
        <v>222</v>
      </c>
    </row>
    <row r="85" spans="1:39">
      <c r="A85" s="3">
        <f t="shared" si="22"/>
        <v>91</v>
      </c>
      <c r="B85" t="s">
        <v>1280</v>
      </c>
      <c r="C85">
        <v>2</v>
      </c>
      <c r="D85" t="s">
        <v>1304</v>
      </c>
      <c r="E85" t="s">
        <v>1307</v>
      </c>
      <c r="K85">
        <v>47.78</v>
      </c>
      <c r="L85">
        <v>16.690000000000001</v>
      </c>
      <c r="M85">
        <v>8.2200000000000006</v>
      </c>
      <c r="N85">
        <v>9.41</v>
      </c>
      <c r="O85">
        <v>1.99</v>
      </c>
      <c r="Q85">
        <v>5.4</v>
      </c>
      <c r="R85">
        <v>0.27</v>
      </c>
      <c r="S85">
        <v>0.19</v>
      </c>
      <c r="T85">
        <v>2.69</v>
      </c>
      <c r="X85">
        <v>1.75</v>
      </c>
      <c r="AD85" s="3">
        <v>5.55</v>
      </c>
      <c r="AE85" s="42"/>
      <c r="AF85" s="42"/>
      <c r="AG85" s="42"/>
      <c r="AH85" s="42"/>
      <c r="AI85" s="42"/>
      <c r="AJ85" s="42"/>
      <c r="AM85" s="224">
        <v>222</v>
      </c>
    </row>
    <row r="86" spans="1:39">
      <c r="A86" s="3">
        <f t="shared" si="22"/>
        <v>92</v>
      </c>
      <c r="B86" t="s">
        <v>1280</v>
      </c>
      <c r="C86">
        <v>2</v>
      </c>
      <c r="D86" t="s">
        <v>1304</v>
      </c>
      <c r="E86" t="s">
        <v>1307</v>
      </c>
      <c r="K86">
        <v>66.38</v>
      </c>
      <c r="L86">
        <v>11.57</v>
      </c>
      <c r="M86">
        <v>4.4400000000000004</v>
      </c>
      <c r="N86">
        <v>7.48</v>
      </c>
      <c r="O86">
        <v>0.41</v>
      </c>
      <c r="P86">
        <v>2.06</v>
      </c>
      <c r="Q86">
        <v>4.92</v>
      </c>
      <c r="AE86" s="42"/>
      <c r="AF86" s="42"/>
      <c r="AG86" s="42"/>
      <c r="AH86" s="42"/>
      <c r="AI86" s="42"/>
      <c r="AJ86" s="42"/>
      <c r="AM86" s="224">
        <v>193</v>
      </c>
    </row>
    <row r="87" spans="1:39">
      <c r="A87" s="3">
        <f t="shared" si="22"/>
        <v>93</v>
      </c>
      <c r="B87" t="s">
        <v>1280</v>
      </c>
      <c r="C87">
        <v>2</v>
      </c>
      <c r="D87" t="s">
        <v>1304</v>
      </c>
      <c r="E87" t="s">
        <v>1307</v>
      </c>
      <c r="K87">
        <v>63.73</v>
      </c>
      <c r="L87">
        <v>6.56</v>
      </c>
      <c r="M87">
        <v>5.32</v>
      </c>
      <c r="N87">
        <v>15.05</v>
      </c>
      <c r="O87">
        <v>0.1</v>
      </c>
      <c r="P87">
        <v>4.5599999999999996</v>
      </c>
      <c r="Q87">
        <v>2.0499999999999998</v>
      </c>
      <c r="AE87" s="42">
        <f t="shared" ref="AE87:AE98" si="23">K87/(K87+M87+N87+L87+O87+P87)</f>
        <v>0.66859001258917328</v>
      </c>
      <c r="AF87" s="42">
        <f t="shared" ref="AF87:AF98" si="24">L87/(K87+M87+N87+L87+O87+P87)</f>
        <v>6.8820814099874103E-2</v>
      </c>
      <c r="AG87" s="42">
        <f t="shared" ref="AG87:AG98" si="25">M87/(K87+M87+N87+L87+O87+P87)</f>
        <v>5.5812001678556447E-2</v>
      </c>
      <c r="AH87" s="42">
        <f t="shared" ref="AH87:AH98" si="26">N87/(K87+M87+N87+L87+O87+P87)</f>
        <v>0.15788921527486363</v>
      </c>
      <c r="AI87" s="42">
        <f t="shared" ref="AI87:AI98" si="27">O87/(K87+M87+N87+L87+O87+P87)</f>
        <v>1.0490977759127153E-3</v>
      </c>
      <c r="AJ87" s="42">
        <f t="shared" ref="AJ87:AJ98" si="28">P87/(K87+M87+N87+L87+O87+P87)</f>
        <v>4.7838858581619806E-2</v>
      </c>
      <c r="AL87">
        <f t="shared" ref="AL87:AL98" si="29">(K87+L87+O87+M87+N87+P87)/SUM(K87:Z87)</f>
        <v>0.97894628735750233</v>
      </c>
      <c r="AM87" s="224">
        <v>193</v>
      </c>
    </row>
    <row r="88" spans="1:39">
      <c r="A88" s="3">
        <f t="shared" si="22"/>
        <v>94</v>
      </c>
      <c r="B88" t="s">
        <v>1280</v>
      </c>
      <c r="C88">
        <v>2</v>
      </c>
      <c r="D88" t="s">
        <v>1304</v>
      </c>
      <c r="E88" t="s">
        <v>1307</v>
      </c>
      <c r="K88">
        <v>62.3</v>
      </c>
      <c r="L88">
        <v>10.57</v>
      </c>
      <c r="M88">
        <v>4.4000000000000004</v>
      </c>
      <c r="N88">
        <v>6.25</v>
      </c>
      <c r="O88">
        <v>0.36</v>
      </c>
      <c r="P88">
        <v>1.86</v>
      </c>
      <c r="Q88">
        <v>3.89</v>
      </c>
      <c r="AE88" s="42">
        <f t="shared" si="23"/>
        <v>0.72661534872871458</v>
      </c>
      <c r="AF88" s="42">
        <f t="shared" si="24"/>
        <v>0.12327968276183811</v>
      </c>
      <c r="AG88" s="42">
        <f t="shared" si="25"/>
        <v>5.1317937951947751E-2</v>
      </c>
      <c r="AH88" s="42">
        <f t="shared" si="26"/>
        <v>7.2894798227198493E-2</v>
      </c>
      <c r="AI88" s="42">
        <f t="shared" si="27"/>
        <v>4.1987403778866337E-3</v>
      </c>
      <c r="AJ88" s="42">
        <f t="shared" si="28"/>
        <v>2.1693491952414275E-2</v>
      </c>
      <c r="AL88">
        <f t="shared" si="29"/>
        <v>0.95659935289523601</v>
      </c>
      <c r="AM88" s="224">
        <v>193</v>
      </c>
    </row>
    <row r="89" spans="1:39">
      <c r="A89" s="3">
        <f t="shared" si="22"/>
        <v>95</v>
      </c>
      <c r="B89" t="s">
        <v>1280</v>
      </c>
      <c r="C89">
        <v>2</v>
      </c>
      <c r="D89" t="s">
        <v>1304</v>
      </c>
      <c r="E89" t="s">
        <v>1307</v>
      </c>
      <c r="K89">
        <v>37.270000000000003</v>
      </c>
      <c r="L89">
        <v>13</v>
      </c>
      <c r="M89">
        <v>1.19</v>
      </c>
      <c r="N89">
        <v>2.37</v>
      </c>
      <c r="O89">
        <v>0</v>
      </c>
      <c r="P89">
        <v>7.35</v>
      </c>
      <c r="Q89">
        <v>15</v>
      </c>
      <c r="AE89" s="42">
        <f t="shared" si="23"/>
        <v>0.60918600849950966</v>
      </c>
      <c r="AF89" s="42">
        <f t="shared" si="24"/>
        <v>0.21248774109186008</v>
      </c>
      <c r="AG89" s="42">
        <f t="shared" si="25"/>
        <v>1.9450800915331808E-2</v>
      </c>
      <c r="AH89" s="42">
        <f t="shared" si="26"/>
        <v>3.8738149722131417E-2</v>
      </c>
      <c r="AI89" s="42">
        <f t="shared" si="27"/>
        <v>0</v>
      </c>
      <c r="AJ89" s="42">
        <f t="shared" si="28"/>
        <v>0.12013729977116704</v>
      </c>
      <c r="AL89">
        <f t="shared" si="29"/>
        <v>0.8030979259648201</v>
      </c>
      <c r="AM89" s="224">
        <v>193</v>
      </c>
    </row>
    <row r="90" spans="1:39">
      <c r="A90" s="3">
        <f>A89+1</f>
        <v>96</v>
      </c>
      <c r="B90" t="s">
        <v>1280</v>
      </c>
      <c r="C90">
        <v>2</v>
      </c>
      <c r="D90" t="s">
        <v>1304</v>
      </c>
      <c r="E90" t="s">
        <v>1307</v>
      </c>
      <c r="K90">
        <v>64.900000000000006</v>
      </c>
      <c r="L90">
        <v>10.24</v>
      </c>
      <c r="M90">
        <v>4.75</v>
      </c>
      <c r="N90">
        <v>10.79</v>
      </c>
      <c r="O90">
        <v>0.43</v>
      </c>
      <c r="P90">
        <v>2.08</v>
      </c>
      <c r="Q90">
        <v>4.2300000000000004</v>
      </c>
      <c r="AE90" s="42">
        <f t="shared" si="23"/>
        <v>0.69642665522051728</v>
      </c>
      <c r="AF90" s="42">
        <f t="shared" si="24"/>
        <v>0.10988303466037129</v>
      </c>
      <c r="AG90" s="42">
        <f t="shared" si="25"/>
        <v>5.0971134241871448E-2</v>
      </c>
      <c r="AH90" s="42">
        <f t="shared" si="26"/>
        <v>0.11578495546732481</v>
      </c>
      <c r="AI90" s="42">
        <f t="shared" si="27"/>
        <v>4.6142289945273101E-3</v>
      </c>
      <c r="AJ90" s="42">
        <f t="shared" si="28"/>
        <v>2.2319991415387919E-2</v>
      </c>
      <c r="AL90">
        <f t="shared" si="29"/>
        <v>0.95657975774994863</v>
      </c>
      <c r="AM90" s="224">
        <v>193</v>
      </c>
    </row>
    <row r="91" spans="1:39" s="6" customFormat="1">
      <c r="A91" s="7">
        <f>A42+1</f>
        <v>42</v>
      </c>
      <c r="B91" s="6" t="s">
        <v>1280</v>
      </c>
      <c r="C91" s="6">
        <v>3</v>
      </c>
      <c r="D91" s="6" t="s">
        <v>1289</v>
      </c>
      <c r="E91" s="6" t="s">
        <v>1296</v>
      </c>
      <c r="F91" s="15" t="s">
        <v>1297</v>
      </c>
      <c r="G91" s="5">
        <v>2.7669999999999999</v>
      </c>
      <c r="I91" s="7">
        <v>0.75921863146623803</v>
      </c>
      <c r="J91" s="15" t="s">
        <v>119</v>
      </c>
      <c r="K91" s="16">
        <v>43.170255983215242</v>
      </c>
      <c r="L91" s="16">
        <v>28.722566448200499</v>
      </c>
      <c r="M91" s="16"/>
      <c r="N91" s="16">
        <v>28.107177568584252</v>
      </c>
      <c r="P91" s="85"/>
      <c r="Q91" s="85"/>
      <c r="S91" s="85"/>
      <c r="T91" s="85"/>
      <c r="U91" s="85"/>
      <c r="V91" s="85"/>
      <c r="Y91" s="85"/>
      <c r="AD91" s="7"/>
      <c r="AE91" s="43">
        <f t="shared" si="23"/>
        <v>0.4317025598321525</v>
      </c>
      <c r="AF91" s="43">
        <f t="shared" si="24"/>
        <v>0.28722566448200504</v>
      </c>
      <c r="AG91" s="43">
        <f t="shared" si="25"/>
        <v>0</v>
      </c>
      <c r="AH91" s="43">
        <f t="shared" si="26"/>
        <v>0.28107177568584257</v>
      </c>
      <c r="AI91" s="43">
        <f t="shared" si="27"/>
        <v>0</v>
      </c>
      <c r="AJ91" s="43">
        <f t="shared" si="28"/>
        <v>0</v>
      </c>
      <c r="AL91" s="6">
        <f t="shared" si="29"/>
        <v>1</v>
      </c>
      <c r="AM91" s="15">
        <v>165</v>
      </c>
    </row>
    <row r="92" spans="1:39">
      <c r="A92" s="3">
        <f t="shared" ref="A92:A97" si="30">A91+1</f>
        <v>43</v>
      </c>
      <c r="B92" t="s">
        <v>1280</v>
      </c>
      <c r="C92">
        <v>3</v>
      </c>
      <c r="D92" t="s">
        <v>1289</v>
      </c>
      <c r="E92" t="s">
        <v>1296</v>
      </c>
      <c r="F92" s="12" t="s">
        <v>1297</v>
      </c>
      <c r="G92" s="8">
        <v>2.7589999999999999</v>
      </c>
      <c r="I92" s="3">
        <v>0.75701308347140495</v>
      </c>
      <c r="J92" s="12" t="s">
        <v>1290</v>
      </c>
      <c r="K92" s="11">
        <v>44.909253651754938</v>
      </c>
      <c r="L92" s="11">
        <v>37.291258006563957</v>
      </c>
      <c r="M92" s="11"/>
      <c r="N92" s="11">
        <v>17.799488341681108</v>
      </c>
      <c r="O92" s="39"/>
      <c r="P92" s="39"/>
      <c r="Q92" s="39"/>
      <c r="R92" s="39"/>
      <c r="S92" s="39"/>
      <c r="T92" s="39"/>
      <c r="V92" s="39"/>
      <c r="AE92" s="42">
        <f t="shared" si="23"/>
        <v>0.44909253651754938</v>
      </c>
      <c r="AF92" s="42">
        <f t="shared" si="24"/>
        <v>0.3729125800656396</v>
      </c>
      <c r="AG92" s="42">
        <f t="shared" si="25"/>
        <v>0</v>
      </c>
      <c r="AH92" s="42">
        <f t="shared" si="26"/>
        <v>0.17799488341681108</v>
      </c>
      <c r="AI92" s="42">
        <f t="shared" si="27"/>
        <v>0</v>
      </c>
      <c r="AJ92" s="42">
        <f t="shared" si="28"/>
        <v>0</v>
      </c>
      <c r="AL92">
        <f t="shared" si="29"/>
        <v>1</v>
      </c>
      <c r="AM92" s="12">
        <v>165</v>
      </c>
    </row>
    <row r="93" spans="1:39">
      <c r="A93" s="3">
        <f t="shared" si="30"/>
        <v>44</v>
      </c>
      <c r="B93" t="s">
        <v>1280</v>
      </c>
      <c r="C93">
        <v>3</v>
      </c>
      <c r="D93" t="s">
        <v>1289</v>
      </c>
      <c r="E93" t="s">
        <v>1296</v>
      </c>
      <c r="F93" s="12" t="s">
        <v>1297</v>
      </c>
      <c r="G93" s="8">
        <v>2.7730000000000001</v>
      </c>
      <c r="I93" s="3">
        <v>0.75615062783515397</v>
      </c>
      <c r="J93" s="12" t="s">
        <v>1291</v>
      </c>
      <c r="K93" s="11">
        <v>46.022088803644785</v>
      </c>
      <c r="L93" s="11">
        <v>43.418958077036628</v>
      </c>
      <c r="M93" s="11"/>
      <c r="N93" s="11">
        <v>10.558953119318597</v>
      </c>
      <c r="O93" s="39"/>
      <c r="P93" s="39"/>
      <c r="Q93" s="39"/>
      <c r="R93" s="39"/>
      <c r="S93" s="39"/>
      <c r="T93" s="39"/>
      <c r="V93" s="39"/>
      <c r="AE93" s="42">
        <f t="shared" si="23"/>
        <v>0.46022088803644784</v>
      </c>
      <c r="AF93" s="42">
        <f t="shared" si="24"/>
        <v>0.43418958077036629</v>
      </c>
      <c r="AG93" s="42">
        <f t="shared" si="25"/>
        <v>0</v>
      </c>
      <c r="AH93" s="42">
        <f t="shared" si="26"/>
        <v>0.10558953119318597</v>
      </c>
      <c r="AI93" s="42">
        <f t="shared" si="27"/>
        <v>0</v>
      </c>
      <c r="AJ93" s="42">
        <f t="shared" si="28"/>
        <v>0</v>
      </c>
      <c r="AL93">
        <f t="shared" si="29"/>
        <v>1</v>
      </c>
      <c r="AM93" s="12">
        <v>165</v>
      </c>
    </row>
    <row r="94" spans="1:39">
      <c r="A94" s="3">
        <f t="shared" si="30"/>
        <v>45</v>
      </c>
      <c r="B94" t="s">
        <v>1280</v>
      </c>
      <c r="C94">
        <v>3</v>
      </c>
      <c r="D94" t="s">
        <v>1289</v>
      </c>
      <c r="E94" t="s">
        <v>1296</v>
      </c>
      <c r="F94" s="12" t="s">
        <v>1297</v>
      </c>
      <c r="G94" s="8">
        <v>2.9049999999999998</v>
      </c>
      <c r="I94" s="3">
        <v>0.75476275515361446</v>
      </c>
      <c r="J94" s="12" t="s">
        <v>1292</v>
      </c>
      <c r="K94" s="11">
        <v>48.079061398602335</v>
      </c>
      <c r="L94" s="11">
        <v>46.767661111522933</v>
      </c>
      <c r="M94" s="11"/>
      <c r="N94" s="11">
        <v>5.1532774898747222</v>
      </c>
      <c r="O94" s="39"/>
      <c r="P94" s="39"/>
      <c r="Q94" s="39"/>
      <c r="R94" s="39"/>
      <c r="S94" s="39"/>
      <c r="T94" s="39"/>
      <c r="V94" s="39"/>
      <c r="X94" s="39"/>
      <c r="AE94" s="42">
        <f t="shared" si="23"/>
        <v>0.48079061398602335</v>
      </c>
      <c r="AF94" s="42">
        <f t="shared" si="24"/>
        <v>0.46767661111522935</v>
      </c>
      <c r="AG94" s="42">
        <f t="shared" si="25"/>
        <v>0</v>
      </c>
      <c r="AH94" s="42">
        <f t="shared" si="26"/>
        <v>5.1532774898747219E-2</v>
      </c>
      <c r="AI94" s="42">
        <f t="shared" si="27"/>
        <v>0</v>
      </c>
      <c r="AJ94" s="42">
        <f t="shared" si="28"/>
        <v>0</v>
      </c>
      <c r="AL94">
        <f t="shared" si="29"/>
        <v>1</v>
      </c>
      <c r="AM94" s="12">
        <v>165</v>
      </c>
    </row>
    <row r="95" spans="1:39">
      <c r="A95" s="3">
        <f t="shared" si="30"/>
        <v>46</v>
      </c>
      <c r="B95" t="s">
        <v>1280</v>
      </c>
      <c r="C95">
        <v>3</v>
      </c>
      <c r="D95" t="s">
        <v>1289</v>
      </c>
      <c r="E95" t="s">
        <v>1296</v>
      </c>
      <c r="F95" s="12" t="s">
        <v>1297</v>
      </c>
      <c r="G95" s="8">
        <v>2.91</v>
      </c>
      <c r="I95" s="3">
        <v>0.77027942249390313</v>
      </c>
      <c r="J95" s="12" t="s">
        <v>1293</v>
      </c>
      <c r="K95" s="11">
        <v>12.399115196014311</v>
      </c>
      <c r="L95" s="11">
        <v>48.332039845246491</v>
      </c>
      <c r="M95" s="11"/>
      <c r="N95" s="11">
        <v>39.26884495873918</v>
      </c>
      <c r="O95" s="39"/>
      <c r="P95" s="39"/>
      <c r="Q95" s="39"/>
      <c r="R95" s="39"/>
      <c r="S95" s="39"/>
      <c r="T95" s="39"/>
      <c r="V95" s="39"/>
      <c r="X95" s="39"/>
      <c r="AE95" s="42">
        <f t="shared" si="23"/>
        <v>0.12399115196014314</v>
      </c>
      <c r="AF95" s="42">
        <f t="shared" si="24"/>
        <v>0.48332039845246505</v>
      </c>
      <c r="AG95" s="42">
        <f t="shared" si="25"/>
        <v>0</v>
      </c>
      <c r="AH95" s="42">
        <f t="shared" si="26"/>
        <v>0.39268844958739191</v>
      </c>
      <c r="AI95" s="42">
        <f t="shared" si="27"/>
        <v>0</v>
      </c>
      <c r="AJ95" s="42">
        <f t="shared" si="28"/>
        <v>0</v>
      </c>
      <c r="AL95">
        <f t="shared" si="29"/>
        <v>1</v>
      </c>
      <c r="AM95" s="12">
        <v>165</v>
      </c>
    </row>
    <row r="96" spans="1:39">
      <c r="A96" s="3">
        <f t="shared" si="30"/>
        <v>47</v>
      </c>
      <c r="B96" t="s">
        <v>1280</v>
      </c>
      <c r="C96">
        <v>3</v>
      </c>
      <c r="D96" t="s">
        <v>1289</v>
      </c>
      <c r="E96" t="s">
        <v>1296</v>
      </c>
      <c r="F96" s="12" t="s">
        <v>1297</v>
      </c>
      <c r="G96" s="8">
        <v>2.8660000000000001</v>
      </c>
      <c r="I96" s="3">
        <v>0.76002172211461383</v>
      </c>
      <c r="J96" s="12" t="s">
        <v>1294</v>
      </c>
      <c r="K96" s="11">
        <v>40.167494911638798</v>
      </c>
      <c r="L96" s="11">
        <v>40.057622891728123</v>
      </c>
      <c r="M96" s="11"/>
      <c r="N96" s="11">
        <v>19.774882196633069</v>
      </c>
      <c r="AE96" s="42">
        <f t="shared" si="23"/>
        <v>0.40167494911638796</v>
      </c>
      <c r="AF96" s="42">
        <f t="shared" si="24"/>
        <v>0.40057622891728123</v>
      </c>
      <c r="AG96" s="42">
        <f t="shared" si="25"/>
        <v>0</v>
      </c>
      <c r="AH96" s="42">
        <f t="shared" si="26"/>
        <v>0.1977488219663307</v>
      </c>
      <c r="AI96" s="42">
        <f t="shared" si="27"/>
        <v>0</v>
      </c>
      <c r="AJ96" s="42">
        <f t="shared" si="28"/>
        <v>0</v>
      </c>
      <c r="AL96">
        <f t="shared" si="29"/>
        <v>1</v>
      </c>
      <c r="AM96" s="12">
        <v>165</v>
      </c>
    </row>
    <row r="97" spans="1:39">
      <c r="A97" s="3">
        <f t="shared" si="30"/>
        <v>48</v>
      </c>
      <c r="B97" t="s">
        <v>1280</v>
      </c>
      <c r="C97">
        <v>3</v>
      </c>
      <c r="D97" t="s">
        <v>1289</v>
      </c>
      <c r="E97" t="s">
        <v>1296</v>
      </c>
      <c r="F97" s="12" t="s">
        <v>1297</v>
      </c>
      <c r="G97" s="8">
        <v>2.7610000000000001</v>
      </c>
      <c r="I97" s="3">
        <v>0.75424420513366186</v>
      </c>
      <c r="J97" s="12" t="s">
        <v>1295</v>
      </c>
      <c r="K97" s="11">
        <v>53.013667878215351</v>
      </c>
      <c r="L97" s="11">
        <v>34.748046750813288</v>
      </c>
      <c r="M97" s="11"/>
      <c r="N97" s="11">
        <v>12.238285370971363</v>
      </c>
      <c r="AE97" s="42">
        <f t="shared" si="23"/>
        <v>0.53013667878215354</v>
      </c>
      <c r="AF97" s="42">
        <f t="shared" si="24"/>
        <v>0.34748046750813288</v>
      </c>
      <c r="AG97" s="42">
        <f t="shared" si="25"/>
        <v>0</v>
      </c>
      <c r="AH97" s="42">
        <f t="shared" si="26"/>
        <v>0.12238285370971363</v>
      </c>
      <c r="AI97" s="42">
        <f t="shared" si="27"/>
        <v>0</v>
      </c>
      <c r="AJ97" s="42">
        <f t="shared" si="28"/>
        <v>0</v>
      </c>
      <c r="AL97">
        <f t="shared" si="29"/>
        <v>1</v>
      </c>
      <c r="AM97" s="13">
        <v>165</v>
      </c>
    </row>
    <row r="98" spans="1:39" s="6" customFormat="1">
      <c r="A98" s="7">
        <f>A90+1</f>
        <v>97</v>
      </c>
      <c r="B98" s="6" t="s">
        <v>1280</v>
      </c>
      <c r="C98" s="6">
        <v>4</v>
      </c>
      <c r="D98" s="6" t="s">
        <v>1314</v>
      </c>
      <c r="E98" s="6" t="s">
        <v>1315</v>
      </c>
      <c r="F98" s="15" t="s">
        <v>1322</v>
      </c>
      <c r="G98" s="5">
        <v>3.15</v>
      </c>
      <c r="I98" s="7"/>
      <c r="J98" s="15"/>
      <c r="K98" s="6">
        <v>66.569999999999993</v>
      </c>
      <c r="L98" s="6">
        <v>2.41</v>
      </c>
      <c r="M98" s="6">
        <v>1.41</v>
      </c>
      <c r="N98" s="6">
        <v>21.6</v>
      </c>
      <c r="O98" s="6">
        <v>1.41</v>
      </c>
      <c r="Q98" s="6">
        <v>2.79</v>
      </c>
      <c r="Y98" s="6">
        <v>1.49</v>
      </c>
      <c r="AD98" s="7"/>
      <c r="AE98" s="43">
        <f t="shared" si="23"/>
        <v>0.71274089935760176</v>
      </c>
      <c r="AF98" s="43">
        <f t="shared" si="24"/>
        <v>2.5802997858672384E-2</v>
      </c>
      <c r="AG98" s="43">
        <f t="shared" si="25"/>
        <v>1.5096359743040688E-2</v>
      </c>
      <c r="AH98" s="43">
        <f t="shared" si="26"/>
        <v>0.23126338329764462</v>
      </c>
      <c r="AI98" s="43">
        <f t="shared" si="27"/>
        <v>1.5096359743040688E-2</v>
      </c>
      <c r="AJ98" s="43">
        <f t="shared" si="28"/>
        <v>0</v>
      </c>
      <c r="AL98" s="6">
        <f t="shared" si="29"/>
        <v>0.95618345618345613</v>
      </c>
      <c r="AM98" s="224">
        <v>169</v>
      </c>
    </row>
    <row r="99" spans="1:39">
      <c r="A99" s="3">
        <f t="shared" si="22"/>
        <v>98</v>
      </c>
      <c r="B99" t="s">
        <v>1280</v>
      </c>
      <c r="C99">
        <v>4</v>
      </c>
      <c r="D99" t="s">
        <v>1314</v>
      </c>
      <c r="E99" t="s">
        <v>1316</v>
      </c>
      <c r="G99" s="8">
        <v>2.2999999999999998</v>
      </c>
      <c r="H99">
        <v>2.5</v>
      </c>
      <c r="I99" s="3">
        <v>0.83</v>
      </c>
      <c r="AE99" s="42"/>
      <c r="AF99" s="42"/>
      <c r="AG99" s="42"/>
      <c r="AH99" s="42"/>
      <c r="AI99" s="42"/>
      <c r="AJ99" s="42"/>
      <c r="AM99" s="146">
        <v>187</v>
      </c>
    </row>
    <row r="100" spans="1:39">
      <c r="A100" s="3">
        <f t="shared" si="22"/>
        <v>99</v>
      </c>
      <c r="B100" t="s">
        <v>1280</v>
      </c>
      <c r="C100">
        <v>4</v>
      </c>
      <c r="D100" t="s">
        <v>1314</v>
      </c>
      <c r="E100" t="s">
        <v>1316</v>
      </c>
      <c r="K100">
        <v>58.8</v>
      </c>
      <c r="L100">
        <v>0.21</v>
      </c>
      <c r="M100">
        <v>0.82</v>
      </c>
      <c r="N100">
        <v>36.9</v>
      </c>
      <c r="O100">
        <v>0.12</v>
      </c>
      <c r="P100">
        <v>0.73</v>
      </c>
      <c r="Q100">
        <v>2.21</v>
      </c>
      <c r="R100">
        <v>0.24</v>
      </c>
      <c r="AE100" s="42">
        <f t="shared" ref="AE100:AE107" si="31">K100/(K100+M100+N100+L100+O100+P100)</f>
        <v>0.60258249641319939</v>
      </c>
      <c r="AF100" s="42">
        <f t="shared" ref="AF100:AF107" si="32">L100/(K100+M100+N100+L100+O100+P100)</f>
        <v>2.152080344332855E-3</v>
      </c>
      <c r="AG100" s="42">
        <f t="shared" ref="AG100:AG107" si="33">M100/(K100+M100+N100+L100+O100+P100)</f>
        <v>8.4033613445378148E-3</v>
      </c>
      <c r="AH100" s="42">
        <f t="shared" ref="AH100:AH107" si="34">N100/(K100+M100+N100+L100+O100+P100)</f>
        <v>0.37815126050420167</v>
      </c>
      <c r="AI100" s="42">
        <f t="shared" ref="AI100:AI107" si="35">O100/(K100+M100+N100+L100+O100+P100)</f>
        <v>1.2297601967616314E-3</v>
      </c>
      <c r="AJ100" s="42">
        <f t="shared" ref="AJ100:AJ107" si="36">P100/(K100+M100+N100+L100+O100+P100)</f>
        <v>7.4810411969665914E-3</v>
      </c>
      <c r="AL100">
        <f t="shared" ref="AL100:AL107" si="37">(K100+L100+O100+M100+N100+P100)/SUM(K100:Z100)</f>
        <v>0.97550734779566139</v>
      </c>
      <c r="AM100" s="224">
        <v>195</v>
      </c>
    </row>
    <row r="101" spans="1:39">
      <c r="A101" s="3">
        <f t="shared" si="22"/>
        <v>100</v>
      </c>
      <c r="B101" t="s">
        <v>1280</v>
      </c>
      <c r="C101">
        <v>4</v>
      </c>
      <c r="D101" t="s">
        <v>1314</v>
      </c>
      <c r="E101" t="s">
        <v>1317</v>
      </c>
      <c r="G101" s="8">
        <v>2.42</v>
      </c>
      <c r="K101">
        <v>71.66</v>
      </c>
      <c r="L101">
        <v>0.21</v>
      </c>
      <c r="M101">
        <v>0.37</v>
      </c>
      <c r="N101">
        <v>19.12</v>
      </c>
      <c r="O101">
        <v>5.16</v>
      </c>
      <c r="P101">
        <v>0.06</v>
      </c>
      <c r="Q101">
        <v>2.58</v>
      </c>
      <c r="R101">
        <v>0.01</v>
      </c>
      <c r="S101">
        <v>0.83</v>
      </c>
      <c r="T101">
        <v>0.01</v>
      </c>
      <c r="Y101">
        <v>0</v>
      </c>
      <c r="AE101" s="42">
        <f t="shared" si="31"/>
        <v>0.74197556429902667</v>
      </c>
      <c r="AF101" s="42">
        <f t="shared" si="32"/>
        <v>2.1743632221992129E-3</v>
      </c>
      <c r="AG101" s="42">
        <f t="shared" si="33"/>
        <v>3.8310209153033753E-3</v>
      </c>
      <c r="AH101" s="42">
        <f t="shared" si="34"/>
        <v>0.19797059432594741</v>
      </c>
      <c r="AI101" s="42">
        <f t="shared" si="35"/>
        <v>5.3427210602609236E-2</v>
      </c>
      <c r="AJ101" s="42">
        <f t="shared" si="36"/>
        <v>6.2124663491406088E-4</v>
      </c>
      <c r="AL101">
        <f t="shared" si="37"/>
        <v>0.96570342965703426</v>
      </c>
      <c r="AM101" s="146">
        <v>192</v>
      </c>
    </row>
    <row r="102" spans="1:39">
      <c r="A102" s="3">
        <f t="shared" si="22"/>
        <v>101</v>
      </c>
      <c r="B102" t="s">
        <v>1280</v>
      </c>
      <c r="C102">
        <v>4</v>
      </c>
      <c r="D102" t="s">
        <v>1314</v>
      </c>
      <c r="E102" t="s">
        <v>1317</v>
      </c>
      <c r="G102" s="8">
        <v>2.58</v>
      </c>
      <c r="K102">
        <v>72.37</v>
      </c>
      <c r="L102">
        <v>0.2</v>
      </c>
      <c r="M102">
        <v>0.22</v>
      </c>
      <c r="N102">
        <v>19.29</v>
      </c>
      <c r="O102">
        <v>5.16</v>
      </c>
      <c r="P102">
        <v>0.05</v>
      </c>
      <c r="Q102">
        <v>2.56</v>
      </c>
      <c r="R102">
        <v>0.01</v>
      </c>
      <c r="S102">
        <v>0.15</v>
      </c>
      <c r="T102">
        <v>0.01</v>
      </c>
      <c r="Y102">
        <v>0</v>
      </c>
      <c r="AE102" s="42">
        <f t="shared" si="31"/>
        <v>0.74385856717031562</v>
      </c>
      <c r="AF102" s="42">
        <f t="shared" si="32"/>
        <v>2.0557097337855898E-3</v>
      </c>
      <c r="AG102" s="42">
        <f t="shared" si="33"/>
        <v>2.2612807071641485E-3</v>
      </c>
      <c r="AH102" s="42">
        <f t="shared" si="34"/>
        <v>0.19827320382362013</v>
      </c>
      <c r="AI102" s="42">
        <f t="shared" si="35"/>
        <v>5.3037311131668215E-2</v>
      </c>
      <c r="AJ102" s="42">
        <f t="shared" si="36"/>
        <v>5.1392743344639744E-4</v>
      </c>
      <c r="AL102">
        <f t="shared" si="37"/>
        <v>0.97270545890821813</v>
      </c>
      <c r="AM102" s="146">
        <v>192</v>
      </c>
    </row>
    <row r="103" spans="1:39">
      <c r="A103" s="3">
        <f t="shared" si="22"/>
        <v>102</v>
      </c>
      <c r="B103" t="s">
        <v>1280</v>
      </c>
      <c r="C103">
        <v>4</v>
      </c>
      <c r="D103" t="s">
        <v>1314</v>
      </c>
      <c r="E103" t="s">
        <v>1318</v>
      </c>
      <c r="G103" s="8">
        <v>2.59</v>
      </c>
      <c r="K103">
        <v>69.5</v>
      </c>
      <c r="L103">
        <v>0.23</v>
      </c>
      <c r="M103">
        <v>0.34</v>
      </c>
      <c r="N103">
        <v>24.05</v>
      </c>
      <c r="O103">
        <v>1.17</v>
      </c>
      <c r="P103">
        <v>0.04</v>
      </c>
      <c r="Q103">
        <v>4.37</v>
      </c>
      <c r="R103">
        <v>0.01</v>
      </c>
      <c r="S103">
        <v>0.82</v>
      </c>
      <c r="T103">
        <v>0.01</v>
      </c>
      <c r="Y103">
        <v>0</v>
      </c>
      <c r="AE103" s="42">
        <f t="shared" si="31"/>
        <v>0.72904647015629909</v>
      </c>
      <c r="AF103" s="42">
        <f t="shared" si="32"/>
        <v>2.4126717717402706E-3</v>
      </c>
      <c r="AG103" s="42">
        <f t="shared" si="33"/>
        <v>3.5665582712682258E-3</v>
      </c>
      <c r="AH103" s="42">
        <f t="shared" si="34"/>
        <v>0.25228154830588478</v>
      </c>
      <c r="AI103" s="42">
        <f t="shared" si="35"/>
        <v>1.2273156404070069E-2</v>
      </c>
      <c r="AJ103" s="42">
        <f t="shared" si="36"/>
        <v>4.1959509073743833E-4</v>
      </c>
      <c r="AL103">
        <f t="shared" si="37"/>
        <v>0.94817982892381136</v>
      </c>
      <c r="AM103" s="146">
        <v>192</v>
      </c>
    </row>
    <row r="104" spans="1:39">
      <c r="A104" s="3">
        <f t="shared" si="22"/>
        <v>103</v>
      </c>
      <c r="B104" t="s">
        <v>1280</v>
      </c>
      <c r="C104">
        <v>4</v>
      </c>
      <c r="D104" t="s">
        <v>1314</v>
      </c>
      <c r="E104" t="s">
        <v>1319</v>
      </c>
      <c r="K104">
        <v>33.9</v>
      </c>
      <c r="L104">
        <v>26.12</v>
      </c>
      <c r="M104">
        <v>0.41</v>
      </c>
      <c r="N104">
        <v>16.170000000000002</v>
      </c>
      <c r="O104">
        <v>0.63</v>
      </c>
      <c r="P104">
        <v>0.27</v>
      </c>
      <c r="Q104">
        <v>2.08</v>
      </c>
      <c r="R104">
        <v>19.36</v>
      </c>
      <c r="S104">
        <v>0.33</v>
      </c>
      <c r="AE104" s="42">
        <f t="shared" si="31"/>
        <v>0.43741935483870975</v>
      </c>
      <c r="AF104" s="42">
        <f t="shared" si="32"/>
        <v>0.3370322580645162</v>
      </c>
      <c r="AG104" s="42">
        <f t="shared" si="33"/>
        <v>5.2903225806451622E-3</v>
      </c>
      <c r="AH104" s="42">
        <f t="shared" si="34"/>
        <v>0.20864516129032265</v>
      </c>
      <c r="AI104" s="42">
        <f t="shared" si="35"/>
        <v>8.1290322580645172E-3</v>
      </c>
      <c r="AJ104" s="42">
        <f t="shared" si="36"/>
        <v>3.4838709677419365E-3</v>
      </c>
      <c r="AL104">
        <f t="shared" si="37"/>
        <v>0.78069910345522309</v>
      </c>
      <c r="AM104" s="146">
        <v>205</v>
      </c>
    </row>
    <row r="105" spans="1:39">
      <c r="A105" s="3">
        <f t="shared" si="22"/>
        <v>104</v>
      </c>
      <c r="B105" t="s">
        <v>1280</v>
      </c>
      <c r="C105">
        <v>4</v>
      </c>
      <c r="D105" t="s">
        <v>1314</v>
      </c>
      <c r="E105" t="s">
        <v>1320</v>
      </c>
      <c r="G105" s="8">
        <v>2.82</v>
      </c>
      <c r="K105">
        <v>33.200000000000003</v>
      </c>
      <c r="L105">
        <v>25.9</v>
      </c>
      <c r="M105">
        <v>0.24</v>
      </c>
      <c r="N105">
        <v>12.9</v>
      </c>
      <c r="O105">
        <v>1.27</v>
      </c>
      <c r="P105">
        <v>0.72</v>
      </c>
      <c r="Q105">
        <v>1.64</v>
      </c>
      <c r="R105">
        <v>19.5</v>
      </c>
      <c r="S105">
        <v>0.05</v>
      </c>
      <c r="V105">
        <v>0.02</v>
      </c>
      <c r="W105">
        <v>0.01</v>
      </c>
      <c r="X105">
        <v>0.04</v>
      </c>
      <c r="AE105" s="42">
        <f t="shared" si="31"/>
        <v>0.44725852081368722</v>
      </c>
      <c r="AF105" s="42">
        <f t="shared" si="32"/>
        <v>0.34891553280344872</v>
      </c>
      <c r="AG105" s="42">
        <f t="shared" si="33"/>
        <v>3.2331941263640035E-3</v>
      </c>
      <c r="AH105" s="42">
        <f t="shared" si="34"/>
        <v>0.17378418429206519</v>
      </c>
      <c r="AI105" s="42">
        <f t="shared" si="35"/>
        <v>1.7108985585342854E-2</v>
      </c>
      <c r="AJ105" s="42">
        <f t="shared" si="36"/>
        <v>9.6995823790920113E-3</v>
      </c>
      <c r="AL105">
        <f t="shared" si="37"/>
        <v>0.77735888574719858</v>
      </c>
      <c r="AM105" s="146">
        <v>196</v>
      </c>
    </row>
    <row r="106" spans="1:39">
      <c r="A106" s="3">
        <f t="shared" si="22"/>
        <v>105</v>
      </c>
      <c r="B106" t="s">
        <v>1280</v>
      </c>
      <c r="C106">
        <v>4</v>
      </c>
      <c r="D106" t="s">
        <v>1314</v>
      </c>
      <c r="E106" t="s">
        <v>1320</v>
      </c>
      <c r="F106" s="12" t="s">
        <v>1323</v>
      </c>
      <c r="K106">
        <v>33.700000000000003</v>
      </c>
      <c r="L106">
        <v>25.9</v>
      </c>
      <c r="M106">
        <v>0.31</v>
      </c>
      <c r="N106">
        <v>14.1</v>
      </c>
      <c r="O106">
        <v>0.32</v>
      </c>
      <c r="P106">
        <v>0.68</v>
      </c>
      <c r="Q106">
        <v>2.2599999999999998</v>
      </c>
      <c r="R106">
        <v>22.7</v>
      </c>
      <c r="AE106" s="42">
        <f t="shared" si="31"/>
        <v>0.44927343020930544</v>
      </c>
      <c r="AF106" s="42">
        <f t="shared" si="32"/>
        <v>0.34528729502732963</v>
      </c>
      <c r="AG106" s="42">
        <f t="shared" si="33"/>
        <v>4.1327822956939075E-3</v>
      </c>
      <c r="AH106" s="42">
        <f t="shared" si="34"/>
        <v>0.18797493667510998</v>
      </c>
      <c r="AI106" s="42">
        <f t="shared" si="35"/>
        <v>4.266097853619517E-3</v>
      </c>
      <c r="AJ106" s="42">
        <f t="shared" si="36"/>
        <v>9.0654579389414739E-3</v>
      </c>
      <c r="AL106">
        <f t="shared" si="37"/>
        <v>0.75032509752925869</v>
      </c>
      <c r="AM106" s="224">
        <v>195</v>
      </c>
    </row>
    <row r="107" spans="1:39">
      <c r="A107" s="3">
        <f t="shared" si="22"/>
        <v>106</v>
      </c>
      <c r="B107" t="s">
        <v>1280</v>
      </c>
      <c r="C107">
        <v>4</v>
      </c>
      <c r="D107" t="s">
        <v>1314</v>
      </c>
      <c r="E107" t="s">
        <v>1320</v>
      </c>
      <c r="F107" s="12" t="s">
        <v>1324</v>
      </c>
      <c r="K107">
        <v>34.9</v>
      </c>
      <c r="L107">
        <v>23.3</v>
      </c>
      <c r="M107">
        <v>0.19</v>
      </c>
      <c r="N107">
        <v>19.5</v>
      </c>
      <c r="O107">
        <v>0.27</v>
      </c>
      <c r="P107">
        <v>0.52</v>
      </c>
      <c r="Q107">
        <v>2.06</v>
      </c>
      <c r="R107">
        <v>19.2</v>
      </c>
      <c r="AE107" s="42">
        <f t="shared" si="31"/>
        <v>0.44356888662938487</v>
      </c>
      <c r="AF107" s="42">
        <f t="shared" si="32"/>
        <v>0.2961362480935435</v>
      </c>
      <c r="AG107" s="42">
        <f t="shared" si="33"/>
        <v>2.4148449415353334E-3</v>
      </c>
      <c r="AH107" s="42">
        <f t="shared" si="34"/>
        <v>0.24783934926283682</v>
      </c>
      <c r="AI107" s="42">
        <f t="shared" si="35"/>
        <v>3.4316217590238947E-3</v>
      </c>
      <c r="AJ107" s="42">
        <f t="shared" si="36"/>
        <v>6.6090493136756493E-3</v>
      </c>
      <c r="AL107">
        <f t="shared" si="37"/>
        <v>0.78727236341805074</v>
      </c>
      <c r="AM107" s="224">
        <v>195</v>
      </c>
    </row>
    <row r="108" spans="1:39">
      <c r="A108" s="3">
        <f t="shared" si="22"/>
        <v>107</v>
      </c>
      <c r="B108" t="s">
        <v>1280</v>
      </c>
      <c r="C108">
        <v>4</v>
      </c>
      <c r="D108" t="s">
        <v>1314</v>
      </c>
      <c r="E108" t="s">
        <v>1321</v>
      </c>
      <c r="G108" s="8">
        <v>3.58</v>
      </c>
      <c r="H108">
        <v>47.5</v>
      </c>
      <c r="I108" s="3">
        <v>0.92</v>
      </c>
      <c r="P108" s="1"/>
      <c r="AE108" s="42"/>
      <c r="AF108" s="42"/>
      <c r="AG108" s="42"/>
      <c r="AH108" s="42"/>
      <c r="AI108" s="42"/>
      <c r="AJ108" s="42"/>
      <c r="AM108" s="146">
        <v>225</v>
      </c>
    </row>
    <row r="109" spans="1:39">
      <c r="A109" s="3">
        <f t="shared" si="22"/>
        <v>108</v>
      </c>
      <c r="B109" t="s">
        <v>1280</v>
      </c>
      <c r="C109">
        <v>4</v>
      </c>
      <c r="D109" t="s">
        <v>1314</v>
      </c>
      <c r="E109" t="s">
        <v>1325</v>
      </c>
      <c r="G109" s="8">
        <v>4</v>
      </c>
      <c r="H109">
        <v>30</v>
      </c>
      <c r="AE109" s="42"/>
      <c r="AF109" s="42"/>
      <c r="AG109" s="42"/>
      <c r="AH109" s="42"/>
      <c r="AI109" s="42"/>
      <c r="AJ109" s="42"/>
      <c r="AM109" s="146">
        <v>224</v>
      </c>
    </row>
    <row r="110" spans="1:39">
      <c r="A110" s="3">
        <f t="shared" si="22"/>
        <v>109</v>
      </c>
      <c r="B110" t="s">
        <v>1280</v>
      </c>
      <c r="C110">
        <v>4</v>
      </c>
      <c r="D110" t="s">
        <v>1314</v>
      </c>
      <c r="E110" t="s">
        <v>1325</v>
      </c>
      <c r="G110" s="8">
        <v>3.94</v>
      </c>
      <c r="H110">
        <v>30</v>
      </c>
      <c r="I110" s="3">
        <v>0.45</v>
      </c>
      <c r="AE110" s="42"/>
      <c r="AF110" s="42"/>
      <c r="AG110" s="42"/>
      <c r="AH110" s="42"/>
      <c r="AI110" s="42"/>
      <c r="AJ110" s="42"/>
      <c r="AM110" s="225">
        <v>187</v>
      </c>
    </row>
    <row r="111" spans="1:39" s="6" customFormat="1">
      <c r="A111" s="7">
        <f t="shared" si="22"/>
        <v>110</v>
      </c>
      <c r="B111" s="6" t="s">
        <v>1280</v>
      </c>
      <c r="C111" s="6">
        <v>5</v>
      </c>
      <c r="D111" s="6" t="s">
        <v>1327</v>
      </c>
      <c r="E111" s="6" t="s">
        <v>1328</v>
      </c>
      <c r="F111" s="15" t="s">
        <v>1329</v>
      </c>
      <c r="G111" s="5"/>
      <c r="I111" s="7">
        <v>0.88</v>
      </c>
      <c r="J111" s="15"/>
      <c r="AD111" s="7"/>
      <c r="AE111" s="43"/>
      <c r="AF111" s="43"/>
      <c r="AG111" s="43"/>
      <c r="AH111" s="43"/>
      <c r="AI111" s="43"/>
      <c r="AJ111" s="43"/>
      <c r="AM111" s="224">
        <v>207</v>
      </c>
    </row>
    <row r="112" spans="1:39">
      <c r="A112" s="3">
        <f t="shared" si="22"/>
        <v>111</v>
      </c>
      <c r="B112" t="s">
        <v>1280</v>
      </c>
      <c r="C112">
        <v>5</v>
      </c>
      <c r="D112" t="s">
        <v>1327</v>
      </c>
      <c r="E112" t="s">
        <v>1330</v>
      </c>
      <c r="G112" s="8">
        <v>2.96</v>
      </c>
      <c r="K112">
        <v>17.05</v>
      </c>
      <c r="L112">
        <v>64.2</v>
      </c>
      <c r="M112">
        <v>0.2</v>
      </c>
      <c r="N112">
        <v>2.15</v>
      </c>
      <c r="O112">
        <v>0.11</v>
      </c>
      <c r="P112">
        <v>0.8</v>
      </c>
      <c r="Q112">
        <v>0.24</v>
      </c>
      <c r="X112">
        <v>2.5</v>
      </c>
      <c r="AE112" s="42">
        <f>K112/(K112+M112+N112+L112+O112+P112)</f>
        <v>0.20175127203881202</v>
      </c>
      <c r="AF112" s="42">
        <f>L112/(K112+M112+N112+L112+O112+P112)</f>
        <v>0.75967341143060008</v>
      </c>
      <c r="AG112" s="42">
        <f>M112/(K112+M112+N112+L112+O112+P112)</f>
        <v>2.3665838362323991E-3</v>
      </c>
      <c r="AH112" s="42">
        <f>N112/(K112+M112+N112+L112+O112+P112)</f>
        <v>2.5440776239498288E-2</v>
      </c>
      <c r="AI112" s="42">
        <f>O112/(K112+M112+N112+L112+O112+P112)</f>
        <v>1.3016211099278194E-3</v>
      </c>
      <c r="AJ112" s="42">
        <f>P112/(K112+M112+N112+L112+O112+P112)</f>
        <v>9.4663353449295964E-3</v>
      </c>
      <c r="AL112">
        <f>(K112+L112+O112+M112+N112+P112)/SUM(K112:Z112)</f>
        <v>0.96859598853868201</v>
      </c>
      <c r="AM112" s="224">
        <v>215</v>
      </c>
    </row>
    <row r="113" spans="1:39">
      <c r="A113" s="3">
        <f t="shared" si="22"/>
        <v>112</v>
      </c>
      <c r="B113" t="s">
        <v>1280</v>
      </c>
      <c r="C113">
        <v>5</v>
      </c>
      <c r="D113" t="s">
        <v>1327</v>
      </c>
      <c r="E113" t="s">
        <v>1331</v>
      </c>
      <c r="G113" s="8">
        <v>1.82</v>
      </c>
      <c r="H113">
        <v>0.81100000000000005</v>
      </c>
      <c r="I113" s="3">
        <v>0.88</v>
      </c>
      <c r="AE113" s="42"/>
      <c r="AF113" s="42"/>
      <c r="AG113" s="42"/>
      <c r="AH113" s="42"/>
      <c r="AI113" s="42"/>
      <c r="AJ113" s="42"/>
      <c r="AM113" s="224">
        <v>210</v>
      </c>
    </row>
    <row r="114" spans="1:39">
      <c r="A114" s="3">
        <f t="shared" si="22"/>
        <v>113</v>
      </c>
      <c r="B114" t="s">
        <v>1280</v>
      </c>
      <c r="C114">
        <v>5</v>
      </c>
      <c r="D114" t="s">
        <v>1327</v>
      </c>
      <c r="E114" t="s">
        <v>1332</v>
      </c>
      <c r="G114" s="8">
        <v>1.7310000000000001</v>
      </c>
      <c r="H114">
        <v>0.75</v>
      </c>
      <c r="I114" s="3">
        <v>0.88</v>
      </c>
      <c r="AE114" s="42"/>
      <c r="AF114" s="42"/>
      <c r="AG114" s="42"/>
      <c r="AH114" s="42"/>
      <c r="AI114" s="42"/>
      <c r="AJ114" s="42"/>
      <c r="AM114" s="224">
        <v>210</v>
      </c>
    </row>
    <row r="115" spans="1:39">
      <c r="A115" s="3">
        <f t="shared" si="22"/>
        <v>114</v>
      </c>
      <c r="B115" t="s">
        <v>1280</v>
      </c>
      <c r="C115">
        <v>5</v>
      </c>
      <c r="D115" t="s">
        <v>1327</v>
      </c>
      <c r="E115" t="s">
        <v>1333</v>
      </c>
      <c r="G115" s="8">
        <v>2.2879999999999998</v>
      </c>
      <c r="H115">
        <v>1.58</v>
      </c>
      <c r="I115" s="3">
        <v>0.88</v>
      </c>
      <c r="AE115" s="42"/>
      <c r="AF115" s="42"/>
      <c r="AG115" s="42"/>
      <c r="AH115" s="42"/>
      <c r="AI115" s="42"/>
      <c r="AJ115" s="42"/>
      <c r="AM115" s="224">
        <v>210</v>
      </c>
    </row>
    <row r="116" spans="1:39">
      <c r="A116" s="3">
        <f t="shared" si="22"/>
        <v>115</v>
      </c>
      <c r="B116" t="s">
        <v>1280</v>
      </c>
      <c r="C116">
        <v>5</v>
      </c>
      <c r="D116" t="s">
        <v>1327</v>
      </c>
      <c r="E116" t="s">
        <v>1334</v>
      </c>
      <c r="G116" s="8">
        <v>2.41</v>
      </c>
      <c r="H116">
        <v>1.74</v>
      </c>
      <c r="I116" s="3">
        <v>0.88</v>
      </c>
      <c r="AE116" s="42"/>
      <c r="AF116" s="42"/>
      <c r="AG116" s="42"/>
      <c r="AH116" s="42"/>
      <c r="AI116" s="42"/>
      <c r="AJ116" s="42"/>
      <c r="AM116" s="224">
        <v>210</v>
      </c>
    </row>
    <row r="117" spans="1:39">
      <c r="A117" s="3">
        <f t="shared" si="22"/>
        <v>116</v>
      </c>
      <c r="B117" t="s">
        <v>1280</v>
      </c>
      <c r="C117">
        <v>5</v>
      </c>
      <c r="D117" t="s">
        <v>1327</v>
      </c>
      <c r="E117" t="s">
        <v>1335</v>
      </c>
      <c r="G117" s="8">
        <v>1.762</v>
      </c>
      <c r="H117">
        <v>0.72099999999999997</v>
      </c>
      <c r="I117" s="3">
        <v>0.84</v>
      </c>
      <c r="AE117" s="42"/>
      <c r="AF117" s="42"/>
      <c r="AG117" s="42"/>
      <c r="AH117" s="42"/>
      <c r="AI117" s="42"/>
      <c r="AJ117" s="42"/>
      <c r="AM117" s="224">
        <v>210</v>
      </c>
    </row>
    <row r="118" spans="1:39">
      <c r="A118" s="3">
        <f t="shared" si="22"/>
        <v>117</v>
      </c>
      <c r="B118" t="s">
        <v>1280</v>
      </c>
      <c r="C118">
        <v>5</v>
      </c>
      <c r="D118" t="s">
        <v>1327</v>
      </c>
      <c r="E118" t="s">
        <v>1336</v>
      </c>
      <c r="K118">
        <v>66.52</v>
      </c>
      <c r="L118">
        <v>6.06</v>
      </c>
      <c r="M118">
        <v>5.45</v>
      </c>
      <c r="N118">
        <v>14.2</v>
      </c>
      <c r="O118">
        <v>0.67</v>
      </c>
      <c r="P118">
        <v>2.35</v>
      </c>
      <c r="Q118">
        <v>2.09</v>
      </c>
      <c r="X118">
        <v>0.75</v>
      </c>
      <c r="AE118" s="42">
        <f>K118/(K118+M118+N118+L118+O118+P118)</f>
        <v>0.69837270341207347</v>
      </c>
      <c r="AF118" s="42">
        <f>L118/(K118+M118+N118+L118+O118+P118)</f>
        <v>6.3622047244094482E-2</v>
      </c>
      <c r="AG118" s="42">
        <f>M118/(K118+M118+N118+L118+O118+P118)</f>
        <v>5.7217847769028871E-2</v>
      </c>
      <c r="AH118" s="42">
        <f>N118/(K118+M118+N118+L118+O118+P118)</f>
        <v>0.14908136482939632</v>
      </c>
      <c r="AI118" s="42">
        <f>O118/(K118+M118+N118+L118+O118+P118)</f>
        <v>7.0341207349081366E-3</v>
      </c>
      <c r="AJ118" s="42">
        <f>P118/(K118+M118+N118+L118+O118+P118)</f>
        <v>2.4671916010498687E-2</v>
      </c>
      <c r="AL118">
        <f>(K118+L118+O118+M118+N118+P118)/SUM(K118:Z118)</f>
        <v>0.97104699765521452</v>
      </c>
      <c r="AM118" s="224">
        <v>203</v>
      </c>
    </row>
    <row r="119" spans="1:39">
      <c r="A119" s="3">
        <f t="shared" si="22"/>
        <v>118</v>
      </c>
      <c r="B119" t="s">
        <v>1280</v>
      </c>
      <c r="C119">
        <v>5</v>
      </c>
      <c r="D119" t="s">
        <v>1327</v>
      </c>
      <c r="E119" t="s">
        <v>1337</v>
      </c>
      <c r="F119" s="12" t="s">
        <v>1338</v>
      </c>
      <c r="G119" s="8">
        <v>2.72</v>
      </c>
      <c r="K119">
        <v>0.91</v>
      </c>
      <c r="L119">
        <v>54.29</v>
      </c>
      <c r="M119">
        <v>0.4</v>
      </c>
      <c r="N119">
        <v>3.72</v>
      </c>
      <c r="P119">
        <v>0.3</v>
      </c>
      <c r="X119">
        <v>0.09</v>
      </c>
      <c r="Y119">
        <v>0.03</v>
      </c>
      <c r="AE119" s="42">
        <f>K119/(K119+M119+N119+L119+O119+P119)</f>
        <v>1.5263334451526335E-2</v>
      </c>
      <c r="AF119" s="42">
        <f>L119/(K119+M119+N119+L119+O119+P119)</f>
        <v>0.91060046964106012</v>
      </c>
      <c r="AG119" s="42">
        <f>M119/(K119+M119+N119+L119+O119+P119)</f>
        <v>6.7091580006709162E-3</v>
      </c>
      <c r="AH119" s="42">
        <f>N119/(K119+M119+N119+L119+O119+P119)</f>
        <v>6.2395169406239522E-2</v>
      </c>
      <c r="AI119" s="42">
        <f>O119/(K119+M119+N119+L119+O119+P119)</f>
        <v>0</v>
      </c>
      <c r="AJ119" s="42">
        <f>P119/(K119+M119+N119+L119+O119+P119)</f>
        <v>5.0318685005031867E-3</v>
      </c>
      <c r="AL119">
        <f>(K119+L119+O119+M119+N119+P119)/SUM(K119:Z119)</f>
        <v>0.99799129561432864</v>
      </c>
      <c r="AM119" s="224">
        <v>215</v>
      </c>
    </row>
    <row r="120" spans="1:39">
      <c r="A120" s="3">
        <f t="shared" si="22"/>
        <v>119</v>
      </c>
      <c r="B120" t="s">
        <v>1280</v>
      </c>
      <c r="C120">
        <v>5</v>
      </c>
      <c r="D120" t="s">
        <v>1327</v>
      </c>
      <c r="E120" t="s">
        <v>1339</v>
      </c>
      <c r="F120" s="12" t="s">
        <v>1340</v>
      </c>
      <c r="G120" s="8">
        <v>2.3199999999999998</v>
      </c>
      <c r="AE120" s="42"/>
      <c r="AF120" s="42"/>
      <c r="AG120" s="42"/>
      <c r="AH120" s="42"/>
      <c r="AI120" s="42"/>
      <c r="AJ120" s="42"/>
      <c r="AM120" s="146">
        <v>176</v>
      </c>
    </row>
    <row r="121" spans="1:39">
      <c r="A121" s="3">
        <f t="shared" si="22"/>
        <v>120</v>
      </c>
      <c r="B121" t="s">
        <v>1280</v>
      </c>
      <c r="C121">
        <v>5</v>
      </c>
      <c r="D121" t="s">
        <v>1327</v>
      </c>
      <c r="E121" t="s">
        <v>1339</v>
      </c>
      <c r="F121" s="12" t="s">
        <v>1341</v>
      </c>
      <c r="G121" s="8">
        <v>0.752</v>
      </c>
      <c r="H121">
        <v>0.27600000000000002</v>
      </c>
      <c r="I121" s="3">
        <v>0.85199999999999998</v>
      </c>
      <c r="AE121" s="42"/>
      <c r="AF121" s="42"/>
      <c r="AG121" s="42"/>
      <c r="AH121" s="42"/>
      <c r="AI121" s="42"/>
      <c r="AJ121" s="42"/>
      <c r="AM121" s="146">
        <v>220</v>
      </c>
    </row>
    <row r="122" spans="1:39">
      <c r="A122" s="3">
        <f t="shared" si="22"/>
        <v>121</v>
      </c>
      <c r="B122" t="s">
        <v>1280</v>
      </c>
      <c r="C122">
        <v>5</v>
      </c>
      <c r="D122" t="s">
        <v>1327</v>
      </c>
      <c r="E122" t="s">
        <v>1339</v>
      </c>
      <c r="F122" s="12" t="s">
        <v>1342</v>
      </c>
      <c r="G122" s="8">
        <v>0.71099999999999997</v>
      </c>
      <c r="H122">
        <v>0.252</v>
      </c>
      <c r="I122" s="3">
        <v>0.94699999999999995</v>
      </c>
      <c r="K122" s="28"/>
      <c r="L122" s="28"/>
      <c r="M122" s="28"/>
      <c r="N122" s="28"/>
      <c r="O122" s="39"/>
      <c r="P122" s="39"/>
      <c r="Q122" s="39"/>
      <c r="R122" s="39"/>
      <c r="S122" s="39"/>
      <c r="T122" s="39"/>
      <c r="U122" s="39"/>
      <c r="V122" s="39"/>
      <c r="W122" s="39"/>
      <c r="X122" s="39"/>
      <c r="Y122" s="83"/>
      <c r="Z122" s="83"/>
      <c r="AE122" s="42"/>
      <c r="AF122" s="42"/>
      <c r="AG122" s="42"/>
      <c r="AH122" s="42"/>
      <c r="AI122" s="42"/>
      <c r="AJ122" s="42"/>
      <c r="AM122" s="146">
        <v>220</v>
      </c>
    </row>
    <row r="123" spans="1:39">
      <c r="A123" s="3">
        <f t="shared" si="22"/>
        <v>122</v>
      </c>
      <c r="B123" t="s">
        <v>1280</v>
      </c>
      <c r="C123">
        <v>5</v>
      </c>
      <c r="D123" t="s">
        <v>1327</v>
      </c>
      <c r="E123" t="s">
        <v>1339</v>
      </c>
      <c r="F123" s="12" t="s">
        <v>1343</v>
      </c>
      <c r="G123" s="8">
        <v>0.74299999999999999</v>
      </c>
      <c r="H123">
        <v>0.23799999999999999</v>
      </c>
      <c r="I123" s="3">
        <v>1.034</v>
      </c>
      <c r="AE123" s="42"/>
      <c r="AF123" s="42"/>
      <c r="AG123" s="42"/>
      <c r="AH123" s="42"/>
      <c r="AI123" s="42"/>
      <c r="AJ123" s="42"/>
      <c r="AM123" s="146">
        <v>220</v>
      </c>
    </row>
    <row r="124" spans="1:39">
      <c r="A124" s="3">
        <f t="shared" si="22"/>
        <v>123</v>
      </c>
      <c r="B124" t="s">
        <v>1280</v>
      </c>
      <c r="C124">
        <v>5</v>
      </c>
      <c r="D124" t="s">
        <v>1327</v>
      </c>
      <c r="E124" t="s">
        <v>1339</v>
      </c>
      <c r="F124" s="12" t="s">
        <v>1344</v>
      </c>
      <c r="G124" s="8">
        <v>0.80500000000000005</v>
      </c>
      <c r="H124">
        <v>0.29199999999999998</v>
      </c>
      <c r="I124" s="3">
        <v>0.97699999999999998</v>
      </c>
      <c r="AE124" s="42"/>
      <c r="AF124" s="42"/>
      <c r="AG124" s="42"/>
      <c r="AH124" s="42"/>
      <c r="AI124" s="42"/>
      <c r="AJ124" s="42"/>
      <c r="AM124" s="146">
        <v>220</v>
      </c>
    </row>
    <row r="125" spans="1:39">
      <c r="A125" s="3">
        <f t="shared" si="22"/>
        <v>124</v>
      </c>
      <c r="B125" t="s">
        <v>1280</v>
      </c>
      <c r="C125">
        <v>5</v>
      </c>
      <c r="D125" t="s">
        <v>1327</v>
      </c>
      <c r="E125" t="s">
        <v>1339</v>
      </c>
      <c r="F125" s="12" t="s">
        <v>1345</v>
      </c>
      <c r="G125" s="8">
        <v>2.6</v>
      </c>
      <c r="K125">
        <v>0.35</v>
      </c>
      <c r="L125">
        <v>51.51</v>
      </c>
      <c r="M125">
        <v>0.21</v>
      </c>
      <c r="R125">
        <v>1.88</v>
      </c>
      <c r="X125">
        <v>37.92</v>
      </c>
      <c r="AD125" s="3">
        <v>0.28999999999999998</v>
      </c>
      <c r="AE125" s="42">
        <f>K125/(K125+M125+N125+L125+O125+P125)</f>
        <v>6.7217207605146916E-3</v>
      </c>
      <c r="AF125" s="42">
        <f>L125/(K125+M125+N125+L125+O125+P125)</f>
        <v>0.98924524678317649</v>
      </c>
      <c r="AG125" s="42">
        <f>M125/(K125+M125+N125+L125+O125+P125)</f>
        <v>4.0330324563088151E-3</v>
      </c>
      <c r="AH125" s="42">
        <f>N125/(K125+M125+N125+L125+O125+P125)</f>
        <v>0</v>
      </c>
      <c r="AI125" s="42">
        <f>O125/(K125+M125+N125+L125+O125+P125)</f>
        <v>0</v>
      </c>
      <c r="AJ125" s="42">
        <f>P125/(K125+M125+N125+L125+O125+P125)</f>
        <v>0</v>
      </c>
      <c r="AL125">
        <f>(K125+L125+O125+M125+N125+P125)/SUM(K125:Z125)</f>
        <v>0.56677914444323496</v>
      </c>
      <c r="AM125" s="224">
        <v>191</v>
      </c>
    </row>
    <row r="126" spans="1:39">
      <c r="A126" s="3">
        <f t="shared" si="22"/>
        <v>125</v>
      </c>
      <c r="B126" t="s">
        <v>1280</v>
      </c>
      <c r="C126">
        <v>5</v>
      </c>
      <c r="D126" t="s">
        <v>1327</v>
      </c>
      <c r="E126" t="s">
        <v>1339</v>
      </c>
      <c r="F126" s="12" t="s">
        <v>1346</v>
      </c>
      <c r="G126" s="8">
        <v>2.5499999999999998</v>
      </c>
      <c r="K126">
        <v>0.44</v>
      </c>
      <c r="L126">
        <v>50.29</v>
      </c>
      <c r="M126">
        <v>0.22</v>
      </c>
      <c r="R126">
        <v>1.87</v>
      </c>
      <c r="X126">
        <v>37.82</v>
      </c>
      <c r="AD126" s="3">
        <v>0.27</v>
      </c>
      <c r="AE126" s="42">
        <f>K126/(K126+M126+N126+L126+O126+P126)</f>
        <v>8.6359175662414148E-3</v>
      </c>
      <c r="AF126" s="42">
        <f>L126/(K126+M126+N126+L126+O126+P126)</f>
        <v>0.98704612365063793</v>
      </c>
      <c r="AG126" s="42">
        <f>M126/(K126+M126+N126+L126+O126+P126)</f>
        <v>4.3179587831207074E-3</v>
      </c>
      <c r="AH126" s="42">
        <f>N126/(K126+M126+N126+L126+O126+P126)</f>
        <v>0</v>
      </c>
      <c r="AI126" s="42">
        <f>O126/(K126+M126+N126+L126+O126+P126)</f>
        <v>0</v>
      </c>
      <c r="AJ126" s="42">
        <f>P126/(K126+M126+N126+L126+O126+P126)</f>
        <v>0</v>
      </c>
      <c r="AL126">
        <f>(K126+L126+O126+M126+N126+P126)/SUM(K126:Z126)</f>
        <v>0.56211385701676964</v>
      </c>
      <c r="AM126" s="224">
        <v>191</v>
      </c>
    </row>
    <row r="127" spans="1:39">
      <c r="A127" s="3">
        <f t="shared" si="22"/>
        <v>126</v>
      </c>
      <c r="B127" t="s">
        <v>1280</v>
      </c>
      <c r="C127">
        <v>5</v>
      </c>
      <c r="D127" t="s">
        <v>1327</v>
      </c>
      <c r="E127" t="s">
        <v>1339</v>
      </c>
      <c r="F127" s="12" t="s">
        <v>1346</v>
      </c>
      <c r="G127" s="8">
        <v>2.5499999999999998</v>
      </c>
      <c r="K127">
        <v>0.55000000000000004</v>
      </c>
      <c r="L127">
        <v>51.43</v>
      </c>
      <c r="M127">
        <v>0.17</v>
      </c>
      <c r="R127">
        <v>1.77</v>
      </c>
      <c r="X127">
        <v>36.96</v>
      </c>
      <c r="AD127" s="3">
        <v>0.35</v>
      </c>
      <c r="AE127" s="42">
        <f>K127/(K127+M127+N127+L127+O127+P127)</f>
        <v>1.0546500479386387E-2</v>
      </c>
      <c r="AF127" s="42">
        <f>L127/(K127+M127+N127+L127+O127+P127)</f>
        <v>0.98619367209971243</v>
      </c>
      <c r="AG127" s="42">
        <f>M127/(K127+M127+N127+L127+O127+P127)</f>
        <v>3.2598274209012469E-3</v>
      </c>
      <c r="AH127" s="42">
        <f>N127/(K127+M127+N127+L127+O127+P127)</f>
        <v>0</v>
      </c>
      <c r="AI127" s="42">
        <f>O127/(K127+M127+N127+L127+O127+P127)</f>
        <v>0</v>
      </c>
      <c r="AJ127" s="42">
        <f>P127/(K127+M127+N127+L127+O127+P127)</f>
        <v>0</v>
      </c>
      <c r="AL127">
        <f>(K127+L127+O127+M127+N127+P127)/SUM(K127:Z127)</f>
        <v>0.57383362676056338</v>
      </c>
      <c r="AM127" s="224">
        <v>191</v>
      </c>
    </row>
    <row r="128" spans="1:39">
      <c r="A128" s="3">
        <f t="shared" si="22"/>
        <v>127</v>
      </c>
      <c r="B128" t="s">
        <v>1280</v>
      </c>
      <c r="C128">
        <v>5</v>
      </c>
      <c r="D128" t="s">
        <v>1327</v>
      </c>
      <c r="E128" t="s">
        <v>1347</v>
      </c>
      <c r="K128" s="48">
        <v>36.96</v>
      </c>
      <c r="L128" s="48">
        <v>28.6</v>
      </c>
      <c r="M128" s="48">
        <v>3.4</v>
      </c>
      <c r="N128" s="48">
        <v>0.49</v>
      </c>
      <c r="O128" s="48"/>
      <c r="P128" s="48">
        <v>6.08</v>
      </c>
      <c r="Q128" s="48"/>
      <c r="R128" s="48"/>
      <c r="S128" s="48"/>
      <c r="T128" s="48"/>
      <c r="X128" s="48">
        <v>0.15</v>
      </c>
      <c r="Y128" s="48"/>
      <c r="Z128" s="48"/>
      <c r="AA128" s="48"/>
      <c r="AB128" s="48"/>
      <c r="AC128" s="48"/>
      <c r="AD128" s="231"/>
      <c r="AE128" s="42">
        <f>K128/(K128+M128+N128+L128+O128+P128)</f>
        <v>0.48934198331788692</v>
      </c>
      <c r="AF128" s="42">
        <f>L128/(K128+M128+N128+L128+O128+P128)</f>
        <v>0.37865748709122204</v>
      </c>
      <c r="AG128" s="42">
        <f>M128/(K128+M128+N128+L128+O128+P128)</f>
        <v>4.5015225738117302E-2</v>
      </c>
      <c r="AH128" s="42">
        <f>N128/(K128+M128+N128+L128+O128+P128)</f>
        <v>6.4874884151992582E-3</v>
      </c>
      <c r="AI128" s="42">
        <f>O128/(K128+M128+N128+L128+O128+P128)</f>
        <v>0</v>
      </c>
      <c r="AJ128" s="42">
        <f>P128/(K128+M128+N128+L128+O128+P128)</f>
        <v>8.0497815437574477E-2</v>
      </c>
      <c r="AL128">
        <f>(K128+L128+O128+M128+N128+P128)/SUM(K128:Z128)</f>
        <v>0.99801797040169127</v>
      </c>
      <c r="AM128" s="226">
        <v>212</v>
      </c>
    </row>
    <row r="129" spans="1:39">
      <c r="A129" s="3">
        <f t="shared" si="22"/>
        <v>128</v>
      </c>
      <c r="B129" t="s">
        <v>1280</v>
      </c>
      <c r="C129">
        <v>5</v>
      </c>
      <c r="D129" t="s">
        <v>1327</v>
      </c>
      <c r="E129" t="s">
        <v>1348</v>
      </c>
      <c r="F129" s="12" t="s">
        <v>1349</v>
      </c>
      <c r="H129">
        <v>1.26</v>
      </c>
      <c r="K129" s="48"/>
      <c r="L129" s="48"/>
      <c r="M129" s="48"/>
      <c r="N129" s="48"/>
      <c r="O129" s="48"/>
      <c r="P129" s="48"/>
      <c r="Q129" s="48"/>
      <c r="R129" s="48"/>
      <c r="S129" s="48"/>
      <c r="T129" s="48"/>
      <c r="X129" s="48"/>
      <c r="Y129" s="48"/>
      <c r="Z129" s="48"/>
      <c r="AA129" s="48"/>
      <c r="AB129" s="48"/>
      <c r="AC129" s="48"/>
      <c r="AD129" s="231"/>
      <c r="AE129" s="42"/>
      <c r="AF129" s="42"/>
      <c r="AG129" s="42"/>
      <c r="AH129" s="42"/>
      <c r="AI129" s="42"/>
      <c r="AJ129" s="42"/>
      <c r="AM129" s="226">
        <v>174</v>
      </c>
    </row>
    <row r="130" spans="1:39">
      <c r="A130" s="3">
        <f t="shared" si="22"/>
        <v>129</v>
      </c>
      <c r="B130" t="s">
        <v>1280</v>
      </c>
      <c r="C130">
        <v>5</v>
      </c>
      <c r="D130" t="s">
        <v>1327</v>
      </c>
      <c r="E130" t="s">
        <v>1348</v>
      </c>
      <c r="F130" s="12" t="s">
        <v>1350</v>
      </c>
      <c r="H130">
        <v>1.33</v>
      </c>
      <c r="K130" s="48"/>
      <c r="L130" s="48"/>
      <c r="M130" s="48"/>
      <c r="N130" s="48"/>
      <c r="O130" s="48"/>
      <c r="P130" s="48"/>
      <c r="Q130" s="48"/>
      <c r="R130" s="48"/>
      <c r="S130" s="48"/>
      <c r="T130" s="48"/>
      <c r="X130" s="48"/>
      <c r="Y130" s="48"/>
      <c r="Z130" s="48"/>
      <c r="AA130" s="48"/>
      <c r="AB130" s="48"/>
      <c r="AC130" s="48"/>
      <c r="AD130" s="231"/>
      <c r="AE130" s="42"/>
      <c r="AF130" s="42"/>
      <c r="AG130" s="42"/>
      <c r="AH130" s="42"/>
      <c r="AI130" s="42"/>
      <c r="AJ130" s="42"/>
      <c r="AM130" s="226">
        <v>174</v>
      </c>
    </row>
    <row r="131" spans="1:39">
      <c r="A131" s="3">
        <f t="shared" si="22"/>
        <v>130</v>
      </c>
      <c r="B131" t="s">
        <v>1280</v>
      </c>
      <c r="C131">
        <v>5</v>
      </c>
      <c r="D131" t="s">
        <v>1327</v>
      </c>
      <c r="E131" t="s">
        <v>1348</v>
      </c>
      <c r="F131" s="12" t="s">
        <v>1351</v>
      </c>
      <c r="H131">
        <v>2.15</v>
      </c>
      <c r="K131" s="48"/>
      <c r="L131" s="48"/>
      <c r="M131" s="48"/>
      <c r="N131" s="48"/>
      <c r="O131" s="48"/>
      <c r="P131" s="48"/>
      <c r="Q131" s="48"/>
      <c r="R131" s="48"/>
      <c r="S131" s="48"/>
      <c r="T131" s="48"/>
      <c r="X131" s="48"/>
      <c r="Y131" s="48"/>
      <c r="Z131" s="48"/>
      <c r="AA131" s="48"/>
      <c r="AB131" s="48"/>
      <c r="AC131" s="48"/>
      <c r="AD131" s="231"/>
      <c r="AE131" s="42"/>
      <c r="AF131" s="42"/>
      <c r="AG131" s="42"/>
      <c r="AH131" s="42"/>
      <c r="AI131" s="42"/>
      <c r="AJ131" s="42"/>
      <c r="AM131" s="226">
        <v>174</v>
      </c>
    </row>
    <row r="132" spans="1:39">
      <c r="A132" s="3">
        <f t="shared" ref="A132:A195" si="38">A131+1</f>
        <v>131</v>
      </c>
      <c r="B132" t="s">
        <v>1280</v>
      </c>
      <c r="C132">
        <v>5</v>
      </c>
      <c r="D132" t="s">
        <v>1327</v>
      </c>
      <c r="E132" t="s">
        <v>1352</v>
      </c>
      <c r="F132" s="12" t="s">
        <v>1349</v>
      </c>
      <c r="H132">
        <v>2.0699999999999998</v>
      </c>
      <c r="K132" s="48"/>
      <c r="L132" s="48"/>
      <c r="M132" s="48"/>
      <c r="N132" s="48"/>
      <c r="O132" s="48"/>
      <c r="P132" s="48"/>
      <c r="Q132" s="48"/>
      <c r="R132" s="48"/>
      <c r="S132" s="48"/>
      <c r="T132" s="48"/>
      <c r="X132" s="48"/>
      <c r="Y132" s="48"/>
      <c r="Z132" s="48"/>
      <c r="AA132" s="48"/>
      <c r="AB132" s="48"/>
      <c r="AC132" s="48"/>
      <c r="AD132" s="231"/>
      <c r="AE132" s="42"/>
      <c r="AF132" s="42"/>
      <c r="AG132" s="42"/>
      <c r="AH132" s="42"/>
      <c r="AI132" s="42"/>
      <c r="AJ132" s="42"/>
      <c r="AM132" s="226">
        <v>174</v>
      </c>
    </row>
    <row r="133" spans="1:39">
      <c r="A133" s="3">
        <f t="shared" si="38"/>
        <v>132</v>
      </c>
      <c r="B133" t="s">
        <v>1280</v>
      </c>
      <c r="C133">
        <v>5</v>
      </c>
      <c r="D133" t="s">
        <v>1327</v>
      </c>
      <c r="E133" t="s">
        <v>1352</v>
      </c>
      <c r="F133" s="12" t="s">
        <v>1350</v>
      </c>
      <c r="H133">
        <v>2.94</v>
      </c>
      <c r="K133" s="48"/>
      <c r="L133" s="48"/>
      <c r="M133" s="48"/>
      <c r="N133" s="48"/>
      <c r="O133" s="48"/>
      <c r="P133" s="48"/>
      <c r="Q133" s="48"/>
      <c r="R133" s="48"/>
      <c r="S133" s="48"/>
      <c r="T133" s="48"/>
      <c r="X133" s="48"/>
      <c r="Y133" s="48"/>
      <c r="Z133" s="48"/>
      <c r="AA133" s="48"/>
      <c r="AB133" s="48"/>
      <c r="AC133" s="48"/>
      <c r="AD133" s="231"/>
      <c r="AE133" s="42"/>
      <c r="AF133" s="42"/>
      <c r="AG133" s="42"/>
      <c r="AH133" s="42"/>
      <c r="AI133" s="42"/>
      <c r="AJ133" s="42"/>
      <c r="AM133" s="226">
        <v>174</v>
      </c>
    </row>
    <row r="134" spans="1:39">
      <c r="A134" s="3">
        <f t="shared" si="38"/>
        <v>133</v>
      </c>
      <c r="B134" t="s">
        <v>1280</v>
      </c>
      <c r="C134">
        <v>5</v>
      </c>
      <c r="D134" t="s">
        <v>1327</v>
      </c>
      <c r="E134" t="s">
        <v>1352</v>
      </c>
      <c r="F134" s="12" t="s">
        <v>1353</v>
      </c>
      <c r="H134">
        <v>2.8</v>
      </c>
      <c r="K134" s="48"/>
      <c r="L134" s="48"/>
      <c r="M134" s="48"/>
      <c r="N134" s="48"/>
      <c r="O134" s="48"/>
      <c r="P134" s="48"/>
      <c r="Q134" s="48"/>
      <c r="R134" s="48"/>
      <c r="S134" s="48"/>
      <c r="T134" s="48"/>
      <c r="X134" s="48"/>
      <c r="Y134" s="48"/>
      <c r="Z134" s="48"/>
      <c r="AA134" s="48"/>
      <c r="AB134" s="48"/>
      <c r="AC134" s="48"/>
      <c r="AD134" s="231"/>
      <c r="AE134" s="42"/>
      <c r="AF134" s="42"/>
      <c r="AG134" s="42"/>
      <c r="AH134" s="42"/>
      <c r="AI134" s="42"/>
      <c r="AJ134" s="42"/>
      <c r="AM134" s="226">
        <v>174</v>
      </c>
    </row>
    <row r="135" spans="1:39">
      <c r="A135" s="3">
        <f t="shared" si="38"/>
        <v>134</v>
      </c>
      <c r="B135" t="s">
        <v>1280</v>
      </c>
      <c r="C135">
        <v>5</v>
      </c>
      <c r="D135" t="s">
        <v>1327</v>
      </c>
      <c r="E135" t="s">
        <v>1352</v>
      </c>
      <c r="F135" s="12" t="s">
        <v>1354</v>
      </c>
      <c r="G135" s="8">
        <v>2.6970000000000001</v>
      </c>
      <c r="H135">
        <v>2.92</v>
      </c>
      <c r="I135" s="3">
        <v>0.64200000000000002</v>
      </c>
      <c r="K135" s="48"/>
      <c r="L135" s="48"/>
      <c r="M135" s="48"/>
      <c r="N135" s="48"/>
      <c r="O135" s="48"/>
      <c r="P135" s="48"/>
      <c r="Q135" s="48"/>
      <c r="R135" s="48"/>
      <c r="S135" s="48"/>
      <c r="T135" s="48"/>
      <c r="X135" s="48"/>
      <c r="Y135" s="48"/>
      <c r="Z135" s="48"/>
      <c r="AA135" s="48"/>
      <c r="AB135" s="48"/>
      <c r="AC135" s="48"/>
      <c r="AD135" s="231"/>
      <c r="AE135" s="42"/>
      <c r="AF135" s="42"/>
      <c r="AG135" s="42"/>
      <c r="AH135" s="42"/>
      <c r="AI135" s="42"/>
      <c r="AJ135" s="42"/>
      <c r="AM135" s="226">
        <v>219</v>
      </c>
    </row>
    <row r="136" spans="1:39">
      <c r="A136" s="3">
        <f t="shared" si="38"/>
        <v>135</v>
      </c>
      <c r="B136" t="s">
        <v>1280</v>
      </c>
      <c r="C136">
        <v>5</v>
      </c>
      <c r="D136" t="s">
        <v>1327</v>
      </c>
      <c r="E136" t="s">
        <v>1352</v>
      </c>
      <c r="F136" s="12" t="s">
        <v>1355</v>
      </c>
      <c r="G136" s="8">
        <v>2.835</v>
      </c>
      <c r="H136">
        <v>3.62</v>
      </c>
      <c r="I136" s="3">
        <v>0.68</v>
      </c>
      <c r="K136" s="48"/>
      <c r="L136" s="48"/>
      <c r="M136" s="48"/>
      <c r="N136" s="48"/>
      <c r="O136" s="48"/>
      <c r="P136" s="48"/>
      <c r="Q136" s="48"/>
      <c r="R136" s="48"/>
      <c r="S136" s="48"/>
      <c r="T136" s="48"/>
      <c r="X136" s="48"/>
      <c r="Y136" s="48"/>
      <c r="Z136" s="48"/>
      <c r="AA136" s="48"/>
      <c r="AB136" s="48"/>
      <c r="AC136" s="48"/>
      <c r="AD136" s="231"/>
      <c r="AE136" s="42"/>
      <c r="AF136" s="42"/>
      <c r="AG136" s="42"/>
      <c r="AH136" s="42"/>
      <c r="AI136" s="42"/>
      <c r="AJ136" s="42"/>
      <c r="AM136" s="226">
        <v>219</v>
      </c>
    </row>
    <row r="137" spans="1:39">
      <c r="A137" s="3">
        <f t="shared" si="38"/>
        <v>136</v>
      </c>
      <c r="B137" t="s">
        <v>1280</v>
      </c>
      <c r="C137">
        <v>5</v>
      </c>
      <c r="D137" t="s">
        <v>1327</v>
      </c>
      <c r="E137" t="s">
        <v>1352</v>
      </c>
      <c r="F137" s="12" t="s">
        <v>1356</v>
      </c>
      <c r="G137" s="8">
        <v>2.7010000000000001</v>
      </c>
      <c r="H137">
        <v>3.1</v>
      </c>
      <c r="I137" s="3">
        <v>0.64400000000000002</v>
      </c>
      <c r="K137" s="48"/>
      <c r="L137" s="48"/>
      <c r="M137" s="48"/>
      <c r="N137" s="48"/>
      <c r="O137" s="48"/>
      <c r="P137" s="48"/>
      <c r="Q137" s="48"/>
      <c r="R137" s="48"/>
      <c r="S137" s="48"/>
      <c r="T137" s="48"/>
      <c r="X137" s="48"/>
      <c r="Y137" s="48"/>
      <c r="Z137" s="48"/>
      <c r="AA137" s="48"/>
      <c r="AB137" s="48"/>
      <c r="AC137" s="48"/>
      <c r="AD137" s="231"/>
      <c r="AE137" s="42"/>
      <c r="AF137" s="42"/>
      <c r="AG137" s="42"/>
      <c r="AH137" s="42"/>
      <c r="AI137" s="42"/>
      <c r="AJ137" s="42"/>
      <c r="AM137" s="226">
        <v>219</v>
      </c>
    </row>
    <row r="138" spans="1:39">
      <c r="A138" s="3">
        <f t="shared" si="38"/>
        <v>137</v>
      </c>
      <c r="B138" t="s">
        <v>1280</v>
      </c>
      <c r="C138">
        <v>5</v>
      </c>
      <c r="D138" t="s">
        <v>1327</v>
      </c>
      <c r="E138" t="s">
        <v>1352</v>
      </c>
      <c r="F138" s="12" t="s">
        <v>1357</v>
      </c>
      <c r="G138" s="8">
        <v>2.835</v>
      </c>
      <c r="H138">
        <v>5.46</v>
      </c>
      <c r="I138" s="3">
        <v>0.56200000000000006</v>
      </c>
      <c r="K138" s="48"/>
      <c r="L138" s="48"/>
      <c r="M138" s="48"/>
      <c r="N138" s="48"/>
      <c r="O138" s="48"/>
      <c r="P138" s="48"/>
      <c r="Q138" s="48"/>
      <c r="R138" s="48"/>
      <c r="S138" s="48"/>
      <c r="T138" s="48"/>
      <c r="X138" s="48"/>
      <c r="Y138" s="48"/>
      <c r="Z138" s="48"/>
      <c r="AA138" s="48"/>
      <c r="AB138" s="48"/>
      <c r="AC138" s="48"/>
      <c r="AD138" s="231"/>
      <c r="AE138" s="42"/>
      <c r="AF138" s="42"/>
      <c r="AG138" s="42"/>
      <c r="AH138" s="42"/>
      <c r="AI138" s="42"/>
      <c r="AJ138" s="42"/>
      <c r="AM138" s="226">
        <v>219</v>
      </c>
    </row>
    <row r="139" spans="1:39">
      <c r="A139" s="3">
        <f t="shared" si="38"/>
        <v>138</v>
      </c>
      <c r="B139" t="s">
        <v>1280</v>
      </c>
      <c r="C139">
        <v>5</v>
      </c>
      <c r="D139" t="s">
        <v>1327</v>
      </c>
      <c r="E139" t="s">
        <v>1358</v>
      </c>
      <c r="K139">
        <v>0.56999999999999995</v>
      </c>
      <c r="L139">
        <v>55.26</v>
      </c>
      <c r="M139" s="17">
        <v>0.11</v>
      </c>
      <c r="N139" s="17">
        <v>0.16</v>
      </c>
      <c r="O139" s="17">
        <v>0.05</v>
      </c>
      <c r="P139">
        <v>0.2</v>
      </c>
      <c r="Q139" s="17"/>
      <c r="R139">
        <v>0.02</v>
      </c>
      <c r="X139" s="17">
        <v>0.06</v>
      </c>
      <c r="Y139" s="17">
        <v>0.01</v>
      </c>
      <c r="AA139" s="17">
        <v>0.01</v>
      </c>
      <c r="AB139" s="17"/>
      <c r="AC139" s="17"/>
      <c r="AD139" s="3">
        <v>0.03</v>
      </c>
      <c r="AE139" s="42">
        <f>K139/(K139+M139+N139+L139+O139+P139)</f>
        <v>1.0115350488021294E-2</v>
      </c>
      <c r="AF139" s="42">
        <f>L139/(K139+M139+N139+L139+O139+P139)</f>
        <v>0.98065661047027497</v>
      </c>
      <c r="AG139" s="42">
        <f>M139/(K139+M139+N139+L139+O139+P139)</f>
        <v>1.9520851818988464E-3</v>
      </c>
      <c r="AH139" s="42">
        <f>N139/(K139+M139+N139+L139+O139+P139)</f>
        <v>2.8393966282165041E-3</v>
      </c>
      <c r="AI139" s="42">
        <f>O139/(K139+M139+N139+L139+O139+P139)</f>
        <v>8.8731144631765753E-4</v>
      </c>
      <c r="AJ139" s="42">
        <f>P139/(K139+M139+N139+L139+O139+P139)</f>
        <v>3.5492457852706301E-3</v>
      </c>
      <c r="AL139">
        <f>(K139+L139+O139+M139+N139+P139)/SUM(K139:Z139)</f>
        <v>0.99840538625088582</v>
      </c>
      <c r="AM139" s="227">
        <v>198</v>
      </c>
    </row>
    <row r="140" spans="1:39">
      <c r="A140" s="3">
        <f t="shared" si="38"/>
        <v>139</v>
      </c>
      <c r="B140" t="s">
        <v>1280</v>
      </c>
      <c r="C140">
        <v>5</v>
      </c>
      <c r="D140" t="s">
        <v>1327</v>
      </c>
      <c r="E140" t="s">
        <v>1359</v>
      </c>
      <c r="K140">
        <v>0.115</v>
      </c>
      <c r="L140">
        <v>55.44</v>
      </c>
      <c r="M140" s="17">
        <v>0.23</v>
      </c>
      <c r="N140" s="17">
        <v>0.22</v>
      </c>
      <c r="O140" s="17"/>
      <c r="P140">
        <v>0.97</v>
      </c>
      <c r="Q140" s="17"/>
      <c r="AE140" s="42">
        <f>K140/(K140+M140+N140+L140+O140+P140)</f>
        <v>2.0184291355857835E-3</v>
      </c>
      <c r="AF140" s="42">
        <f>L140/(K140+M140+N140+L140+O140+P140)</f>
        <v>0.97305835892935499</v>
      </c>
      <c r="AG140" s="42">
        <f>M140/(K140+M140+N140+L140+O140+P140)</f>
        <v>4.0368582711715669E-3</v>
      </c>
      <c r="AH140" s="42">
        <f>N140/(K140+M140+N140+L140+O140+P140)</f>
        <v>3.8613426941641075E-3</v>
      </c>
      <c r="AI140" s="42">
        <f>O140/(K140+M140+N140+L140+O140+P140)</f>
        <v>0</v>
      </c>
      <c r="AJ140" s="42">
        <f>P140/(K140+M140+N140+L140+O140+P140)</f>
        <v>1.7025010969723565E-2</v>
      </c>
      <c r="AL140">
        <f>(K140+L140+O140+M140+N140+P140)/SUM(K140:Z140)</f>
        <v>1</v>
      </c>
      <c r="AM140" s="227">
        <v>198</v>
      </c>
    </row>
    <row r="141" spans="1:39">
      <c r="A141" s="3">
        <f t="shared" si="38"/>
        <v>140</v>
      </c>
      <c r="B141" t="s">
        <v>1280</v>
      </c>
      <c r="C141">
        <v>5</v>
      </c>
      <c r="D141" t="s">
        <v>1327</v>
      </c>
      <c r="E141" t="s">
        <v>1360</v>
      </c>
      <c r="K141">
        <v>69.88</v>
      </c>
      <c r="L141">
        <v>3.71</v>
      </c>
      <c r="M141" s="17">
        <v>7.73</v>
      </c>
      <c r="N141" s="17">
        <v>12.21</v>
      </c>
      <c r="O141" s="17">
        <v>3</v>
      </c>
      <c r="P141">
        <v>7.0000000000000007E-2</v>
      </c>
      <c r="Q141" s="17">
        <v>3.65</v>
      </c>
      <c r="R141">
        <v>0.03</v>
      </c>
      <c r="S141" s="17">
        <v>0.05</v>
      </c>
      <c r="T141">
        <v>7.0000000000000007E-2</v>
      </c>
      <c r="X141" s="17">
        <v>0.05</v>
      </c>
      <c r="Y141" s="17">
        <v>0.01</v>
      </c>
      <c r="Z141">
        <v>7.0000000000000007E-2</v>
      </c>
      <c r="AE141" s="42">
        <f>K141/(K141+M141+N141+L141+O141+P141)</f>
        <v>0.72339544513457565</v>
      </c>
      <c r="AF141" s="42">
        <f>L141/(K141+M141+N141+L141+O141+P141)</f>
        <v>3.8405797101449285E-2</v>
      </c>
      <c r="AG141" s="42">
        <f>M141/(K141+M141+N141+L141+O141+P141)</f>
        <v>8.0020703933747439E-2</v>
      </c>
      <c r="AH141" s="42">
        <f>N141/(K141+M141+N141+L141+O141+P141)</f>
        <v>0.12639751552795034</v>
      </c>
      <c r="AI141" s="42">
        <f>O141/(K141+M141+N141+L141+O141+P141)</f>
        <v>3.1055900621118019E-2</v>
      </c>
      <c r="AJ141" s="42">
        <f>P141/(K141+M141+N141+L141+O141+P141)</f>
        <v>7.2463768115942052E-4</v>
      </c>
      <c r="AL141">
        <f>(K141+L141+O141+M141+N141+P141)/SUM(K141:Z141)</f>
        <v>0.9609071918830201</v>
      </c>
      <c r="AM141" s="227">
        <v>198</v>
      </c>
    </row>
    <row r="142" spans="1:39">
      <c r="A142" s="3">
        <f t="shared" si="38"/>
        <v>141</v>
      </c>
      <c r="B142" t="s">
        <v>1280</v>
      </c>
      <c r="C142">
        <v>5</v>
      </c>
      <c r="D142" t="s">
        <v>1327</v>
      </c>
      <c r="E142" t="s">
        <v>1361</v>
      </c>
      <c r="K142">
        <v>57.2</v>
      </c>
      <c r="L142">
        <v>11.8</v>
      </c>
      <c r="M142" s="17">
        <v>3.3</v>
      </c>
      <c r="N142" s="17">
        <v>5.4</v>
      </c>
      <c r="O142" s="17">
        <v>0</v>
      </c>
      <c r="P142" s="17">
        <v>4.5999999999999996</v>
      </c>
      <c r="Q142" s="17">
        <v>0</v>
      </c>
      <c r="S142" s="17"/>
      <c r="X142" s="17"/>
      <c r="Y142" s="17"/>
      <c r="AE142" s="42">
        <f>K142/(K142+M142+N142+L142+O142+P142)</f>
        <v>0.69501822600243024</v>
      </c>
      <c r="AF142" s="42">
        <f>L142/(K142+M142+N142+L142+O142+P142)</f>
        <v>0.14337788578371813</v>
      </c>
      <c r="AG142" s="42">
        <f>M142/(K142+M142+N142+L142+O142+P142)</f>
        <v>4.0097205346294046E-2</v>
      </c>
      <c r="AH142" s="42">
        <f>N142/(K142+M142+N142+L142+O142+P142)</f>
        <v>6.561360874848117E-2</v>
      </c>
      <c r="AI142" s="42">
        <f>O142/(K142+M142+N142+L142+O142+P142)</f>
        <v>0</v>
      </c>
      <c r="AJ142" s="42">
        <f>P142/(K142+M142+N142+L142+O142+P142)</f>
        <v>5.5893074119076548E-2</v>
      </c>
      <c r="AL142">
        <f>(K142+L142+O142+M142+N142+P142)/SUM(K142:Z142)</f>
        <v>1</v>
      </c>
      <c r="AM142" s="227">
        <v>197</v>
      </c>
    </row>
    <row r="143" spans="1:39">
      <c r="A143" s="3">
        <f t="shared" si="38"/>
        <v>142</v>
      </c>
      <c r="B143" t="s">
        <v>1280</v>
      </c>
      <c r="C143">
        <v>5</v>
      </c>
      <c r="D143" t="s">
        <v>1327</v>
      </c>
      <c r="E143" t="s">
        <v>1362</v>
      </c>
      <c r="G143" s="8">
        <v>2.62</v>
      </c>
      <c r="M143" s="17"/>
      <c r="N143" s="17"/>
      <c r="O143" s="17"/>
      <c r="P143" s="17"/>
      <c r="Q143" s="17"/>
      <c r="S143" s="17"/>
      <c r="X143" s="17"/>
      <c r="Y143" s="17"/>
      <c r="AE143" s="42"/>
      <c r="AF143" s="42"/>
      <c r="AG143" s="42"/>
      <c r="AH143" s="42"/>
      <c r="AI143" s="42"/>
      <c r="AJ143" s="42"/>
      <c r="AM143" s="227">
        <v>211</v>
      </c>
    </row>
    <row r="144" spans="1:39">
      <c r="A144" s="3">
        <f t="shared" si="38"/>
        <v>143</v>
      </c>
      <c r="B144" t="s">
        <v>1280</v>
      </c>
      <c r="C144">
        <v>5</v>
      </c>
      <c r="D144" t="s">
        <v>1327</v>
      </c>
      <c r="E144" t="s">
        <v>1362</v>
      </c>
      <c r="F144" s="12" t="s">
        <v>1363</v>
      </c>
      <c r="G144" s="8">
        <v>1.5</v>
      </c>
      <c r="H144">
        <v>1.1825000000000001</v>
      </c>
      <c r="M144" s="17"/>
      <c r="N144" s="17"/>
      <c r="O144" s="17"/>
      <c r="P144" s="17"/>
      <c r="Q144" s="17"/>
      <c r="S144" s="17"/>
      <c r="X144" s="17"/>
      <c r="Y144" s="17"/>
      <c r="AE144" s="42"/>
      <c r="AF144" s="42"/>
      <c r="AG144" s="42"/>
      <c r="AH144" s="42"/>
      <c r="AI144" s="42"/>
      <c r="AJ144" s="42"/>
      <c r="AM144" s="224">
        <v>218</v>
      </c>
    </row>
    <row r="145" spans="1:39">
      <c r="A145" s="3">
        <f t="shared" si="38"/>
        <v>144</v>
      </c>
      <c r="B145" t="s">
        <v>1280</v>
      </c>
      <c r="C145">
        <v>5</v>
      </c>
      <c r="D145" t="s">
        <v>1327</v>
      </c>
      <c r="E145" t="s">
        <v>1362</v>
      </c>
      <c r="F145" s="12" t="s">
        <v>1364</v>
      </c>
      <c r="G145" s="8">
        <v>1.6</v>
      </c>
      <c r="H145">
        <v>1.335</v>
      </c>
      <c r="I145" s="3">
        <v>0.67</v>
      </c>
      <c r="K145">
        <v>88.48</v>
      </c>
      <c r="L145">
        <v>0.53</v>
      </c>
      <c r="M145">
        <v>1.1100000000000001</v>
      </c>
      <c r="N145">
        <v>5.23</v>
      </c>
      <c r="P145">
        <v>0.42</v>
      </c>
      <c r="Q145">
        <v>0.05</v>
      </c>
      <c r="AE145" s="42">
        <f>K145/(K145+M145+N145+L145+O145+P145)</f>
        <v>0.92388012947687159</v>
      </c>
      <c r="AF145" s="42">
        <f>L145/(K145+M145+N145+L145+O145+P145)</f>
        <v>5.5340920956458177E-3</v>
      </c>
      <c r="AG145" s="42">
        <f>M145/(K145+M145+N145+L145+O145+P145)</f>
        <v>1.1590268351258223E-2</v>
      </c>
      <c r="AH145" s="42">
        <f>N145/(K145+M145+N145+L145+O145+P145)</f>
        <v>5.4610003132504956E-2</v>
      </c>
      <c r="AI145" s="42">
        <f>O145/(K145+M145+N145+L145+O145+P145)</f>
        <v>0</v>
      </c>
      <c r="AJ145" s="42">
        <f>P145/(K145+M145+N145+L145+O145+P145)</f>
        <v>4.3855069437193266E-3</v>
      </c>
      <c r="AL145">
        <f>(K145+L145+O145+M145+N145+P145)/SUM(K145:Z145)</f>
        <v>0.99947818826967239</v>
      </c>
      <c r="AM145" s="146">
        <v>194</v>
      </c>
    </row>
    <row r="146" spans="1:39">
      <c r="A146" s="3">
        <f t="shared" si="38"/>
        <v>145</v>
      </c>
      <c r="B146" t="s">
        <v>1280</v>
      </c>
      <c r="C146">
        <v>5</v>
      </c>
      <c r="D146" t="s">
        <v>1327</v>
      </c>
      <c r="E146" t="s">
        <v>1365</v>
      </c>
      <c r="H146">
        <v>0.5</v>
      </c>
      <c r="I146" s="3">
        <v>0.8</v>
      </c>
      <c r="T146">
        <v>0.01</v>
      </c>
      <c r="AE146" s="42"/>
      <c r="AF146" s="42"/>
      <c r="AG146" s="42"/>
      <c r="AH146" s="42"/>
      <c r="AI146" s="42"/>
      <c r="AJ146" s="42"/>
      <c r="AM146" s="146">
        <v>207</v>
      </c>
    </row>
    <row r="147" spans="1:39">
      <c r="A147" s="3">
        <f t="shared" si="38"/>
        <v>146</v>
      </c>
      <c r="B147" t="s">
        <v>1280</v>
      </c>
      <c r="C147">
        <v>5</v>
      </c>
      <c r="D147" t="s">
        <v>1327</v>
      </c>
      <c r="E147" t="s">
        <v>1365</v>
      </c>
      <c r="F147" s="12" t="s">
        <v>1366</v>
      </c>
      <c r="G147" s="8">
        <v>2.72</v>
      </c>
      <c r="AE147" s="42"/>
      <c r="AF147" s="42"/>
      <c r="AG147" s="42"/>
      <c r="AH147" s="42"/>
      <c r="AI147" s="42"/>
      <c r="AJ147" s="42"/>
      <c r="AM147" s="146">
        <v>213</v>
      </c>
    </row>
    <row r="148" spans="1:39">
      <c r="A148" s="3">
        <f t="shared" si="38"/>
        <v>147</v>
      </c>
      <c r="B148" t="s">
        <v>1280</v>
      </c>
      <c r="C148">
        <v>5</v>
      </c>
      <c r="D148" t="s">
        <v>1327</v>
      </c>
      <c r="E148" t="s">
        <v>1365</v>
      </c>
      <c r="F148" s="12" t="s">
        <v>1367</v>
      </c>
      <c r="G148" s="8">
        <v>2.68</v>
      </c>
      <c r="AE148" s="42"/>
      <c r="AF148" s="42"/>
      <c r="AG148" s="42"/>
      <c r="AH148" s="42"/>
      <c r="AI148" s="42"/>
      <c r="AJ148" s="42"/>
      <c r="AM148" s="146">
        <v>213</v>
      </c>
    </row>
    <row r="149" spans="1:39">
      <c r="A149" s="3">
        <f t="shared" si="38"/>
        <v>148</v>
      </c>
      <c r="B149" t="s">
        <v>1280</v>
      </c>
      <c r="C149">
        <v>5</v>
      </c>
      <c r="D149" t="s">
        <v>1327</v>
      </c>
      <c r="E149" t="s">
        <v>1365</v>
      </c>
      <c r="F149" s="12" t="s">
        <v>1368</v>
      </c>
      <c r="G149" s="8">
        <v>2.64</v>
      </c>
      <c r="AE149" s="42"/>
      <c r="AF149" s="42"/>
      <c r="AG149" s="42"/>
      <c r="AH149" s="42"/>
      <c r="AI149" s="42"/>
      <c r="AJ149" s="42"/>
      <c r="AM149" s="146">
        <v>213</v>
      </c>
    </row>
    <row r="150" spans="1:39">
      <c r="A150" s="3">
        <f t="shared" si="38"/>
        <v>149</v>
      </c>
      <c r="B150" t="s">
        <v>1280</v>
      </c>
      <c r="C150">
        <v>5</v>
      </c>
      <c r="D150" t="s">
        <v>1327</v>
      </c>
      <c r="E150" t="s">
        <v>1369</v>
      </c>
      <c r="F150" s="12" t="s">
        <v>1370</v>
      </c>
      <c r="G150" s="8">
        <v>2.69</v>
      </c>
      <c r="K150">
        <v>46.35</v>
      </c>
      <c r="L150">
        <v>1.78</v>
      </c>
      <c r="M150">
        <v>2.06</v>
      </c>
      <c r="N150">
        <v>20.85</v>
      </c>
      <c r="P150">
        <v>0.22</v>
      </c>
      <c r="S150">
        <v>2.19</v>
      </c>
      <c r="T150">
        <v>0.16</v>
      </c>
      <c r="AE150" s="42">
        <f>K150/(K150+M150+N150+L150+O150+P150)</f>
        <v>0.65043502666292452</v>
      </c>
      <c r="AF150" s="42">
        <f>L150/(K150+M150+N150+L150+O150+P150)</f>
        <v>2.4978950322761716E-2</v>
      </c>
      <c r="AG150" s="42">
        <f>M150/(K150+M150+N150+L150+O150+P150)</f>
        <v>2.8908223407241088E-2</v>
      </c>
      <c r="AH150" s="42">
        <f>N150/(K150+M150+N150+L150+O150+P150)</f>
        <v>0.29259051361212463</v>
      </c>
      <c r="AI150" s="42">
        <f>O150/(K150+M150+N150+L150+O150+P150)</f>
        <v>0</v>
      </c>
      <c r="AJ150" s="42">
        <f>P150/(K150+M150+N150+L150+O150+P150)</f>
        <v>3.0872859949480774E-3</v>
      </c>
      <c r="AL150">
        <f>(K150+L150+O150+M150+N150+P150)/SUM(K150:Z150)</f>
        <v>0.96807498981116702</v>
      </c>
      <c r="AM150" s="146">
        <v>201</v>
      </c>
    </row>
    <row r="151" spans="1:39">
      <c r="A151" s="3">
        <f t="shared" si="38"/>
        <v>150</v>
      </c>
      <c r="B151" t="s">
        <v>1280</v>
      </c>
      <c r="C151">
        <v>5</v>
      </c>
      <c r="D151" t="s">
        <v>1327</v>
      </c>
      <c r="E151" t="s">
        <v>1371</v>
      </c>
      <c r="F151" s="12" t="s">
        <v>1372</v>
      </c>
      <c r="G151" s="8">
        <v>2.64</v>
      </c>
      <c r="K151">
        <v>20.3</v>
      </c>
      <c r="L151">
        <v>1.1000000000000001</v>
      </c>
      <c r="M151">
        <v>2.65</v>
      </c>
      <c r="N151">
        <v>5.4660000000000002</v>
      </c>
      <c r="P151">
        <v>0.59</v>
      </c>
      <c r="S151">
        <v>0.39</v>
      </c>
      <c r="T151">
        <v>0.05</v>
      </c>
      <c r="AE151" s="42">
        <f>K151/(K151+M151+N151+L151+O151+P151)</f>
        <v>0.67428419584136057</v>
      </c>
      <c r="AF151" s="42">
        <f>L151/(K151+M151+N151+L151+O151+P151)</f>
        <v>3.6537567262339733E-2</v>
      </c>
      <c r="AG151" s="42">
        <f>M151/(K151+M151+N151+L151+O151+P151)</f>
        <v>8.8022321132000259E-2</v>
      </c>
      <c r="AH151" s="42">
        <f>N151/(K151+M151+N151+L151+O151+P151)</f>
        <v>0.18155849332358998</v>
      </c>
      <c r="AI151" s="42">
        <f>O151/(K151+M151+N151+L151+O151+P151)</f>
        <v>0</v>
      </c>
      <c r="AJ151" s="42">
        <f>P151/(K151+M151+N151+L151+O151+P151)</f>
        <v>1.9597422440709489E-2</v>
      </c>
      <c r="AL151">
        <f>(K151+L151+O151+M151+N151+P151)/SUM(K151:Z151)</f>
        <v>0.98559549531853596</v>
      </c>
      <c r="AM151" s="146">
        <v>201</v>
      </c>
    </row>
    <row r="152" spans="1:39">
      <c r="A152" s="3">
        <f t="shared" si="38"/>
        <v>151</v>
      </c>
      <c r="B152" t="s">
        <v>1280</v>
      </c>
      <c r="C152">
        <v>5</v>
      </c>
      <c r="D152" t="s">
        <v>1327</v>
      </c>
      <c r="E152" t="s">
        <v>1369</v>
      </c>
      <c r="F152" s="12" t="s">
        <v>1373</v>
      </c>
      <c r="I152" s="3">
        <v>1.71</v>
      </c>
      <c r="AE152" s="42"/>
      <c r="AF152" s="42"/>
      <c r="AG152" s="42"/>
      <c r="AH152" s="42"/>
      <c r="AI152" s="42"/>
      <c r="AJ152" s="42"/>
      <c r="AM152" s="224">
        <v>206</v>
      </c>
    </row>
    <row r="153" spans="1:39">
      <c r="A153" s="3">
        <f t="shared" si="38"/>
        <v>152</v>
      </c>
      <c r="B153" t="s">
        <v>1280</v>
      </c>
      <c r="C153">
        <v>5</v>
      </c>
      <c r="D153" t="s">
        <v>1327</v>
      </c>
      <c r="E153" t="s">
        <v>1371</v>
      </c>
      <c r="F153" s="12" t="s">
        <v>1374</v>
      </c>
      <c r="G153" s="8">
        <v>2.68</v>
      </c>
      <c r="AE153" s="42"/>
      <c r="AF153" s="42"/>
      <c r="AG153" s="42"/>
      <c r="AH153" s="42"/>
      <c r="AI153" s="42"/>
      <c r="AJ153" s="42"/>
      <c r="AM153" s="225">
        <v>175</v>
      </c>
    </row>
    <row r="154" spans="1:39" s="6" customFormat="1">
      <c r="A154" s="7">
        <f t="shared" si="38"/>
        <v>153</v>
      </c>
      <c r="B154" s="6" t="s">
        <v>1280</v>
      </c>
      <c r="C154" s="6">
        <v>6</v>
      </c>
      <c r="D154" s="50" t="s">
        <v>1376</v>
      </c>
      <c r="E154" s="51" t="s">
        <v>1377</v>
      </c>
      <c r="F154" s="52"/>
      <c r="G154" s="67">
        <v>2.5</v>
      </c>
      <c r="H154" s="53"/>
      <c r="I154" s="54"/>
      <c r="J154" s="15"/>
      <c r="K154" s="51">
        <v>64.31</v>
      </c>
      <c r="L154" s="51">
        <v>10.61</v>
      </c>
      <c r="M154" s="51">
        <v>6.25</v>
      </c>
      <c r="N154" s="51">
        <v>19.98</v>
      </c>
      <c r="O154" s="51">
        <v>12.52</v>
      </c>
      <c r="P154" s="51">
        <v>0.63</v>
      </c>
      <c r="Q154" s="51">
        <v>0.74</v>
      </c>
      <c r="S154" s="51">
        <v>0.61</v>
      </c>
      <c r="X154" s="51">
        <v>0.25</v>
      </c>
      <c r="Y154" s="51"/>
      <c r="Z154" s="51">
        <v>0.02</v>
      </c>
      <c r="AA154" s="51"/>
      <c r="AB154" s="51"/>
      <c r="AC154" s="51"/>
      <c r="AD154" s="232"/>
      <c r="AE154" s="43">
        <f>K154/(K154+M154+N154+L154+O154+P154)</f>
        <v>0.56264216972878389</v>
      </c>
      <c r="AF154" s="43">
        <f>L154/(K154+M154+N154+L154+O154+P154)</f>
        <v>9.2825896762904633E-2</v>
      </c>
      <c r="AG154" s="43">
        <f>M154/(K154+M154+N154+L154+O154+P154)</f>
        <v>5.4680664916885391E-2</v>
      </c>
      <c r="AH154" s="43">
        <f>N154/(K154+M154+N154+L154+O154+P154)</f>
        <v>0.17480314960629922</v>
      </c>
      <c r="AI154" s="43">
        <f>O154/(K154+M154+N154+L154+O154+P154)</f>
        <v>0.10953630796150481</v>
      </c>
      <c r="AJ154" s="43">
        <f>P154/(K154+M154+N154+L154+O154+P154)</f>
        <v>5.5118110236220472E-3</v>
      </c>
      <c r="AL154" s="6">
        <f>(K154+L154+O154+M154+N154+P154)/SUM(K154:Z154)</f>
        <v>0.98602484472049701</v>
      </c>
      <c r="AM154" s="228">
        <v>211</v>
      </c>
    </row>
    <row r="155" spans="1:39">
      <c r="A155" s="3">
        <f t="shared" si="38"/>
        <v>154</v>
      </c>
      <c r="B155" t="s">
        <v>1280</v>
      </c>
      <c r="C155">
        <v>6</v>
      </c>
      <c r="D155" t="s">
        <v>1376</v>
      </c>
      <c r="E155" t="s">
        <v>1378</v>
      </c>
      <c r="G155" s="8">
        <v>2.5</v>
      </c>
      <c r="H155">
        <v>1.06</v>
      </c>
      <c r="I155" s="3">
        <v>0.87</v>
      </c>
      <c r="K155">
        <v>73</v>
      </c>
      <c r="L155">
        <v>7</v>
      </c>
      <c r="N155">
        <v>1</v>
      </c>
      <c r="O155">
        <v>15</v>
      </c>
      <c r="P155">
        <v>4</v>
      </c>
      <c r="AE155" s="42">
        <f>K155/(K155+M155+N155+L155+O155+P155)</f>
        <v>0.73</v>
      </c>
      <c r="AF155" s="42">
        <f>L155/(K155+M155+N155+L155+O155+P155)</f>
        <v>7.0000000000000007E-2</v>
      </c>
      <c r="AG155" s="42">
        <f>M155/(K155+M155+N155+L155+O155+P155)</f>
        <v>0</v>
      </c>
      <c r="AH155" s="42">
        <f>N155/(K155+M155+N155+L155+O155+P155)</f>
        <v>0.01</v>
      </c>
      <c r="AI155" s="42">
        <f>O155/(K155+M155+N155+L155+O155+P155)</f>
        <v>0.15</v>
      </c>
      <c r="AJ155" s="42">
        <f>P155/(K155+M155+N155+L155+O155+P155)</f>
        <v>0.04</v>
      </c>
      <c r="AL155">
        <f>(K155+L155+O155+M155+N155+P155)/SUM(K155:Z155)</f>
        <v>1</v>
      </c>
      <c r="AM155" s="146">
        <v>221</v>
      </c>
    </row>
    <row r="156" spans="1:39">
      <c r="A156" s="3">
        <f t="shared" si="38"/>
        <v>155</v>
      </c>
      <c r="B156" t="s">
        <v>1280</v>
      </c>
      <c r="C156">
        <v>6</v>
      </c>
      <c r="D156" t="s">
        <v>1376</v>
      </c>
      <c r="E156" t="s">
        <v>1379</v>
      </c>
      <c r="F156" s="12" t="s">
        <v>1380</v>
      </c>
      <c r="H156">
        <v>1.05</v>
      </c>
      <c r="AE156" s="42"/>
      <c r="AF156" s="42"/>
      <c r="AG156" s="42"/>
      <c r="AH156" s="42"/>
      <c r="AI156" s="42"/>
      <c r="AJ156" s="42"/>
      <c r="AM156" s="146">
        <v>223</v>
      </c>
    </row>
    <row r="157" spans="1:39">
      <c r="A157" s="3">
        <f t="shared" si="38"/>
        <v>156</v>
      </c>
      <c r="B157" t="s">
        <v>1280</v>
      </c>
      <c r="C157">
        <v>6</v>
      </c>
      <c r="D157" t="s">
        <v>1376</v>
      </c>
      <c r="E157" t="s">
        <v>1381</v>
      </c>
      <c r="F157" s="12" t="s">
        <v>1378</v>
      </c>
      <c r="K157">
        <v>72.2</v>
      </c>
      <c r="L157">
        <v>9.6</v>
      </c>
      <c r="N157">
        <v>1.9</v>
      </c>
      <c r="O157">
        <v>14.6</v>
      </c>
      <c r="P157">
        <v>1.5</v>
      </c>
      <c r="AE157" s="42">
        <f>K157/(K157+M157+N157+L157+O157+P157)</f>
        <v>0.72344689378757521</v>
      </c>
      <c r="AF157" s="42">
        <f>L157/(K157+M157+N157+L157+O157+P157)</f>
        <v>9.6192384769539077E-2</v>
      </c>
      <c r="AG157" s="42">
        <f>M157/(K157+M157+N157+L157+O157+P157)</f>
        <v>0</v>
      </c>
      <c r="AH157" s="42">
        <f>N157/(K157+M157+N157+L157+O157+P157)</f>
        <v>1.9038076152304607E-2</v>
      </c>
      <c r="AI157" s="42">
        <f>O157/(K157+M157+N157+L157+O157+P157)</f>
        <v>0.14629258517034069</v>
      </c>
      <c r="AJ157" s="42">
        <f>P157/(K157+M157+N157+L157+O157+P157)</f>
        <v>1.5030060120240482E-2</v>
      </c>
      <c r="AL157">
        <f>(K157+L157+O157+M157+N157+P157)/SUM(K157:Z157)</f>
        <v>1</v>
      </c>
      <c r="AM157" s="146">
        <v>197</v>
      </c>
    </row>
    <row r="158" spans="1:39">
      <c r="A158" s="3">
        <f t="shared" si="38"/>
        <v>157</v>
      </c>
      <c r="B158" t="s">
        <v>1280</v>
      </c>
      <c r="C158">
        <v>6</v>
      </c>
      <c r="D158" t="s">
        <v>1376</v>
      </c>
      <c r="E158" t="s">
        <v>1382</v>
      </c>
      <c r="F158" s="12" t="s">
        <v>1378</v>
      </c>
      <c r="K158">
        <v>72</v>
      </c>
      <c r="L158">
        <v>8.1999999999999993</v>
      </c>
      <c r="N158">
        <v>1.3</v>
      </c>
      <c r="O158">
        <v>14.3</v>
      </c>
      <c r="P158">
        <v>3.5</v>
      </c>
      <c r="AE158" s="42">
        <f>K158/(K158+M158+N158+L158+O158+P158)</f>
        <v>0.72507552870090641</v>
      </c>
      <c r="AF158" s="42">
        <f>L158/(K158+M158+N158+L158+O158+P158)</f>
        <v>8.2578046324269891E-2</v>
      </c>
      <c r="AG158" s="42">
        <f>M158/(K158+M158+N158+L158+O158+P158)</f>
        <v>0</v>
      </c>
      <c r="AH158" s="42">
        <f>N158/(K158+M158+N158+L158+O158+P158)</f>
        <v>1.3091641490433032E-2</v>
      </c>
      <c r="AI158" s="42">
        <f>O158/(K158+M158+N158+L158+O158+P158)</f>
        <v>0.14400805639476336</v>
      </c>
      <c r="AJ158" s="42">
        <f>P158/(K158+M158+N158+L158+O158+P158)</f>
        <v>3.5246727089627394E-2</v>
      </c>
      <c r="AL158">
        <f>(K158+L158+O158+M158+N158+P158)/SUM(K158:Z158)</f>
        <v>1</v>
      </c>
      <c r="AM158" s="146">
        <v>197</v>
      </c>
    </row>
    <row r="159" spans="1:39">
      <c r="A159" s="3">
        <f t="shared" si="38"/>
        <v>158</v>
      </c>
      <c r="B159" t="s">
        <v>1280</v>
      </c>
      <c r="C159">
        <v>6</v>
      </c>
      <c r="D159" t="s">
        <v>1376</v>
      </c>
      <c r="E159" t="s">
        <v>1383</v>
      </c>
      <c r="F159" s="12" t="s">
        <v>1378</v>
      </c>
      <c r="K159">
        <v>71.5</v>
      </c>
      <c r="L159">
        <v>6.6</v>
      </c>
      <c r="N159">
        <v>2</v>
      </c>
      <c r="O159">
        <v>15.5</v>
      </c>
      <c r="P159">
        <v>2.8</v>
      </c>
      <c r="AE159" s="42">
        <f>K159/(K159+M159+N159+L159+O159+P159)</f>
        <v>0.72662601626016265</v>
      </c>
      <c r="AF159" s="42">
        <f>L159/(K159+M159+N159+L159+O159+P159)</f>
        <v>6.7073170731707321E-2</v>
      </c>
      <c r="AG159" s="42">
        <f>M159/(K159+M159+N159+L159+O159+P159)</f>
        <v>0</v>
      </c>
      <c r="AH159" s="42">
        <f>N159/(K159+M159+N159+L159+O159+P159)</f>
        <v>2.0325203252032523E-2</v>
      </c>
      <c r="AI159" s="42">
        <f>O159/(K159+M159+N159+L159+O159+P159)</f>
        <v>0.15752032520325204</v>
      </c>
      <c r="AJ159" s="42">
        <f>P159/(K159+M159+N159+L159+O159+P159)</f>
        <v>2.8455284552845531E-2</v>
      </c>
      <c r="AL159">
        <f>(K159+L159+O159+M159+N159+P159)/SUM(K159:Z159)</f>
        <v>1</v>
      </c>
      <c r="AM159" s="146">
        <v>197</v>
      </c>
    </row>
    <row r="160" spans="1:39">
      <c r="A160" s="3">
        <f t="shared" si="38"/>
        <v>159</v>
      </c>
      <c r="B160" t="s">
        <v>1280</v>
      </c>
      <c r="C160">
        <v>6</v>
      </c>
      <c r="D160" t="s">
        <v>1376</v>
      </c>
      <c r="E160" t="s">
        <v>1384</v>
      </c>
      <c r="I160" s="3">
        <v>0.80500000000000005</v>
      </c>
      <c r="AE160" s="42"/>
      <c r="AF160" s="42"/>
      <c r="AG160" s="42"/>
      <c r="AH160" s="42"/>
      <c r="AI160" s="42"/>
      <c r="AJ160" s="42"/>
      <c r="AM160" s="146">
        <v>183</v>
      </c>
    </row>
    <row r="161" spans="1:39">
      <c r="A161" s="3">
        <f t="shared" si="38"/>
        <v>160</v>
      </c>
      <c r="B161" t="s">
        <v>1280</v>
      </c>
      <c r="C161">
        <v>6</v>
      </c>
      <c r="D161" t="s">
        <v>1376</v>
      </c>
      <c r="E161" t="s">
        <v>1384</v>
      </c>
      <c r="F161" s="12" t="s">
        <v>1385</v>
      </c>
      <c r="K161">
        <v>72.3</v>
      </c>
      <c r="L161">
        <v>8.8000000000000007</v>
      </c>
      <c r="M161">
        <v>0.02</v>
      </c>
      <c r="N161">
        <v>0.5</v>
      </c>
      <c r="O161">
        <v>13.3</v>
      </c>
      <c r="P161">
        <v>4.3</v>
      </c>
      <c r="Q161">
        <v>0.4</v>
      </c>
      <c r="AE161" s="42">
        <f>K161/(K161+M161+N161+L161+O161+P161)</f>
        <v>0.72868373311832302</v>
      </c>
      <c r="AF161" s="42">
        <f>L161/(K161+M161+N161+L161+O161+P161)</f>
        <v>8.86917960088692E-2</v>
      </c>
      <c r="AG161" s="42">
        <f>M161/(K161+M161+N161+L161+O161+P161)</f>
        <v>2.0157226365652089E-4</v>
      </c>
      <c r="AH161" s="42">
        <f>N161/(K161+M161+N161+L161+O161+P161)</f>
        <v>5.0393065914130222E-3</v>
      </c>
      <c r="AI161" s="42">
        <f>O161/(K161+M161+N161+L161+O161+P161)</f>
        <v>0.13404555533158641</v>
      </c>
      <c r="AJ161" s="42">
        <f>P161/(K161+M161+N161+L161+O161+P161)</f>
        <v>4.3338036686151993E-2</v>
      </c>
      <c r="AL161">
        <f>(K161+L161+O161+M161+N161+P161)/SUM(K161:Z161)</f>
        <v>0.99598474201967468</v>
      </c>
      <c r="AM161" s="146">
        <v>190</v>
      </c>
    </row>
    <row r="162" spans="1:39">
      <c r="A162" s="3">
        <f t="shared" si="38"/>
        <v>161</v>
      </c>
      <c r="B162" t="s">
        <v>1280</v>
      </c>
      <c r="C162">
        <v>6</v>
      </c>
      <c r="D162" t="s">
        <v>1376</v>
      </c>
      <c r="E162" t="s">
        <v>1386</v>
      </c>
      <c r="F162" s="12" t="s">
        <v>1387</v>
      </c>
      <c r="K162">
        <v>71.5</v>
      </c>
      <c r="L162">
        <v>10</v>
      </c>
      <c r="M162">
        <v>5.5E-2</v>
      </c>
      <c r="N162">
        <v>2.5</v>
      </c>
      <c r="O162">
        <v>14</v>
      </c>
      <c r="P162">
        <v>5</v>
      </c>
      <c r="Q162">
        <v>2.5</v>
      </c>
      <c r="AE162" s="42">
        <f>K162/(K162+M162+N162+L162+O162+P162)</f>
        <v>0.69380427926835175</v>
      </c>
      <c r="AF162" s="42">
        <f>L162/(K162+M162+N162+L162+O162+P162)</f>
        <v>9.7035563534035224E-2</v>
      </c>
      <c r="AG162" s="42">
        <f>M162/(K162+M162+N162+L162+O162+P162)</f>
        <v>5.3369559943719372E-4</v>
      </c>
      <c r="AH162" s="42">
        <f>N162/(K162+M162+N162+L162+O162+P162)</f>
        <v>2.4258890883508806E-2</v>
      </c>
      <c r="AI162" s="42">
        <f>O162/(K162+M162+N162+L162+O162+P162)</f>
        <v>0.13584978894764929</v>
      </c>
      <c r="AJ162" s="42">
        <f>P162/(K162+M162+N162+L162+O162+P162)</f>
        <v>4.8517781767017612E-2</v>
      </c>
      <c r="AL162">
        <f>(K162+L162+O162+M162+N162+P162)/SUM(K162:Z162)</f>
        <v>0.97631566481928855</v>
      </c>
      <c r="AM162" s="146">
        <v>184</v>
      </c>
    </row>
    <row r="163" spans="1:39">
      <c r="A163" s="3">
        <f t="shared" si="38"/>
        <v>162</v>
      </c>
      <c r="B163" t="s">
        <v>1280</v>
      </c>
      <c r="C163">
        <v>6</v>
      </c>
      <c r="D163" t="s">
        <v>1376</v>
      </c>
      <c r="E163" t="s">
        <v>1388</v>
      </c>
      <c r="K163">
        <v>71.7</v>
      </c>
      <c r="L163">
        <v>12</v>
      </c>
      <c r="N163">
        <v>1.9</v>
      </c>
      <c r="O163">
        <v>13.3</v>
      </c>
      <c r="P163">
        <v>1</v>
      </c>
      <c r="Z163">
        <v>0.05</v>
      </c>
      <c r="AE163" s="42">
        <f>K163/(K163+M163+N163+L163+O163+P163)</f>
        <v>0.71771771771771775</v>
      </c>
      <c r="AF163" s="42">
        <f>L163/(K163+M163+N163+L163+O163+P163)</f>
        <v>0.12012012012012012</v>
      </c>
      <c r="AG163" s="42">
        <f>M163/(K163+M163+N163+L163+O163+P163)</f>
        <v>0</v>
      </c>
      <c r="AH163" s="42">
        <f>N163/(K163+M163+N163+L163+O163+P163)</f>
        <v>1.9019019019019017E-2</v>
      </c>
      <c r="AI163" s="42">
        <f>O163/(K163+M163+N163+L163+O163+P163)</f>
        <v>0.13313313313313313</v>
      </c>
      <c r="AJ163" s="42">
        <f>P163/(K163+M163+N163+L163+O163+P163)</f>
        <v>1.001001001001001E-2</v>
      </c>
      <c r="AL163">
        <f>(K163+L163+O163+M163+N163+P163)/SUM(K163:Z163)</f>
        <v>0.9994997498749375</v>
      </c>
      <c r="AM163" s="146">
        <v>204</v>
      </c>
    </row>
    <row r="164" spans="1:39">
      <c r="A164" s="3">
        <f t="shared" si="38"/>
        <v>163</v>
      </c>
      <c r="B164" t="s">
        <v>1280</v>
      </c>
      <c r="C164">
        <v>6</v>
      </c>
      <c r="D164" t="s">
        <v>1376</v>
      </c>
      <c r="E164" t="s">
        <v>1389</v>
      </c>
      <c r="F164" s="12" t="s">
        <v>1385</v>
      </c>
      <c r="K164">
        <v>70.5</v>
      </c>
      <c r="L164">
        <v>10.199999999999999</v>
      </c>
      <c r="M164">
        <v>0.4</v>
      </c>
      <c r="N164">
        <v>1.8</v>
      </c>
      <c r="O164">
        <v>13</v>
      </c>
      <c r="P164">
        <v>2.8</v>
      </c>
      <c r="Q164">
        <v>0.5</v>
      </c>
      <c r="X164">
        <v>0.3</v>
      </c>
      <c r="Z164">
        <v>0.3</v>
      </c>
      <c r="AE164" s="42">
        <f>K164/(K164+M164+N164+L164+O164+P164)</f>
        <v>0.7142857142857143</v>
      </c>
      <c r="AF164" s="42">
        <f>L164/(K164+M164+N164+L164+O164+P164)</f>
        <v>0.10334346504559269</v>
      </c>
      <c r="AG164" s="42">
        <f>M164/(K164+M164+N164+L164+O164+P164)</f>
        <v>4.0526849037487338E-3</v>
      </c>
      <c r="AH164" s="42">
        <f>N164/(K164+M164+N164+L164+O164+P164)</f>
        <v>1.82370820668693E-2</v>
      </c>
      <c r="AI164" s="42">
        <f>O164/(K164+M164+N164+L164+O164+P164)</f>
        <v>0.13171225937183384</v>
      </c>
      <c r="AJ164" s="42">
        <f>P164/(K164+M164+N164+L164+O164+P164)</f>
        <v>2.8368794326241131E-2</v>
      </c>
      <c r="AL164">
        <f>(K164+L164+O164+M164+N164+P164)/SUM(K164:Z164)</f>
        <v>0.98897795591182369</v>
      </c>
      <c r="AM164" s="146">
        <v>204</v>
      </c>
    </row>
    <row r="165" spans="1:39">
      <c r="A165" s="3">
        <f t="shared" si="38"/>
        <v>164</v>
      </c>
      <c r="B165" t="s">
        <v>1280</v>
      </c>
      <c r="C165">
        <v>6</v>
      </c>
      <c r="D165" t="s">
        <v>1376</v>
      </c>
      <c r="E165" s="8" t="s">
        <v>1390</v>
      </c>
      <c r="K165">
        <v>64.3</v>
      </c>
      <c r="L165">
        <v>25.7</v>
      </c>
      <c r="O165">
        <v>10</v>
      </c>
      <c r="AE165" s="42">
        <f>K165/(K165+M165+N165+L165+O165+P165)</f>
        <v>0.64300000000000002</v>
      </c>
      <c r="AF165" s="42">
        <f>L165/(K165+M165+N165+L165+O165+P165)</f>
        <v>0.25700000000000001</v>
      </c>
      <c r="AG165" s="42">
        <f>M165/(K165+M165+N165+L165+O165+P165)</f>
        <v>0</v>
      </c>
      <c r="AH165" s="42">
        <f>N165/(K165+M165+N165+L165+O165+P165)</f>
        <v>0</v>
      </c>
      <c r="AI165" s="42">
        <f>O165/(K165+M165+N165+L165+O165+P165)</f>
        <v>0.1</v>
      </c>
      <c r="AJ165" s="42">
        <f>P165/(K165+M165+N165+L165+O165+P165)</f>
        <v>0</v>
      </c>
      <c r="AL165">
        <f>(K165+L165+O165+M165+N165+P165)/SUM(K165:Z165)</f>
        <v>1</v>
      </c>
      <c r="AM165" s="224">
        <v>214</v>
      </c>
    </row>
    <row r="166" spans="1:39">
      <c r="A166" s="3">
        <f t="shared" si="38"/>
        <v>165</v>
      </c>
      <c r="B166" t="s">
        <v>1280</v>
      </c>
      <c r="C166">
        <v>6</v>
      </c>
      <c r="D166" t="s">
        <v>1376</v>
      </c>
      <c r="E166" t="s">
        <v>1391</v>
      </c>
      <c r="G166" s="8">
        <v>2.42</v>
      </c>
      <c r="H166">
        <v>1.2</v>
      </c>
      <c r="AE166" s="42"/>
      <c r="AF166" s="42"/>
      <c r="AG166" s="42"/>
      <c r="AH166" s="42"/>
      <c r="AI166" s="42"/>
      <c r="AJ166" s="42"/>
      <c r="AM166" s="146">
        <v>171</v>
      </c>
    </row>
    <row r="167" spans="1:39">
      <c r="A167" s="3">
        <f t="shared" si="38"/>
        <v>166</v>
      </c>
      <c r="B167" t="s">
        <v>1280</v>
      </c>
      <c r="C167">
        <v>6</v>
      </c>
      <c r="D167" t="s">
        <v>1376</v>
      </c>
      <c r="E167" t="s">
        <v>1392</v>
      </c>
      <c r="H167">
        <v>0.62</v>
      </c>
      <c r="I167" s="3">
        <v>0.39</v>
      </c>
      <c r="AE167" s="42"/>
      <c r="AF167" s="42"/>
      <c r="AG167" s="42"/>
      <c r="AH167" s="42"/>
      <c r="AI167" s="42"/>
      <c r="AJ167" s="42"/>
      <c r="AM167" s="146">
        <v>172</v>
      </c>
    </row>
    <row r="168" spans="1:39">
      <c r="A168" s="3">
        <f t="shared" si="38"/>
        <v>167</v>
      </c>
      <c r="B168" t="s">
        <v>1280</v>
      </c>
      <c r="C168">
        <v>6</v>
      </c>
      <c r="D168" t="s">
        <v>1376</v>
      </c>
      <c r="E168" t="s">
        <v>1392</v>
      </c>
      <c r="K168">
        <v>55</v>
      </c>
      <c r="Q168">
        <v>11.3</v>
      </c>
      <c r="AB168">
        <v>33</v>
      </c>
      <c r="AE168" s="42">
        <f>K168/(K168+M168+N168+L168+O168+P168)</f>
        <v>1</v>
      </c>
      <c r="AF168" s="42">
        <f>L168/(K168+M168+N168+L168+O168+P168)</f>
        <v>0</v>
      </c>
      <c r="AG168" s="42">
        <f>M168/(K168+M168+N168+L168+O168+P168)</f>
        <v>0</v>
      </c>
      <c r="AH168" s="42">
        <f>N168/(K168+M168+N168+L168+O168+P168)</f>
        <v>0</v>
      </c>
      <c r="AI168" s="42">
        <f>O168/(K168+M168+N168+L168+O168+P168)</f>
        <v>0</v>
      </c>
      <c r="AJ168" s="42">
        <f>P168/(K168+M168+N168+L168+O168+P168)</f>
        <v>0</v>
      </c>
      <c r="AL168">
        <f>(K168+L168+O168+M168+N168+P168)/SUM(K168:Z168)</f>
        <v>0.82956259426847667</v>
      </c>
      <c r="AM168" s="146">
        <v>216</v>
      </c>
    </row>
    <row r="169" spans="1:39">
      <c r="A169" s="3">
        <f t="shared" si="38"/>
        <v>168</v>
      </c>
      <c r="B169" t="s">
        <v>1280</v>
      </c>
      <c r="C169">
        <v>6</v>
      </c>
      <c r="D169" t="s">
        <v>1376</v>
      </c>
      <c r="E169" t="s">
        <v>1393</v>
      </c>
      <c r="K169">
        <v>80.599999999999994</v>
      </c>
      <c r="L169">
        <v>0.1</v>
      </c>
      <c r="M169">
        <v>0.04</v>
      </c>
      <c r="N169">
        <v>2.2000000000000002</v>
      </c>
      <c r="O169">
        <v>4.2</v>
      </c>
      <c r="P169">
        <v>0.05</v>
      </c>
      <c r="Y169">
        <v>0.1</v>
      </c>
      <c r="AC169">
        <v>12.6</v>
      </c>
      <c r="AE169" s="42">
        <f>K169/(K169+M169+N169+L169+O169+P169)</f>
        <v>0.92441793783690784</v>
      </c>
      <c r="AF169" s="42">
        <f>L169/(K169+M169+N169+L169+O169+P169)</f>
        <v>1.1469205184080743E-3</v>
      </c>
      <c r="AG169" s="42">
        <f>M169/(K169+M169+N169+L169+O169+P169)</f>
        <v>4.5876820736322975E-4</v>
      </c>
      <c r="AH169" s="42">
        <f>N169/(K169+M169+N169+L169+O169+P169)</f>
        <v>2.5232251404977639E-2</v>
      </c>
      <c r="AI169" s="42">
        <f>O169/(K169+M169+N169+L169+O169+P169)</f>
        <v>4.8170661773139126E-2</v>
      </c>
      <c r="AJ169" s="42">
        <f>P169/(K169+M169+N169+L169+O169+P169)</f>
        <v>5.7346025920403717E-4</v>
      </c>
      <c r="AL169">
        <f>(K169+L169+O169+M169+N169+P169)/SUM(K169:Z169)</f>
        <v>0.99885439340130611</v>
      </c>
      <c r="AM169" s="146">
        <v>216</v>
      </c>
    </row>
    <row r="170" spans="1:39">
      <c r="A170" s="3">
        <f t="shared" si="38"/>
        <v>169</v>
      </c>
      <c r="B170" t="s">
        <v>1280</v>
      </c>
      <c r="C170">
        <v>6</v>
      </c>
      <c r="D170" t="s">
        <v>1376</v>
      </c>
      <c r="E170" t="s">
        <v>1392</v>
      </c>
      <c r="G170" s="8">
        <v>3.01</v>
      </c>
      <c r="H170">
        <v>0.9</v>
      </c>
      <c r="AE170" s="42"/>
      <c r="AF170" s="42"/>
      <c r="AG170" s="42"/>
      <c r="AH170" s="42"/>
      <c r="AI170" s="42"/>
      <c r="AJ170" s="42"/>
      <c r="AM170" s="146">
        <v>186</v>
      </c>
    </row>
    <row r="171" spans="1:39">
      <c r="A171" s="3">
        <f t="shared" si="38"/>
        <v>170</v>
      </c>
      <c r="B171" t="s">
        <v>1280</v>
      </c>
      <c r="C171">
        <v>6</v>
      </c>
      <c r="D171" t="s">
        <v>1376</v>
      </c>
      <c r="E171" t="s">
        <v>1394</v>
      </c>
      <c r="I171" s="3">
        <v>0.84</v>
      </c>
      <c r="AE171" s="42"/>
      <c r="AF171" s="42"/>
      <c r="AG171" s="42"/>
      <c r="AH171" s="42"/>
      <c r="AI171" s="42"/>
      <c r="AJ171" s="42"/>
      <c r="AM171" s="146">
        <v>189</v>
      </c>
    </row>
    <row r="172" spans="1:39">
      <c r="A172" s="3">
        <f t="shared" si="38"/>
        <v>171</v>
      </c>
      <c r="B172" t="s">
        <v>1280</v>
      </c>
      <c r="C172">
        <v>6</v>
      </c>
      <c r="D172" t="s">
        <v>1376</v>
      </c>
      <c r="E172" t="s">
        <v>1393</v>
      </c>
      <c r="G172" s="8">
        <v>2.23</v>
      </c>
      <c r="H172">
        <v>1.2</v>
      </c>
      <c r="I172" s="3">
        <v>0.8</v>
      </c>
      <c r="AE172" s="42"/>
      <c r="AF172" s="42"/>
      <c r="AG172" s="42"/>
      <c r="AH172" s="42"/>
      <c r="AI172" s="42"/>
      <c r="AJ172" s="42"/>
      <c r="AM172" s="146">
        <v>170</v>
      </c>
    </row>
    <row r="173" spans="1:39">
      <c r="A173" s="3">
        <f t="shared" si="38"/>
        <v>172</v>
      </c>
      <c r="B173" t="s">
        <v>1280</v>
      </c>
      <c r="C173">
        <v>6</v>
      </c>
      <c r="D173" t="s">
        <v>1376</v>
      </c>
      <c r="E173" t="s">
        <v>1393</v>
      </c>
      <c r="G173" s="8">
        <v>2.4</v>
      </c>
      <c r="H173">
        <v>1.1000000000000001</v>
      </c>
      <c r="K173">
        <v>75.5</v>
      </c>
      <c r="N173">
        <v>4.5</v>
      </c>
      <c r="O173">
        <v>6</v>
      </c>
      <c r="AC173">
        <v>9.5</v>
      </c>
      <c r="AE173" s="42">
        <f>K173/(K173+M173+N173+L173+O173+P173)</f>
        <v>0.87790697674418605</v>
      </c>
      <c r="AF173" s="42">
        <f>L173/(K173+M173+N173+L173+O173+P173)</f>
        <v>0</v>
      </c>
      <c r="AG173" s="42">
        <f>M173/(K173+M173+N173+L173+O173+P173)</f>
        <v>0</v>
      </c>
      <c r="AH173" s="42">
        <f>N173/(K173+M173+N173+L173+O173+P173)</f>
        <v>5.232558139534884E-2</v>
      </c>
      <c r="AI173" s="42">
        <f>O173/(K173+M173+N173+L173+O173+P173)</f>
        <v>6.9767441860465115E-2</v>
      </c>
      <c r="AJ173" s="42">
        <f>P173/(K173+M173+N173+L173+O173+P173)</f>
        <v>0</v>
      </c>
      <c r="AL173">
        <f>(K173+L173+O173+M173+N173+P173)/SUM(K173:Z173)</f>
        <v>1</v>
      </c>
      <c r="AM173" s="225">
        <v>185</v>
      </c>
    </row>
    <row r="174" spans="1:39" s="6" customFormat="1">
      <c r="A174" s="7">
        <f t="shared" si="38"/>
        <v>173</v>
      </c>
      <c r="B174" s="6" t="s">
        <v>1280</v>
      </c>
      <c r="C174" s="6">
        <v>7</v>
      </c>
      <c r="D174" s="6" t="s">
        <v>1397</v>
      </c>
      <c r="E174" s="6" t="s">
        <v>1398</v>
      </c>
      <c r="F174" s="15"/>
      <c r="G174" s="5">
        <v>7.76</v>
      </c>
      <c r="H174" s="6">
        <v>52</v>
      </c>
      <c r="I174" s="7">
        <v>0.47</v>
      </c>
      <c r="J174" s="15"/>
      <c r="K174" s="50"/>
      <c r="L174" s="50"/>
      <c r="M174" s="50"/>
      <c r="N174" s="50"/>
      <c r="O174" s="50"/>
      <c r="P174" s="50"/>
      <c r="Q174" s="50"/>
      <c r="R174" s="50"/>
      <c r="S174" s="50"/>
      <c r="T174" s="50"/>
      <c r="X174" s="50"/>
      <c r="Y174" s="50"/>
      <c r="Z174" s="50"/>
      <c r="AA174" s="50"/>
      <c r="AB174" s="50"/>
      <c r="AC174" s="50"/>
      <c r="AD174" s="233"/>
      <c r="AM174" s="146">
        <v>182</v>
      </c>
    </row>
    <row r="175" spans="1:39">
      <c r="A175" s="3">
        <f t="shared" si="38"/>
        <v>174</v>
      </c>
      <c r="B175" t="s">
        <v>1280</v>
      </c>
      <c r="C175">
        <v>7</v>
      </c>
      <c r="D175" t="s">
        <v>1397</v>
      </c>
      <c r="E175" t="s">
        <v>1398</v>
      </c>
      <c r="I175" s="3">
        <v>0.437</v>
      </c>
      <c r="K175" s="48"/>
      <c r="L175" s="48"/>
      <c r="M175" s="48"/>
      <c r="N175" s="48"/>
      <c r="O175" s="48"/>
      <c r="P175" s="48"/>
      <c r="Q175" s="48"/>
      <c r="R175" s="48"/>
      <c r="S175" s="48"/>
      <c r="T175" s="48"/>
      <c r="X175" s="48"/>
      <c r="Y175" s="48"/>
      <c r="Z175" s="48"/>
      <c r="AA175" s="48"/>
      <c r="AB175" s="48"/>
      <c r="AC175" s="48"/>
      <c r="AD175" s="231"/>
      <c r="AM175" s="224">
        <v>207</v>
      </c>
    </row>
    <row r="176" spans="1:39">
      <c r="A176" s="3">
        <f t="shared" si="38"/>
        <v>175</v>
      </c>
      <c r="B176" t="s">
        <v>1280</v>
      </c>
      <c r="C176">
        <v>7</v>
      </c>
      <c r="D176" t="s">
        <v>1397</v>
      </c>
      <c r="E176" t="s">
        <v>1399</v>
      </c>
      <c r="H176">
        <v>397.37</v>
      </c>
      <c r="K176" s="2"/>
      <c r="L176" s="2"/>
      <c r="M176" s="2"/>
      <c r="N176" s="2"/>
      <c r="O176" s="2"/>
      <c r="P176" s="2"/>
      <c r="Q176" s="2"/>
      <c r="R176" s="2"/>
      <c r="S176" s="2"/>
      <c r="T176" s="2"/>
      <c r="U176" s="2"/>
      <c r="V176" s="2"/>
      <c r="W176" s="2"/>
      <c r="X176" s="2"/>
      <c r="Y176" s="2"/>
      <c r="Z176" s="2"/>
      <c r="AA176" s="2"/>
      <c r="AB176" s="2"/>
      <c r="AC176" s="2"/>
      <c r="AD176" s="121"/>
      <c r="AM176" s="224">
        <v>200</v>
      </c>
    </row>
    <row r="177" spans="1:39">
      <c r="A177" s="3">
        <f t="shared" si="38"/>
        <v>176</v>
      </c>
      <c r="B177" t="s">
        <v>1280</v>
      </c>
      <c r="C177">
        <v>7</v>
      </c>
      <c r="D177" t="s">
        <v>1397</v>
      </c>
      <c r="E177" t="s">
        <v>1400</v>
      </c>
      <c r="H177">
        <v>114.67</v>
      </c>
      <c r="K177" s="57"/>
      <c r="L177" s="56"/>
      <c r="M177" s="56"/>
      <c r="N177" s="56"/>
      <c r="O177" s="56"/>
      <c r="P177" s="56"/>
      <c r="Q177" s="55"/>
      <c r="S177" s="56"/>
      <c r="X177" s="86"/>
      <c r="Y177" s="56"/>
      <c r="Z177" s="86"/>
      <c r="AA177" s="86"/>
      <c r="AB177" s="56"/>
      <c r="AC177" s="56"/>
      <c r="AD177" s="234"/>
      <c r="AM177" s="224">
        <v>200</v>
      </c>
    </row>
    <row r="178" spans="1:39">
      <c r="A178" s="3">
        <f t="shared" si="38"/>
        <v>177</v>
      </c>
      <c r="B178" t="s">
        <v>1280</v>
      </c>
      <c r="C178">
        <v>7</v>
      </c>
      <c r="D178" t="s">
        <v>1397</v>
      </c>
      <c r="E178" t="s">
        <v>1401</v>
      </c>
      <c r="H178">
        <v>44.92</v>
      </c>
      <c r="K178" s="49"/>
      <c r="L178" s="49"/>
      <c r="M178" s="49"/>
      <c r="N178" s="49"/>
      <c r="O178" s="49"/>
      <c r="P178" s="49"/>
      <c r="Q178" s="49"/>
      <c r="S178" s="49"/>
      <c r="X178" s="49"/>
      <c r="Y178" s="49"/>
      <c r="Z178" s="49"/>
      <c r="AA178" s="49"/>
      <c r="AB178" s="49"/>
      <c r="AC178" s="49"/>
      <c r="AD178" s="235"/>
      <c r="AM178" s="224">
        <v>200</v>
      </c>
    </row>
    <row r="179" spans="1:39">
      <c r="A179" s="3">
        <f t="shared" si="38"/>
        <v>178</v>
      </c>
      <c r="B179" t="s">
        <v>1280</v>
      </c>
      <c r="C179">
        <v>7</v>
      </c>
      <c r="D179" t="s">
        <v>1397</v>
      </c>
      <c r="E179" t="s">
        <v>1402</v>
      </c>
      <c r="I179" s="3">
        <v>0.9</v>
      </c>
      <c r="AM179" s="224">
        <v>189</v>
      </c>
    </row>
    <row r="180" spans="1:39">
      <c r="A180" s="3">
        <f t="shared" si="38"/>
        <v>179</v>
      </c>
      <c r="B180" t="s">
        <v>1280</v>
      </c>
      <c r="C180">
        <v>7</v>
      </c>
      <c r="D180" t="s">
        <v>1397</v>
      </c>
      <c r="E180" t="s">
        <v>1399</v>
      </c>
      <c r="I180" s="3">
        <v>0.38600000000000001</v>
      </c>
      <c r="AM180" s="224">
        <v>189</v>
      </c>
    </row>
    <row r="181" spans="1:39">
      <c r="A181" s="3">
        <f t="shared" si="38"/>
        <v>180</v>
      </c>
      <c r="B181" t="s">
        <v>1280</v>
      </c>
      <c r="C181">
        <v>7</v>
      </c>
      <c r="D181" t="s">
        <v>1397</v>
      </c>
      <c r="E181" t="s">
        <v>1400</v>
      </c>
      <c r="G181" s="8">
        <v>8.1300000000000008</v>
      </c>
      <c r="H181">
        <v>52.1</v>
      </c>
      <c r="I181" s="3">
        <v>0.379</v>
      </c>
      <c r="AM181" s="224">
        <v>173</v>
      </c>
    </row>
    <row r="182" spans="1:39">
      <c r="A182" s="3">
        <f t="shared" si="38"/>
        <v>181</v>
      </c>
      <c r="B182" t="s">
        <v>1280</v>
      </c>
      <c r="C182">
        <v>7</v>
      </c>
      <c r="D182" t="s">
        <v>1397</v>
      </c>
      <c r="E182" t="s">
        <v>1400</v>
      </c>
      <c r="I182" s="3">
        <v>0.38</v>
      </c>
      <c r="AM182" s="224">
        <v>189</v>
      </c>
    </row>
    <row r="183" spans="1:39">
      <c r="A183" s="3">
        <f t="shared" si="38"/>
        <v>182</v>
      </c>
      <c r="B183" t="s">
        <v>1280</v>
      </c>
      <c r="C183">
        <v>7</v>
      </c>
      <c r="D183" t="s">
        <v>1397</v>
      </c>
      <c r="E183" t="s">
        <v>1403</v>
      </c>
      <c r="F183" s="12" t="s">
        <v>1404</v>
      </c>
      <c r="G183" s="8">
        <v>2.7</v>
      </c>
      <c r="H183">
        <v>190</v>
      </c>
      <c r="I183" s="3">
        <v>0.88</v>
      </c>
      <c r="AM183" s="146">
        <v>181</v>
      </c>
    </row>
    <row r="184" spans="1:39">
      <c r="A184" s="3">
        <f t="shared" si="38"/>
        <v>183</v>
      </c>
      <c r="B184" t="s">
        <v>1280</v>
      </c>
      <c r="C184">
        <v>7</v>
      </c>
      <c r="D184" t="s">
        <v>1397</v>
      </c>
      <c r="E184" t="s">
        <v>1405</v>
      </c>
      <c r="F184" s="12" t="s">
        <v>1406</v>
      </c>
      <c r="G184" s="8">
        <v>8.93</v>
      </c>
      <c r="H184">
        <v>16.7</v>
      </c>
      <c r="I184" s="3">
        <v>0.43099999999999999</v>
      </c>
      <c r="AM184" s="146">
        <v>177</v>
      </c>
    </row>
    <row r="185" spans="1:39">
      <c r="A185" s="3">
        <f t="shared" si="38"/>
        <v>184</v>
      </c>
      <c r="B185" t="s">
        <v>1280</v>
      </c>
      <c r="C185">
        <v>7</v>
      </c>
      <c r="D185" t="s">
        <v>1397</v>
      </c>
      <c r="E185" t="s">
        <v>1407</v>
      </c>
      <c r="F185" s="12" t="s">
        <v>1408</v>
      </c>
      <c r="G185" s="8">
        <v>6.61</v>
      </c>
      <c r="H185">
        <v>109</v>
      </c>
      <c r="I185" s="3">
        <v>0.41599999999999998</v>
      </c>
      <c r="AM185" s="146">
        <v>180</v>
      </c>
    </row>
    <row r="186" spans="1:39">
      <c r="A186" s="3">
        <f t="shared" si="38"/>
        <v>185</v>
      </c>
      <c r="B186" t="s">
        <v>1280</v>
      </c>
      <c r="C186">
        <v>7</v>
      </c>
      <c r="D186" t="s">
        <v>1397</v>
      </c>
      <c r="E186" t="s">
        <v>1409</v>
      </c>
      <c r="F186" s="12" t="s">
        <v>1410</v>
      </c>
      <c r="G186" s="8">
        <v>4.53</v>
      </c>
      <c r="H186">
        <v>7.13</v>
      </c>
      <c r="I186" s="3">
        <v>0.53800000000000003</v>
      </c>
      <c r="AM186" s="146">
        <v>179</v>
      </c>
    </row>
    <row r="187" spans="1:39">
      <c r="A187" s="3">
        <f t="shared" si="38"/>
        <v>186</v>
      </c>
      <c r="B187" t="s">
        <v>1280</v>
      </c>
      <c r="C187">
        <v>7</v>
      </c>
      <c r="D187" t="s">
        <v>1397</v>
      </c>
      <c r="E187" t="s">
        <v>1411</v>
      </c>
      <c r="F187" s="12" t="s">
        <v>1412</v>
      </c>
      <c r="G187" s="8">
        <v>10.5</v>
      </c>
      <c r="H187">
        <v>32.5</v>
      </c>
      <c r="I187" s="3">
        <v>0.13600000000000001</v>
      </c>
      <c r="AM187" s="146">
        <v>178</v>
      </c>
    </row>
    <row r="188" spans="1:39">
      <c r="A188" s="3">
        <f t="shared" si="38"/>
        <v>187</v>
      </c>
      <c r="B188" t="s">
        <v>1280</v>
      </c>
      <c r="C188">
        <v>7</v>
      </c>
      <c r="D188" t="s">
        <v>1397</v>
      </c>
      <c r="E188" t="s">
        <v>1413</v>
      </c>
      <c r="G188" s="8">
        <v>8.6199999999999992</v>
      </c>
      <c r="H188">
        <v>384.96</v>
      </c>
      <c r="AM188" s="146">
        <v>209</v>
      </c>
    </row>
    <row r="189" spans="1:39">
      <c r="A189" s="3">
        <f t="shared" si="38"/>
        <v>188</v>
      </c>
      <c r="B189" t="s">
        <v>1280</v>
      </c>
      <c r="C189">
        <v>7</v>
      </c>
      <c r="D189" t="s">
        <v>1397</v>
      </c>
      <c r="E189" t="s">
        <v>1413</v>
      </c>
      <c r="G189" s="8">
        <v>8.6199999999999992</v>
      </c>
      <c r="H189">
        <v>388</v>
      </c>
      <c r="I189" s="3">
        <v>0.38500000000000001</v>
      </c>
      <c r="AM189" s="146">
        <v>207</v>
      </c>
    </row>
    <row r="190" spans="1:39">
      <c r="A190" s="3">
        <f t="shared" si="38"/>
        <v>189</v>
      </c>
      <c r="B190" t="s">
        <v>1280</v>
      </c>
      <c r="C190">
        <v>7</v>
      </c>
      <c r="D190" t="s">
        <v>1397</v>
      </c>
      <c r="E190" t="s">
        <v>1414</v>
      </c>
      <c r="G190" s="8">
        <v>2.7</v>
      </c>
      <c r="H190">
        <v>200</v>
      </c>
      <c r="AM190" s="146">
        <v>225</v>
      </c>
    </row>
    <row r="191" spans="1:39">
      <c r="A191" s="3">
        <f t="shared" si="38"/>
        <v>190</v>
      </c>
      <c r="B191" t="s">
        <v>1280</v>
      </c>
      <c r="C191">
        <v>7</v>
      </c>
      <c r="D191" t="s">
        <v>1397</v>
      </c>
      <c r="E191" t="s">
        <v>1414</v>
      </c>
      <c r="G191" s="8">
        <v>2.71</v>
      </c>
      <c r="H191">
        <v>167.5</v>
      </c>
      <c r="I191" s="3">
        <v>0.86899999999999999</v>
      </c>
      <c r="AM191" s="146">
        <v>207</v>
      </c>
    </row>
    <row r="192" spans="1:39">
      <c r="A192" s="3">
        <f t="shared" si="38"/>
        <v>191</v>
      </c>
      <c r="B192" t="s">
        <v>1280</v>
      </c>
      <c r="C192">
        <v>7</v>
      </c>
      <c r="D192" t="s">
        <v>1397</v>
      </c>
      <c r="E192" t="s">
        <v>1415</v>
      </c>
      <c r="H192">
        <v>80</v>
      </c>
      <c r="I192" s="3">
        <v>0.44900000000000001</v>
      </c>
      <c r="AM192" s="146">
        <v>207</v>
      </c>
    </row>
    <row r="193" spans="1:39">
      <c r="A193" s="3">
        <f t="shared" si="38"/>
        <v>192</v>
      </c>
      <c r="B193" t="s">
        <v>1280</v>
      </c>
      <c r="C193">
        <v>7</v>
      </c>
      <c r="D193" t="s">
        <v>1397</v>
      </c>
      <c r="E193" t="s">
        <v>1416</v>
      </c>
      <c r="G193" s="8">
        <v>19.32</v>
      </c>
      <c r="AM193" s="146">
        <v>188</v>
      </c>
    </row>
    <row r="194" spans="1:39">
      <c r="A194" s="3">
        <f t="shared" si="38"/>
        <v>193</v>
      </c>
      <c r="B194" t="s">
        <v>1280</v>
      </c>
      <c r="C194">
        <v>7</v>
      </c>
      <c r="D194" t="s">
        <v>1397</v>
      </c>
      <c r="E194" t="s">
        <v>1417</v>
      </c>
      <c r="G194" s="8">
        <v>10.49</v>
      </c>
      <c r="AM194" s="146">
        <v>188</v>
      </c>
    </row>
    <row r="195" spans="1:39">
      <c r="A195" s="3">
        <f t="shared" si="38"/>
        <v>194</v>
      </c>
      <c r="B195" t="s">
        <v>1280</v>
      </c>
      <c r="C195">
        <v>7</v>
      </c>
      <c r="D195" t="s">
        <v>1397</v>
      </c>
      <c r="E195" t="s">
        <v>1399</v>
      </c>
      <c r="G195" s="8">
        <v>8.93</v>
      </c>
      <c r="AM195" s="146">
        <v>188</v>
      </c>
    </row>
    <row r="196" spans="1:39">
      <c r="A196" s="3">
        <f t="shared" ref="A196:A200" si="39">A195+1</f>
        <v>195</v>
      </c>
      <c r="B196" t="s">
        <v>1280</v>
      </c>
      <c r="C196">
        <v>7</v>
      </c>
      <c r="D196" t="s">
        <v>1397</v>
      </c>
      <c r="E196" t="s">
        <v>1400</v>
      </c>
      <c r="G196" s="8">
        <v>8.5500000000000007</v>
      </c>
      <c r="AM196" s="146">
        <v>188</v>
      </c>
    </row>
    <row r="197" spans="1:39">
      <c r="A197" s="3">
        <f t="shared" si="39"/>
        <v>196</v>
      </c>
      <c r="B197" t="s">
        <v>1280</v>
      </c>
      <c r="C197">
        <v>7</v>
      </c>
      <c r="D197" t="s">
        <v>1397</v>
      </c>
      <c r="E197" t="s">
        <v>1415</v>
      </c>
      <c r="G197" s="8">
        <v>7.85</v>
      </c>
      <c r="AM197" s="146">
        <v>188</v>
      </c>
    </row>
    <row r="198" spans="1:39">
      <c r="A198" s="3">
        <f t="shared" si="39"/>
        <v>197</v>
      </c>
      <c r="B198" t="s">
        <v>1280</v>
      </c>
      <c r="C198">
        <v>7</v>
      </c>
      <c r="D198" t="s">
        <v>1397</v>
      </c>
      <c r="E198" t="s">
        <v>1416</v>
      </c>
      <c r="I198" s="3">
        <v>0.126</v>
      </c>
      <c r="AM198" s="146">
        <v>189</v>
      </c>
    </row>
    <row r="199" spans="1:39">
      <c r="A199" s="3">
        <f t="shared" si="39"/>
        <v>198</v>
      </c>
      <c r="B199" t="s">
        <v>1280</v>
      </c>
      <c r="C199">
        <v>7</v>
      </c>
      <c r="D199" t="s">
        <v>1397</v>
      </c>
      <c r="E199" t="s">
        <v>1417</v>
      </c>
      <c r="I199" s="3">
        <v>0.23300000000000001</v>
      </c>
      <c r="AM199" s="146">
        <v>189</v>
      </c>
    </row>
    <row r="200" spans="1:39">
      <c r="A200" s="3">
        <f t="shared" si="39"/>
        <v>199</v>
      </c>
      <c r="B200" t="s">
        <v>1280</v>
      </c>
      <c r="C200">
        <v>7</v>
      </c>
      <c r="D200" t="s">
        <v>1397</v>
      </c>
      <c r="E200" t="s">
        <v>1418</v>
      </c>
      <c r="G200" s="8">
        <v>8</v>
      </c>
      <c r="H200">
        <v>40</v>
      </c>
      <c r="AM200" s="146">
        <v>225</v>
      </c>
    </row>
    <row r="201" spans="1:39">
      <c r="AM201" s="224"/>
    </row>
  </sheetData>
  <hyperlinks>
    <hyperlink ref="AM99" r:id="rId1" display="https://gnpgraystar.com/wp-content/uploads/2020/05/ThermalPropertiesofCeramicsGraphic.pdf" xr:uid="{4788620A-0173-4F3F-AF9C-59D6C932717A}"/>
    <hyperlink ref="AM108" r:id="rId2" display="https://gnpgraystar.com/wp-content/uploads/2020/05/ThermalPropertiesofCeramicsGraphic.pdf" xr:uid="{E5DC8373-9105-42FD-A7A6-92D274782712}"/>
    <hyperlink ref="AM120" r:id="rId3" display="https://www.matweb.com/search/DataSheet.aspx?MatGUID=fdac5563c7f2472a825d6cc0f16e2785" xr:uid="{962DECE3-5A82-4E06-83C8-FB0867D0DB11}"/>
    <hyperlink ref="AM153" r:id="rId4" display="https://www.mindat.org/min-2156.html" xr:uid="{B4DBDC7D-CD3B-48E2-A7E8-19A716552BA2}"/>
    <hyperlink ref="AM170" r:id="rId5" display="https://matmatch.com/learn/material/lead-glass" xr:uid="{8C613658-5616-4765-B3D0-BE9B7E7273B9}"/>
    <hyperlink ref="AM173" r:id="rId6" display="https://matmatch.com/materials/mama00000416-general-borosilicate-glass" xr:uid="{924DC82B-5CE4-40EC-8FFB-C4090698FF36}"/>
    <hyperlink ref="AM161" r:id="rId7" display="http://www.dachauer-spezialglas.de/spezialglastechnik/technisches-glaeser/weisses-floatglas.html" xr:uid="{1EE33564-AC78-4E49-9C74-A25DD137AE3E}"/>
    <hyperlink ref="AM162" r:id="rId8" display="https://patentimages.storage.googleapis.com/75/f2/8d/a399de36a28d56/US7094716.pdf" xr:uid="{F24A89D9-35F4-4179-98E1-99D2F65D5A1F}"/>
    <hyperlink ref="AM166" r:id="rId9" location="!/region--us/lang--english/product--DUROBAX_amber" display="https://www.us.schott.com/tubing/english/product_selector/#!/region--us/lang--english/product--DUROBAX_amber" xr:uid="{A789D055-D2B1-4E1E-9859-CFF95861028C}"/>
    <hyperlink ref="AM160" r:id="rId10" display="https://www.azom.com/properties.aspx?ArticleID=89" xr:uid="{7BAE7EA4-762C-4A71-8DB2-EC662DCDCEC1}"/>
    <hyperlink ref="AM199" r:id="rId11" display="https://chem.libretexts.org/Ancillary_Materials/Reference/Reference_Tables/Thermodynamics_Tables/T4%3A_Specific_Heats_and_Molar_Heat_Capacities" xr:uid="{10DF91A5-53C2-45C2-8DEB-2AD06EBF409E}"/>
    <hyperlink ref="AM198" r:id="rId12" display="https://chem.libretexts.org/Ancillary_Materials/Reference/Reference_Tables/Thermodynamics_Tables/T4%3A_Specific_Heats_and_Molar_Heat_Capacities" xr:uid="{3EA53F5A-C94B-4D47-8351-D349F2367B78}"/>
    <hyperlink ref="AM183" r:id="rId13" display="https://www.matweb.com/search/datasheet.aspx?bassnum=MA0001" xr:uid="{452EE2F0-CBB1-452C-953A-D05830C9CC3F}"/>
    <hyperlink ref="AM184" r:id="rId14" display="https://www.matweb.com/search/datasheet.aspx?matguid=8808b026f7c14d2f8d61f2d476aaeb26&amp;n=1" xr:uid="{F694EA72-B8A9-4F56-B50B-AF5B2E368B58}"/>
    <hyperlink ref="AM185" r:id="rId15" display="https://www.matweb.com/search/DataSheet.aspx?MatGUID=2cfae82b47424ee28263e89e66bbd526" xr:uid="{113D40C6-8C25-4A21-84AB-A2F3375A10BA}"/>
    <hyperlink ref="AM186" r:id="rId16" display="https://www.matweb.com/search/DataSheet.aspx?MatGUID=4dac23c848db4780a067fd556906cae6" xr:uid="{3C249B47-641B-4ADF-B8B0-7C6E180BCD61}"/>
    <hyperlink ref="AM187" r:id="rId17" display="https://www.matweb.com/search/DataSheet.aspx?MatGUID=796041d9aef04a91b58d4cd8db04edb8" xr:uid="{1A306FA3-0477-465B-916A-1B371A45734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352D-3BB6-4BF9-9336-3EE38474C11E}">
  <dimension ref="A1:AJ77"/>
  <sheetViews>
    <sheetView topLeftCell="J1" zoomScale="85" zoomScaleNormal="85" workbookViewId="0">
      <selection activeCell="AJ21" sqref="AJ21"/>
    </sheetView>
  </sheetViews>
  <sheetFormatPr baseColWidth="10" defaultRowHeight="15.05"/>
  <cols>
    <col min="2" max="2" width="11.5546875" style="8"/>
    <col min="5" max="5" width="18.88671875" customWidth="1"/>
    <col min="6" max="6" width="56.6640625" style="12" customWidth="1"/>
    <col min="7" max="7" width="18" customWidth="1"/>
    <col min="8" max="8" width="12" bestFit="1" customWidth="1"/>
    <col min="28" max="28" width="11.5546875" style="12"/>
    <col min="35" max="35" width="3.88671875" customWidth="1"/>
    <col min="36" max="36" width="9.33203125" style="12" customWidth="1"/>
  </cols>
  <sheetData>
    <row r="1" spans="1:36" ht="22.25" customHeight="1">
      <c r="A1" s="64" t="s">
        <v>28</v>
      </c>
      <c r="B1" s="101" t="s">
        <v>29</v>
      </c>
      <c r="C1" s="55" t="s">
        <v>30</v>
      </c>
      <c r="D1" s="55" t="s">
        <v>1215</v>
      </c>
      <c r="E1" s="55" t="s">
        <v>0</v>
      </c>
      <c r="F1" s="61" t="s">
        <v>31</v>
      </c>
      <c r="G1" s="55" t="s">
        <v>1303</v>
      </c>
      <c r="H1" s="55">
        <v>1</v>
      </c>
      <c r="I1" s="55">
        <v>2</v>
      </c>
      <c r="J1" s="55">
        <v>3</v>
      </c>
      <c r="K1" s="55">
        <v>4</v>
      </c>
      <c r="L1" s="55">
        <v>5</v>
      </c>
      <c r="M1" s="55">
        <v>6</v>
      </c>
      <c r="N1" s="55">
        <v>7</v>
      </c>
      <c r="O1" s="55">
        <v>8</v>
      </c>
      <c r="P1" s="55">
        <v>9</v>
      </c>
      <c r="Q1" s="55">
        <v>10</v>
      </c>
      <c r="R1" s="55">
        <v>11</v>
      </c>
      <c r="S1" s="55">
        <v>12</v>
      </c>
      <c r="T1" s="73">
        <v>13</v>
      </c>
      <c r="U1" s="73">
        <v>14</v>
      </c>
      <c r="V1" s="73"/>
      <c r="W1" s="73"/>
      <c r="X1" s="73"/>
      <c r="Y1" s="73"/>
      <c r="Z1" s="73"/>
      <c r="AA1" s="73"/>
      <c r="AB1" s="87" t="s">
        <v>31</v>
      </c>
      <c r="AC1" s="55" t="s">
        <v>1227</v>
      </c>
      <c r="AD1" s="55" t="s">
        <v>1228</v>
      </c>
      <c r="AE1" s="28" t="s">
        <v>1229</v>
      </c>
      <c r="AF1" s="28" t="s">
        <v>1230</v>
      </c>
      <c r="AG1" s="55" t="s">
        <v>1232</v>
      </c>
      <c r="AH1" s="55" t="s">
        <v>1233</v>
      </c>
      <c r="AI1" s="55"/>
      <c r="AJ1" s="61" t="s">
        <v>1279</v>
      </c>
    </row>
    <row r="2" spans="1:36">
      <c r="G2" t="s">
        <v>1286</v>
      </c>
      <c r="H2">
        <v>373.15</v>
      </c>
      <c r="I2">
        <v>423.15</v>
      </c>
      <c r="J2">
        <v>473.15</v>
      </c>
      <c r="K2">
        <v>523.15</v>
      </c>
      <c r="L2">
        <v>573.15</v>
      </c>
      <c r="M2">
        <v>623.15</v>
      </c>
      <c r="N2">
        <v>673.15</v>
      </c>
      <c r="O2">
        <v>723.15</v>
      </c>
      <c r="P2">
        <v>773.15</v>
      </c>
      <c r="AJ2" s="12">
        <v>158</v>
      </c>
    </row>
    <row r="3" spans="1:36">
      <c r="A3">
        <v>1</v>
      </c>
      <c r="B3" s="8" t="s">
        <v>1280</v>
      </c>
      <c r="C3">
        <v>1</v>
      </c>
      <c r="D3" t="s">
        <v>1242</v>
      </c>
      <c r="E3" t="s">
        <v>1440</v>
      </c>
      <c r="F3" s="12" t="s">
        <v>1271</v>
      </c>
      <c r="G3" t="s">
        <v>1273</v>
      </c>
      <c r="H3">
        <v>0.08</v>
      </c>
      <c r="I3">
        <v>0.1</v>
      </c>
      <c r="J3">
        <v>0.1</v>
      </c>
      <c r="K3">
        <v>0.08</v>
      </c>
      <c r="L3">
        <v>0.04</v>
      </c>
      <c r="M3">
        <v>0.02</v>
      </c>
      <c r="N3">
        <v>0.01</v>
      </c>
      <c r="O3">
        <v>0.01</v>
      </c>
      <c r="P3">
        <v>0.01</v>
      </c>
      <c r="AC3" s="42">
        <v>0.3494800913010398</v>
      </c>
      <c r="AD3" s="42">
        <v>0.34529546030940911</v>
      </c>
      <c r="AE3" s="42">
        <v>0.15825513568348973</v>
      </c>
      <c r="AF3" s="42">
        <v>0.12224194775551611</v>
      </c>
      <c r="AG3" s="42">
        <v>2.4727364950545269E-2</v>
      </c>
      <c r="AH3" s="42">
        <v>0</v>
      </c>
      <c r="AJ3" s="12">
        <v>158</v>
      </c>
    </row>
    <row r="4" spans="1:36">
      <c r="A4">
        <v>2</v>
      </c>
      <c r="B4" s="8" t="s">
        <v>1280</v>
      </c>
      <c r="C4">
        <v>1</v>
      </c>
      <c r="D4" t="s">
        <v>1242</v>
      </c>
      <c r="E4" t="s">
        <v>1440</v>
      </c>
      <c r="F4" s="12" t="s">
        <v>1267</v>
      </c>
      <c r="G4" t="s">
        <v>1273</v>
      </c>
      <c r="H4">
        <v>0.08</v>
      </c>
      <c r="I4">
        <v>0.18</v>
      </c>
      <c r="J4">
        <v>0.15</v>
      </c>
      <c r="K4">
        <v>0.14000000000000001</v>
      </c>
      <c r="L4">
        <v>0.14000000000000001</v>
      </c>
      <c r="M4">
        <v>0.17</v>
      </c>
      <c r="N4">
        <v>0.2</v>
      </c>
      <c r="O4">
        <v>0.23</v>
      </c>
      <c r="P4">
        <v>0.24</v>
      </c>
      <c r="AC4" s="42">
        <v>0.35332150101419879</v>
      </c>
      <c r="AD4" s="42">
        <v>0.34926470588235298</v>
      </c>
      <c r="AE4" s="42">
        <v>0.13488843813387424</v>
      </c>
      <c r="AF4" s="42">
        <v>0.13336713995943206</v>
      </c>
      <c r="AG4" s="42">
        <v>2.9158215010141986E-2</v>
      </c>
      <c r="AH4" s="42">
        <v>0</v>
      </c>
      <c r="AJ4" s="12">
        <v>158</v>
      </c>
    </row>
    <row r="5" spans="1:36">
      <c r="A5">
        <v>3</v>
      </c>
      <c r="B5" s="8" t="s">
        <v>1280</v>
      </c>
      <c r="C5">
        <v>1</v>
      </c>
      <c r="D5" t="s">
        <v>1242</v>
      </c>
      <c r="E5" t="s">
        <v>1440</v>
      </c>
      <c r="F5" s="12" t="s">
        <v>1278</v>
      </c>
      <c r="G5" t="s">
        <v>1273</v>
      </c>
      <c r="H5">
        <v>0.15</v>
      </c>
      <c r="I5">
        <v>0.31</v>
      </c>
      <c r="J5">
        <v>0.31</v>
      </c>
      <c r="K5">
        <v>0.32</v>
      </c>
      <c r="L5">
        <v>0.35</v>
      </c>
      <c r="M5">
        <v>0.38</v>
      </c>
      <c r="N5">
        <v>0.42</v>
      </c>
      <c r="O5">
        <v>0.47</v>
      </c>
      <c r="P5">
        <v>0.51</v>
      </c>
      <c r="AC5" s="42">
        <v>0.40006988120195669</v>
      </c>
      <c r="AD5" s="42">
        <v>0.24644770556720241</v>
      </c>
      <c r="AE5" s="42">
        <v>0.19403680409969717</v>
      </c>
      <c r="AF5" s="42">
        <v>0.11681807593757279</v>
      </c>
      <c r="AG5" s="42">
        <v>4.2627533193570932E-2</v>
      </c>
      <c r="AH5" s="42">
        <v>0</v>
      </c>
      <c r="AJ5" s="12">
        <v>158</v>
      </c>
    </row>
    <row r="6" spans="1:36">
      <c r="A6">
        <v>3</v>
      </c>
      <c r="B6" s="8" t="s">
        <v>1280</v>
      </c>
      <c r="C6">
        <v>1</v>
      </c>
      <c r="D6" t="s">
        <v>1242</v>
      </c>
      <c r="E6" t="s">
        <v>1440</v>
      </c>
      <c r="F6" s="12" t="s">
        <v>1268</v>
      </c>
      <c r="G6" t="s">
        <v>1273</v>
      </c>
      <c r="H6">
        <v>0.1</v>
      </c>
      <c r="I6">
        <v>0.2</v>
      </c>
      <c r="J6">
        <v>0.19</v>
      </c>
      <c r="K6">
        <v>0.17</v>
      </c>
      <c r="L6">
        <v>0.16</v>
      </c>
      <c r="M6">
        <v>0.16</v>
      </c>
      <c r="N6">
        <v>0.17</v>
      </c>
      <c r="O6">
        <v>0.17</v>
      </c>
      <c r="P6">
        <v>0.17</v>
      </c>
      <c r="AC6" s="42">
        <v>0.52844134975897161</v>
      </c>
      <c r="AD6" s="42">
        <v>0.16946973754686664</v>
      </c>
      <c r="AE6" s="42">
        <v>0.11194429566148902</v>
      </c>
      <c r="AF6" s="42">
        <v>0.10144617032672738</v>
      </c>
      <c r="AG6" s="42">
        <v>8.8698446705945372E-2</v>
      </c>
      <c r="AH6" s="42">
        <v>0</v>
      </c>
      <c r="AJ6" s="12">
        <v>158</v>
      </c>
    </row>
    <row r="7" spans="1:36">
      <c r="A7">
        <v>4</v>
      </c>
      <c r="B7" s="8" t="s">
        <v>1280</v>
      </c>
      <c r="C7">
        <v>1</v>
      </c>
      <c r="D7" t="s">
        <v>1242</v>
      </c>
      <c r="E7" t="s">
        <v>1440</v>
      </c>
      <c r="F7" s="12" t="s">
        <v>1269</v>
      </c>
      <c r="G7" t="s">
        <v>1273</v>
      </c>
      <c r="H7">
        <v>0.2</v>
      </c>
      <c r="I7">
        <v>0.37</v>
      </c>
      <c r="J7">
        <v>0.37</v>
      </c>
      <c r="K7">
        <v>0.2</v>
      </c>
      <c r="L7">
        <v>0.37</v>
      </c>
      <c r="M7">
        <v>0.39</v>
      </c>
      <c r="N7">
        <v>0.41</v>
      </c>
      <c r="O7">
        <v>0.43</v>
      </c>
      <c r="P7">
        <v>0.46</v>
      </c>
      <c r="AC7" s="42">
        <v>0.52470898308807379</v>
      </c>
      <c r="AD7" s="42">
        <v>0.18712936525367888</v>
      </c>
      <c r="AE7" s="42">
        <v>0.1209092905776411</v>
      </c>
      <c r="AF7" s="42">
        <v>8.6316714254337804E-2</v>
      </c>
      <c r="AG7" s="42">
        <v>8.0935646826268387E-2</v>
      </c>
      <c r="AH7" s="42">
        <v>0</v>
      </c>
      <c r="AJ7" s="12">
        <v>158</v>
      </c>
    </row>
    <row r="8" spans="1:36">
      <c r="A8">
        <v>5</v>
      </c>
      <c r="B8" s="8" t="s">
        <v>1280</v>
      </c>
      <c r="C8">
        <v>1</v>
      </c>
      <c r="D8" t="s">
        <v>1242</v>
      </c>
      <c r="E8" t="s">
        <v>1440</v>
      </c>
      <c r="F8" s="12" t="s">
        <v>1272</v>
      </c>
      <c r="G8" t="s">
        <v>1273</v>
      </c>
      <c r="H8">
        <v>0.26</v>
      </c>
      <c r="I8">
        <v>0.31</v>
      </c>
      <c r="J8">
        <v>0.3</v>
      </c>
      <c r="K8">
        <v>0.34</v>
      </c>
      <c r="L8">
        <v>0.24</v>
      </c>
      <c r="M8">
        <v>0.25</v>
      </c>
      <c r="N8">
        <v>0.26</v>
      </c>
      <c r="O8">
        <v>0.27</v>
      </c>
      <c r="P8">
        <v>0.28999999999999998</v>
      </c>
      <c r="AC8" s="42">
        <v>0.60868609125893347</v>
      </c>
      <c r="AD8" s="42">
        <v>0.14568444200109951</v>
      </c>
      <c r="AE8" s="42">
        <v>9.2908191313908733E-2</v>
      </c>
      <c r="AF8" s="42">
        <v>5.5634964266080257E-2</v>
      </c>
      <c r="AG8" s="42">
        <v>9.7086311159978012E-2</v>
      </c>
      <c r="AH8" s="42">
        <v>0</v>
      </c>
      <c r="AJ8" s="12">
        <v>158</v>
      </c>
    </row>
    <row r="9" spans="1:36" s="6" customFormat="1">
      <c r="B9" s="5"/>
      <c r="F9" s="15"/>
      <c r="G9" s="6" t="s">
        <v>1286</v>
      </c>
      <c r="H9" s="6">
        <v>300</v>
      </c>
      <c r="I9" s="6">
        <v>400</v>
      </c>
      <c r="J9" s="6">
        <v>500</v>
      </c>
      <c r="K9" s="6">
        <v>600</v>
      </c>
      <c r="L9" s="6">
        <v>700</v>
      </c>
      <c r="M9" s="6">
        <v>800</v>
      </c>
      <c r="N9" s="6">
        <v>900</v>
      </c>
      <c r="O9" s="6">
        <v>1000</v>
      </c>
      <c r="P9" s="6">
        <v>1100</v>
      </c>
      <c r="Q9" s="6">
        <v>1200</v>
      </c>
      <c r="R9" s="6">
        <v>1300</v>
      </c>
      <c r="S9" s="6">
        <v>1400</v>
      </c>
      <c r="T9" s="6">
        <v>1500</v>
      </c>
      <c r="U9" s="6">
        <v>1600</v>
      </c>
      <c r="V9" s="6">
        <v>1700</v>
      </c>
      <c r="AB9" s="15"/>
      <c r="AC9" s="43"/>
      <c r="AD9" s="43"/>
      <c r="AE9" s="43"/>
      <c r="AF9" s="43"/>
      <c r="AG9" s="43"/>
      <c r="AH9" s="43"/>
      <c r="AJ9" s="15">
        <v>163</v>
      </c>
    </row>
    <row r="10" spans="1:36">
      <c r="A10">
        <v>6</v>
      </c>
      <c r="B10" s="8" t="s">
        <v>1280</v>
      </c>
      <c r="C10">
        <v>3</v>
      </c>
      <c r="D10" t="s">
        <v>1289</v>
      </c>
      <c r="E10" t="s">
        <v>1289</v>
      </c>
      <c r="G10" t="s">
        <v>1285</v>
      </c>
      <c r="H10">
        <v>1.1106138164749599</v>
      </c>
      <c r="I10">
        <v>1.1564164657595</v>
      </c>
      <c r="J10">
        <v>1.2056375457383799</v>
      </c>
      <c r="K10">
        <v>1.2525808675004999</v>
      </c>
      <c r="L10">
        <v>1.28964936045465</v>
      </c>
      <c r="M10">
        <v>1.31076995915302</v>
      </c>
      <c r="N10">
        <v>1.30606568274461</v>
      </c>
      <c r="O10">
        <v>1.2409832385736901</v>
      </c>
      <c r="P10">
        <v>1.1284318361290899</v>
      </c>
      <c r="Q10">
        <v>0.97410981636497196</v>
      </c>
      <c r="R10">
        <v>0.80535529931630701</v>
      </c>
      <c r="S10">
        <v>0.59027249647154501</v>
      </c>
      <c r="T10">
        <v>0.29924050814518499</v>
      </c>
      <c r="U10">
        <v>0.162465491373807</v>
      </c>
      <c r="V10">
        <v>9.1290726425643703E-2</v>
      </c>
      <c r="AC10" s="42">
        <v>0.5120163627066644</v>
      </c>
      <c r="AD10" s="42">
        <v>0.38234191239134141</v>
      </c>
      <c r="AE10" s="42">
        <v>0</v>
      </c>
      <c r="AF10" s="42">
        <v>0</v>
      </c>
      <c r="AG10" s="42">
        <v>0.10564172490199421</v>
      </c>
      <c r="AH10" s="42">
        <v>0</v>
      </c>
      <c r="AJ10" s="12">
        <v>163</v>
      </c>
    </row>
    <row r="11" spans="1:36">
      <c r="A11">
        <v>7</v>
      </c>
      <c r="B11" s="8" t="s">
        <v>1280</v>
      </c>
      <c r="C11">
        <v>3</v>
      </c>
      <c r="D11" t="s">
        <v>1289</v>
      </c>
      <c r="E11" t="s">
        <v>1289</v>
      </c>
      <c r="G11" t="s">
        <v>1285</v>
      </c>
      <c r="H11">
        <v>1.0415000576867</v>
      </c>
      <c r="I11">
        <v>1.0759110464966799</v>
      </c>
      <c r="J11">
        <v>1.11373974865332</v>
      </c>
      <c r="K11">
        <v>1.14549251597144</v>
      </c>
      <c r="L11">
        <v>1.16926918411863</v>
      </c>
      <c r="M11">
        <v>1.1763399008505899</v>
      </c>
      <c r="N11">
        <v>1.15264904541946</v>
      </c>
      <c r="O11">
        <v>1.0651608741837899</v>
      </c>
      <c r="P11">
        <v>0.90400199303096695</v>
      </c>
      <c r="Q11">
        <v>0.69613508015463599</v>
      </c>
      <c r="R11">
        <v>0.47269786690689802</v>
      </c>
      <c r="S11">
        <v>0.31685471139010601</v>
      </c>
      <c r="T11">
        <v>0.21683564189764601</v>
      </c>
      <c r="U11">
        <v>0.143366226638318</v>
      </c>
      <c r="V11">
        <v>8.6707879029795001E-2</v>
      </c>
      <c r="AC11" s="42">
        <v>0.50440769037024602</v>
      </c>
      <c r="AD11" s="42">
        <v>0.23541264377466206</v>
      </c>
      <c r="AE11" s="42">
        <v>0</v>
      </c>
      <c r="AF11" s="42">
        <v>0</v>
      </c>
      <c r="AG11" s="42">
        <v>0.26017966585509195</v>
      </c>
      <c r="AH11" s="42">
        <v>0</v>
      </c>
      <c r="AJ11" s="12">
        <v>163</v>
      </c>
    </row>
    <row r="12" spans="1:36">
      <c r="A12">
        <v>8</v>
      </c>
      <c r="B12" s="8" t="s">
        <v>1280</v>
      </c>
      <c r="C12">
        <v>3</v>
      </c>
      <c r="D12" t="s">
        <v>1289</v>
      </c>
      <c r="E12" t="s">
        <v>1289</v>
      </c>
      <c r="G12" t="s">
        <v>1285</v>
      </c>
      <c r="H12">
        <v>0.68339821344560603</v>
      </c>
      <c r="I12">
        <v>0.74591111823145095</v>
      </c>
      <c r="J12">
        <v>0.81411877723305803</v>
      </c>
      <c r="K12">
        <v>0.88156837907520602</v>
      </c>
      <c r="L12">
        <v>0.93838366025457398</v>
      </c>
      <c r="M12">
        <v>0.97963007575789196</v>
      </c>
      <c r="N12">
        <v>0.98973660786607498</v>
      </c>
      <c r="O12">
        <v>0.91667949921958503</v>
      </c>
      <c r="P12">
        <v>0.69134355633480704</v>
      </c>
      <c r="Q12">
        <v>0.37600782865433202</v>
      </c>
      <c r="R12">
        <v>0.21219144335733001</v>
      </c>
      <c r="S12">
        <v>0.140651883725114</v>
      </c>
      <c r="T12">
        <v>0.10625432380300801</v>
      </c>
      <c r="U12">
        <v>8.56896084802765E-2</v>
      </c>
      <c r="V12">
        <v>7.4866822464126195E-2</v>
      </c>
      <c r="AC12" s="42">
        <v>0.49702183984116477</v>
      </c>
      <c r="AD12" s="42">
        <v>9.2786234281932514E-2</v>
      </c>
      <c r="AE12" s="42">
        <v>0</v>
      </c>
      <c r="AF12" s="42">
        <v>0</v>
      </c>
      <c r="AG12" s="42">
        <v>0.41019192587690273</v>
      </c>
      <c r="AH12" s="42">
        <v>0</v>
      </c>
      <c r="AJ12" s="12">
        <v>163</v>
      </c>
    </row>
    <row r="13" spans="1:36">
      <c r="A13">
        <v>9</v>
      </c>
      <c r="B13" s="8" t="s">
        <v>1280</v>
      </c>
      <c r="C13">
        <v>3</v>
      </c>
      <c r="D13" t="s">
        <v>1289</v>
      </c>
      <c r="E13" t="s">
        <v>1289</v>
      </c>
      <c r="G13" t="s">
        <v>1285</v>
      </c>
      <c r="N13">
        <v>1.5353981702949899</v>
      </c>
      <c r="O13">
        <v>1.55153103991633</v>
      </c>
      <c r="P13">
        <v>1.5564793759953199</v>
      </c>
      <c r="Q13">
        <v>1.5187231294581101</v>
      </c>
      <c r="R13">
        <v>1.37827211999182</v>
      </c>
      <c r="S13">
        <v>1.07513698627332</v>
      </c>
      <c r="T13">
        <v>0.69269334198186305</v>
      </c>
      <c r="U13">
        <v>0.397480759107115</v>
      </c>
      <c r="V13">
        <v>0.24402144784890201</v>
      </c>
      <c r="AC13" s="42">
        <v>0.61332199064227988</v>
      </c>
      <c r="AD13" s="42">
        <v>0.33395150999574646</v>
      </c>
      <c r="AE13" s="42">
        <v>0</v>
      </c>
      <c r="AF13" s="42">
        <v>0</v>
      </c>
      <c r="AG13" s="42">
        <v>5.2726499361973642E-2</v>
      </c>
      <c r="AH13" s="42">
        <v>0</v>
      </c>
      <c r="AJ13" s="12">
        <v>163</v>
      </c>
    </row>
    <row r="14" spans="1:36">
      <c r="A14">
        <v>10</v>
      </c>
      <c r="B14" s="8" t="s">
        <v>1280</v>
      </c>
      <c r="C14">
        <v>3</v>
      </c>
      <c r="D14" t="s">
        <v>1289</v>
      </c>
      <c r="E14" t="s">
        <v>1289</v>
      </c>
      <c r="G14" t="s">
        <v>1285</v>
      </c>
      <c r="P14">
        <v>1.26596618938612</v>
      </c>
      <c r="Q14">
        <v>1.1458996829510499</v>
      </c>
      <c r="R14">
        <v>0.96967287504555499</v>
      </c>
      <c r="S14">
        <v>0.72767282264077104</v>
      </c>
      <c r="T14">
        <v>0.48668513538299402</v>
      </c>
      <c r="U14">
        <v>0.32765995964831401</v>
      </c>
      <c r="V14">
        <v>0.20303995388378901</v>
      </c>
      <c r="AC14" s="42">
        <v>0.61025901472828847</v>
      </c>
      <c r="AD14" s="42">
        <v>0.28481462671406804</v>
      </c>
      <c r="AE14" s="42">
        <v>0</v>
      </c>
      <c r="AF14" s="42">
        <v>0</v>
      </c>
      <c r="AG14" s="42">
        <v>0.10492635855764347</v>
      </c>
      <c r="AH14" s="42">
        <v>0</v>
      </c>
      <c r="AJ14" s="221">
        <v>163</v>
      </c>
    </row>
    <row r="15" spans="1:36">
      <c r="A15">
        <v>11</v>
      </c>
      <c r="B15" s="8" t="s">
        <v>1280</v>
      </c>
      <c r="C15">
        <v>3</v>
      </c>
      <c r="D15" t="s">
        <v>1289</v>
      </c>
      <c r="E15" t="s">
        <v>1289</v>
      </c>
      <c r="G15" t="s">
        <v>1285</v>
      </c>
      <c r="H15">
        <v>0.93224620633709698</v>
      </c>
      <c r="I15">
        <v>0.99565874007435595</v>
      </c>
      <c r="J15">
        <v>1.0504294987004601</v>
      </c>
      <c r="K15">
        <v>1.1006243568371099</v>
      </c>
      <c r="L15">
        <v>1.1411598450962701</v>
      </c>
      <c r="M15">
        <v>1.1745779029194101</v>
      </c>
      <c r="N15">
        <v>1.1942694877587601</v>
      </c>
      <c r="O15">
        <v>1.1727812441519001</v>
      </c>
      <c r="P15">
        <v>1.09130404871678</v>
      </c>
      <c r="Q15">
        <v>0.91068957708597698</v>
      </c>
      <c r="R15">
        <v>0.66957858472838105</v>
      </c>
      <c r="S15">
        <v>0.42897516126931701</v>
      </c>
      <c r="T15">
        <v>0.27276494625584402</v>
      </c>
      <c r="U15">
        <v>0.191054979764606</v>
      </c>
      <c r="V15">
        <v>0.148903429893117</v>
      </c>
      <c r="AC15" s="42">
        <v>0.59830705394190875</v>
      </c>
      <c r="AD15" s="42">
        <v>9.3078838174273884E-2</v>
      </c>
      <c r="AE15" s="42">
        <v>0</v>
      </c>
      <c r="AF15" s="42">
        <v>0</v>
      </c>
      <c r="AG15" s="42">
        <v>0.30861410788381743</v>
      </c>
      <c r="AH15" s="42">
        <v>0</v>
      </c>
      <c r="AJ15" s="12">
        <v>163</v>
      </c>
    </row>
    <row r="16" spans="1:36">
      <c r="A16">
        <v>12</v>
      </c>
      <c r="B16" s="8" t="s">
        <v>1280</v>
      </c>
      <c r="C16">
        <v>3</v>
      </c>
      <c r="D16" t="s">
        <v>1289</v>
      </c>
      <c r="E16" t="s">
        <v>1289</v>
      </c>
      <c r="G16" t="s">
        <v>1285</v>
      </c>
      <c r="H16">
        <v>1.2706</v>
      </c>
      <c r="I16">
        <v>1.32800172483384</v>
      </c>
      <c r="J16">
        <v>1.38283038214596</v>
      </c>
      <c r="K16">
        <v>1.4396953712780001</v>
      </c>
      <c r="L16">
        <v>1.49299536952308</v>
      </c>
      <c r="M16">
        <v>1.54018073150002</v>
      </c>
      <c r="N16">
        <v>1.58023172440765</v>
      </c>
      <c r="O16">
        <v>1.6044859468660899</v>
      </c>
      <c r="P16">
        <v>1.59460074358389</v>
      </c>
      <c r="Q16">
        <v>1.47923806467625</v>
      </c>
      <c r="R16">
        <v>1.1320281338450899</v>
      </c>
      <c r="S16">
        <v>0.87093141027730203</v>
      </c>
      <c r="T16">
        <v>0.66486829339222997</v>
      </c>
      <c r="U16">
        <v>0.476613253644391</v>
      </c>
      <c r="V16">
        <v>0.32614062652092102</v>
      </c>
      <c r="AC16" s="42">
        <v>0.7071800908020851</v>
      </c>
      <c r="AD16" s="42">
        <v>0.18859929376156048</v>
      </c>
      <c r="AE16" s="42">
        <v>0</v>
      </c>
      <c r="AF16" s="42">
        <v>0</v>
      </c>
      <c r="AG16" s="42">
        <v>0.10422061543635447</v>
      </c>
      <c r="AH16" s="42">
        <v>0</v>
      </c>
      <c r="AJ16" s="12">
        <v>163</v>
      </c>
    </row>
    <row r="17" spans="1:36">
      <c r="A17">
        <v>13</v>
      </c>
      <c r="B17" s="8" t="s">
        <v>1280</v>
      </c>
      <c r="C17">
        <v>3</v>
      </c>
      <c r="D17" t="s">
        <v>1289</v>
      </c>
      <c r="E17" t="s">
        <v>1289</v>
      </c>
      <c r="G17" t="s">
        <v>1285</v>
      </c>
      <c r="H17">
        <v>0.88132742009481502</v>
      </c>
      <c r="I17">
        <v>0.94787517016438505</v>
      </c>
      <c r="J17">
        <v>1.0164611323233299</v>
      </c>
      <c r="K17">
        <v>1.0845375414599401</v>
      </c>
      <c r="L17">
        <v>1.14853815317427</v>
      </c>
      <c r="M17">
        <v>1.2079515341745199</v>
      </c>
      <c r="N17">
        <v>1.2581929607725599</v>
      </c>
      <c r="O17">
        <v>1.2804095978981</v>
      </c>
      <c r="P17">
        <v>1.2088678521556599</v>
      </c>
      <c r="Q17">
        <v>0.89987439800039504</v>
      </c>
      <c r="R17">
        <v>0.71623036058554101</v>
      </c>
      <c r="S17">
        <v>0.53462578877303502</v>
      </c>
      <c r="T17">
        <v>0.37034539296378</v>
      </c>
      <c r="U17">
        <v>0.247202906368579</v>
      </c>
      <c r="V17">
        <v>0.156447053615835</v>
      </c>
      <c r="AC17" s="42">
        <v>0.70023310023310015</v>
      </c>
      <c r="AD17" s="42">
        <v>9.3373293373293378E-2</v>
      </c>
      <c r="AE17" s="42">
        <v>0</v>
      </c>
      <c r="AF17" s="42">
        <v>0</v>
      </c>
      <c r="AG17" s="42">
        <v>0.2063936063936064</v>
      </c>
      <c r="AH17" s="42">
        <v>0</v>
      </c>
      <c r="AJ17" s="12">
        <v>163</v>
      </c>
    </row>
    <row r="18" spans="1:36" s="6" customFormat="1">
      <c r="B18" s="5"/>
      <c r="F18" s="15"/>
      <c r="G18" s="6" t="s">
        <v>1286</v>
      </c>
      <c r="H18" s="6">
        <v>289.73174272719098</v>
      </c>
      <c r="I18" s="6">
        <v>351.13681769853815</v>
      </c>
      <c r="J18" s="6">
        <v>443.64036473023202</v>
      </c>
      <c r="K18" s="6">
        <v>547.38624053620777</v>
      </c>
      <c r="L18" s="6">
        <v>636.28171152316156</v>
      </c>
      <c r="M18" s="6">
        <v>728.98969579895652</v>
      </c>
      <c r="N18" s="6">
        <v>820.19333170103437</v>
      </c>
      <c r="O18" s="6">
        <v>907.26006940882758</v>
      </c>
      <c r="P18" s="6">
        <v>988.93891653975743</v>
      </c>
      <c r="Q18" s="6">
        <v>1067.5045110930751</v>
      </c>
      <c r="R18" s="6">
        <v>1136.3306844736426</v>
      </c>
      <c r="AB18" s="15"/>
      <c r="AC18" s="43"/>
      <c r="AD18" s="43"/>
      <c r="AE18" s="43"/>
      <c r="AF18" s="43"/>
      <c r="AG18" s="43"/>
      <c r="AH18" s="43"/>
      <c r="AJ18" s="15">
        <v>164</v>
      </c>
    </row>
    <row r="19" spans="1:36">
      <c r="A19">
        <v>14</v>
      </c>
      <c r="B19" s="8" t="s">
        <v>1280</v>
      </c>
      <c r="C19">
        <v>3</v>
      </c>
      <c r="D19" t="s">
        <v>1289</v>
      </c>
      <c r="E19" t="s">
        <v>1288</v>
      </c>
      <c r="F19" s="12" t="s">
        <v>1287</v>
      </c>
      <c r="G19" t="s">
        <v>1273</v>
      </c>
      <c r="H19">
        <v>0.71183588771322071</v>
      </c>
      <c r="I19">
        <v>0.80830059268630206</v>
      </c>
      <c r="J19">
        <v>0.88206578019449622</v>
      </c>
      <c r="K19">
        <v>0.84442551256469578</v>
      </c>
      <c r="L19">
        <v>0.90946893571282539</v>
      </c>
      <c r="M19">
        <v>0.91489146120963649</v>
      </c>
      <c r="N19">
        <v>0.86675049320280462</v>
      </c>
      <c r="O19">
        <v>0.88429346555121102</v>
      </c>
      <c r="P19">
        <v>0.93063203203428824</v>
      </c>
      <c r="Q19">
        <v>1.0461940713599691</v>
      </c>
      <c r="R19">
        <v>1.1966092228782246</v>
      </c>
      <c r="AC19" s="42">
        <v>0.43422628865870483</v>
      </c>
      <c r="AD19" s="42">
        <v>0.41059665393678219</v>
      </c>
      <c r="AE19" s="42">
        <v>0</v>
      </c>
      <c r="AF19" s="42">
        <v>0.15517705740451296</v>
      </c>
      <c r="AG19" s="42">
        <v>0</v>
      </c>
      <c r="AH19" s="42">
        <v>0</v>
      </c>
      <c r="AJ19" s="12">
        <v>164</v>
      </c>
    </row>
    <row r="20" spans="1:36">
      <c r="A20">
        <v>15</v>
      </c>
      <c r="B20" s="8" t="s">
        <v>1280</v>
      </c>
      <c r="C20">
        <v>3</v>
      </c>
      <c r="D20" t="s">
        <v>1289</v>
      </c>
      <c r="E20" t="s">
        <v>1289</v>
      </c>
      <c r="F20" s="12" t="s">
        <v>1287</v>
      </c>
      <c r="G20" t="s">
        <v>1285</v>
      </c>
      <c r="H20">
        <v>0.76769864862015824</v>
      </c>
      <c r="I20">
        <v>0.80096955471694598</v>
      </c>
      <c r="J20">
        <v>0.84013532538293778</v>
      </c>
      <c r="K20">
        <v>0.75211116498827579</v>
      </c>
      <c r="L20">
        <v>0.80159792643190353</v>
      </c>
      <c r="M20">
        <v>0.80811589212386215</v>
      </c>
      <c r="N20">
        <v>0.77340494311274077</v>
      </c>
      <c r="O20">
        <v>0.80915478440935451</v>
      </c>
      <c r="P20">
        <v>0.86554367915445629</v>
      </c>
      <c r="Q20">
        <v>0.98294260676462597</v>
      </c>
      <c r="R20">
        <v>0.96721515962866877</v>
      </c>
      <c r="AC20" s="42">
        <v>0.43422628865870483</v>
      </c>
      <c r="AD20" s="42">
        <v>0.41059665393678219</v>
      </c>
      <c r="AE20" s="42">
        <v>0</v>
      </c>
      <c r="AF20" s="42">
        <v>0.15517705740451296</v>
      </c>
      <c r="AG20" s="42">
        <v>0</v>
      </c>
      <c r="AH20" s="42">
        <v>0</v>
      </c>
      <c r="AJ20" s="12">
        <v>164</v>
      </c>
    </row>
    <row r="21" spans="1:36" s="6" customFormat="1">
      <c r="B21" s="5"/>
      <c r="F21" s="15"/>
      <c r="G21" s="6" t="s">
        <v>1286</v>
      </c>
      <c r="H21" s="6">
        <v>299.99999999999898</v>
      </c>
      <c r="I21" s="6">
        <v>400</v>
      </c>
      <c r="J21" s="6">
        <v>500</v>
      </c>
      <c r="K21" s="6">
        <v>600</v>
      </c>
      <c r="L21" s="6">
        <v>700</v>
      </c>
      <c r="M21" s="6">
        <v>800</v>
      </c>
      <c r="N21" s="6">
        <v>900</v>
      </c>
      <c r="O21" s="6">
        <v>1000</v>
      </c>
      <c r="P21" s="6">
        <v>1100</v>
      </c>
      <c r="Q21" s="6">
        <v>1200</v>
      </c>
      <c r="R21" s="6">
        <v>1270</v>
      </c>
      <c r="AB21" s="15"/>
      <c r="AC21" s="43"/>
      <c r="AD21" s="43"/>
      <c r="AE21" s="43"/>
      <c r="AF21" s="43"/>
      <c r="AG21" s="43"/>
      <c r="AH21" s="43"/>
      <c r="AJ21" s="15">
        <v>165</v>
      </c>
    </row>
    <row r="22" spans="1:36">
      <c r="A22">
        <v>16</v>
      </c>
      <c r="B22" s="8" t="s">
        <v>1280</v>
      </c>
      <c r="C22">
        <v>3</v>
      </c>
      <c r="D22" t="s">
        <v>1289</v>
      </c>
      <c r="E22" t="s">
        <v>1289</v>
      </c>
      <c r="F22" s="12" t="s">
        <v>119</v>
      </c>
      <c r="G22" t="s">
        <v>1285</v>
      </c>
      <c r="H22">
        <v>1.07290969899665</v>
      </c>
      <c r="I22">
        <v>1.1421404682274201</v>
      </c>
      <c r="J22">
        <v>1.2173913043478199</v>
      </c>
      <c r="K22">
        <v>1.2876254180602</v>
      </c>
      <c r="L22">
        <v>1.3548494983277499</v>
      </c>
      <c r="M22">
        <v>1.4080267558528401</v>
      </c>
      <c r="N22">
        <v>1.4581939799331101</v>
      </c>
      <c r="O22">
        <v>1.52140468227424</v>
      </c>
      <c r="P22">
        <v>1.6076923076923</v>
      </c>
      <c r="Q22">
        <v>1.56053511705685</v>
      </c>
      <c r="R22">
        <v>1.4401337792642099</v>
      </c>
      <c r="AC22" s="42">
        <v>0.43170255983215244</v>
      </c>
      <c r="AD22" s="42">
        <v>0.28722666448200501</v>
      </c>
      <c r="AE22" s="42">
        <v>0</v>
      </c>
      <c r="AF22" s="42">
        <v>0.28107177568584252</v>
      </c>
      <c r="AG22" s="42">
        <v>0</v>
      </c>
      <c r="AH22" s="42">
        <v>0</v>
      </c>
      <c r="AJ22" s="12">
        <v>165</v>
      </c>
    </row>
    <row r="23" spans="1:36">
      <c r="A23">
        <v>17</v>
      </c>
      <c r="B23" s="8" t="s">
        <v>1280</v>
      </c>
      <c r="C23">
        <v>3</v>
      </c>
      <c r="D23" t="s">
        <v>1289</v>
      </c>
      <c r="E23" t="s">
        <v>1289</v>
      </c>
      <c r="F23" s="12" t="s">
        <v>1290</v>
      </c>
      <c r="G23" t="s">
        <v>1285</v>
      </c>
      <c r="H23">
        <v>0.99637681159420199</v>
      </c>
      <c r="I23">
        <v>1.08937198067632</v>
      </c>
      <c r="J23">
        <v>1.17512077294685</v>
      </c>
      <c r="K23">
        <v>1.2439613526569999</v>
      </c>
      <c r="L23">
        <v>1.2934782608695601</v>
      </c>
      <c r="M23">
        <v>1.3405797101449199</v>
      </c>
      <c r="N23">
        <v>1.3792270531400901</v>
      </c>
      <c r="O23">
        <v>1.42512077294686</v>
      </c>
      <c r="P23">
        <v>1.43599033816425</v>
      </c>
      <c r="Q23">
        <v>1.38888888888888</v>
      </c>
      <c r="R23">
        <v>1.3562801932367099</v>
      </c>
      <c r="AC23" s="42">
        <v>0.44909253651754938</v>
      </c>
      <c r="AD23" s="42">
        <v>0.37291258006563954</v>
      </c>
      <c r="AE23" s="42">
        <v>0</v>
      </c>
      <c r="AF23" s="42">
        <v>0.17799488341681108</v>
      </c>
      <c r="AG23" s="42">
        <v>0</v>
      </c>
      <c r="AH23" s="42">
        <v>0</v>
      </c>
      <c r="AJ23" s="12">
        <v>165</v>
      </c>
    </row>
    <row r="24" spans="1:36">
      <c r="A24">
        <v>18</v>
      </c>
      <c r="B24" s="8" t="s">
        <v>1280</v>
      </c>
      <c r="C24">
        <v>3</v>
      </c>
      <c r="D24" t="s">
        <v>1289</v>
      </c>
      <c r="E24" t="s">
        <v>1289</v>
      </c>
      <c r="F24" s="12" t="s">
        <v>1291</v>
      </c>
      <c r="G24" t="s">
        <v>1285</v>
      </c>
      <c r="H24">
        <v>0.962541806020066</v>
      </c>
      <c r="I24">
        <v>1.02173913043478</v>
      </c>
      <c r="J24">
        <v>1.07993311036789</v>
      </c>
      <c r="K24">
        <v>1.12608695652173</v>
      </c>
      <c r="L24">
        <v>1.17023411371237</v>
      </c>
      <c r="M24">
        <v>1.20836120401337</v>
      </c>
      <c r="N24">
        <v>1.24548494983277</v>
      </c>
      <c r="O24">
        <v>1.29163879598662</v>
      </c>
      <c r="P24">
        <v>1.29665551839464</v>
      </c>
      <c r="Q24">
        <v>1.2765886287625401</v>
      </c>
      <c r="R24">
        <v>1.2665551839464799</v>
      </c>
      <c r="AC24" s="42">
        <v>0.46022088803644784</v>
      </c>
      <c r="AD24" s="42">
        <v>0.43418958077036629</v>
      </c>
      <c r="AE24" s="42">
        <v>0</v>
      </c>
      <c r="AF24" s="42">
        <v>0.10558953119318597</v>
      </c>
      <c r="AG24" s="42">
        <v>0</v>
      </c>
      <c r="AH24" s="42">
        <v>0</v>
      </c>
      <c r="AJ24" s="12">
        <v>165</v>
      </c>
    </row>
    <row r="25" spans="1:36">
      <c r="G25" t="s">
        <v>1286</v>
      </c>
      <c r="H25">
        <v>300</v>
      </c>
      <c r="I25">
        <v>400</v>
      </c>
      <c r="J25">
        <v>500</v>
      </c>
      <c r="K25">
        <v>600</v>
      </c>
      <c r="L25">
        <v>700</v>
      </c>
      <c r="M25">
        <v>800</v>
      </c>
      <c r="N25">
        <v>900</v>
      </c>
      <c r="O25">
        <v>1000</v>
      </c>
      <c r="P25">
        <v>1100</v>
      </c>
      <c r="Q25">
        <v>1170</v>
      </c>
      <c r="AC25" s="42"/>
      <c r="AD25" s="42"/>
      <c r="AE25" s="42"/>
      <c r="AF25" s="42"/>
      <c r="AG25" s="42"/>
      <c r="AH25" s="42"/>
      <c r="AJ25" s="12">
        <v>165</v>
      </c>
    </row>
    <row r="26" spans="1:36">
      <c r="A26">
        <v>19</v>
      </c>
      <c r="B26" s="8" t="s">
        <v>1280</v>
      </c>
      <c r="C26">
        <v>3</v>
      </c>
      <c r="D26" t="s">
        <v>1289</v>
      </c>
      <c r="E26" t="s">
        <v>1289</v>
      </c>
      <c r="F26" s="12" t="s">
        <v>1292</v>
      </c>
      <c r="G26" t="s">
        <v>1285</v>
      </c>
      <c r="H26">
        <v>1.02976588628762</v>
      </c>
      <c r="I26">
        <v>1.1060200668896301</v>
      </c>
      <c r="J26">
        <v>1.1802675585284199</v>
      </c>
      <c r="K26">
        <v>1.2404682274247401</v>
      </c>
      <c r="L26">
        <v>1.29565217391304</v>
      </c>
      <c r="M26">
        <v>1.33678929765886</v>
      </c>
      <c r="N26">
        <v>1.37892976588628</v>
      </c>
      <c r="O26">
        <v>1.4411371237458099</v>
      </c>
      <c r="P26">
        <v>1.46923076923076</v>
      </c>
      <c r="Q26">
        <v>1.38595317725752</v>
      </c>
      <c r="AC26" s="42">
        <v>0.48079061398602335</v>
      </c>
      <c r="AD26" s="42">
        <v>0.46767661111522935</v>
      </c>
      <c r="AE26" s="42">
        <v>0</v>
      </c>
      <c r="AF26" s="42">
        <v>5.1532774898747226E-2</v>
      </c>
      <c r="AG26" s="42">
        <v>0</v>
      </c>
      <c r="AH26" s="42">
        <v>0</v>
      </c>
      <c r="AJ26" s="12">
        <v>165</v>
      </c>
    </row>
    <row r="27" spans="1:36">
      <c r="A27">
        <v>20</v>
      </c>
      <c r="B27" s="8" t="s">
        <v>1280</v>
      </c>
      <c r="C27">
        <v>3</v>
      </c>
      <c r="D27" t="s">
        <v>1289</v>
      </c>
      <c r="E27" t="s">
        <v>1289</v>
      </c>
      <c r="F27" s="12" t="s">
        <v>1293</v>
      </c>
      <c r="G27" t="s">
        <v>1285</v>
      </c>
      <c r="H27">
        <v>1.2475845410627999</v>
      </c>
      <c r="I27">
        <v>1.31400966183574</v>
      </c>
      <c r="J27">
        <v>1.3792270531400901</v>
      </c>
      <c r="K27">
        <v>1.43599033816425</v>
      </c>
      <c r="L27">
        <v>1.4879227053140001</v>
      </c>
      <c r="M27">
        <v>1.5495169082125599</v>
      </c>
      <c r="N27">
        <v>1.6135265700482999</v>
      </c>
      <c r="O27">
        <v>1.66062801932367</v>
      </c>
      <c r="P27">
        <v>1.6847826086956501</v>
      </c>
      <c r="Q27">
        <v>1.63768115942029</v>
      </c>
      <c r="AC27" s="42">
        <v>0.12399115196014311</v>
      </c>
      <c r="AD27" s="42">
        <v>0.48332039845246494</v>
      </c>
      <c r="AE27" s="42">
        <v>0</v>
      </c>
      <c r="AF27" s="42">
        <v>0.3926884495873918</v>
      </c>
      <c r="AG27" s="42">
        <v>0</v>
      </c>
      <c r="AH27" s="42">
        <v>0</v>
      </c>
      <c r="AJ27" s="12">
        <v>165</v>
      </c>
    </row>
    <row r="28" spans="1:36">
      <c r="A28">
        <v>21</v>
      </c>
      <c r="B28" s="8" t="s">
        <v>1280</v>
      </c>
      <c r="C28">
        <v>3</v>
      </c>
      <c r="D28" t="s">
        <v>1289</v>
      </c>
      <c r="E28" t="s">
        <v>1289</v>
      </c>
      <c r="F28" s="12" t="s">
        <v>1294</v>
      </c>
      <c r="G28" t="s">
        <v>1285</v>
      </c>
      <c r="H28">
        <v>1.0833333333333299</v>
      </c>
      <c r="I28">
        <v>1.1582125603864699</v>
      </c>
      <c r="J28">
        <v>1.22342995169082</v>
      </c>
      <c r="K28">
        <v>1.27294685990338</v>
      </c>
      <c r="L28">
        <v>1.3200483091787401</v>
      </c>
      <c r="M28">
        <v>1.3611111111111101</v>
      </c>
      <c r="N28">
        <v>1.39975845410628</v>
      </c>
      <c r="O28">
        <v>1.48188405797101</v>
      </c>
      <c r="P28">
        <v>1.5043478260869501</v>
      </c>
      <c r="Q28">
        <v>1.3731884057971</v>
      </c>
      <c r="AC28" s="42">
        <v>0.40167494911638801</v>
      </c>
      <c r="AD28" s="42">
        <v>0.40057622891728123</v>
      </c>
      <c r="AE28" s="42">
        <v>0</v>
      </c>
      <c r="AF28" s="42">
        <v>0.1977488219663307</v>
      </c>
      <c r="AG28" s="42">
        <v>0</v>
      </c>
      <c r="AH28" s="42">
        <v>0</v>
      </c>
      <c r="AJ28" s="12">
        <v>165</v>
      </c>
    </row>
    <row r="29" spans="1:36">
      <c r="A29">
        <v>22</v>
      </c>
      <c r="B29" s="8" t="s">
        <v>1280</v>
      </c>
      <c r="C29">
        <v>3</v>
      </c>
      <c r="D29" t="s">
        <v>1289</v>
      </c>
      <c r="E29" t="s">
        <v>1289</v>
      </c>
      <c r="F29" s="12" t="s">
        <v>1295</v>
      </c>
      <c r="G29" t="s">
        <v>1285</v>
      </c>
      <c r="H29">
        <v>1.04830917874396</v>
      </c>
      <c r="I29">
        <v>1.1195652173913</v>
      </c>
      <c r="J29">
        <v>1.1884057971014399</v>
      </c>
      <c r="K29">
        <v>1.2330917874396099</v>
      </c>
      <c r="L29">
        <v>1.2789855072463701</v>
      </c>
      <c r="M29">
        <v>1.32125603864734</v>
      </c>
      <c r="N29">
        <v>1.3599033816425099</v>
      </c>
      <c r="O29">
        <v>1.3852657004830899</v>
      </c>
      <c r="P29">
        <v>1.4154589371980599</v>
      </c>
      <c r="Q29">
        <v>1.3611111111111101</v>
      </c>
      <c r="AC29" s="42">
        <v>0.53013667878215354</v>
      </c>
      <c r="AD29" s="42">
        <v>0.34748046750813288</v>
      </c>
      <c r="AE29" s="42">
        <v>0</v>
      </c>
      <c r="AF29" s="42">
        <v>0.12238285370971363</v>
      </c>
      <c r="AG29" s="42">
        <v>0</v>
      </c>
      <c r="AH29" s="42">
        <v>0</v>
      </c>
      <c r="AJ29" s="12">
        <v>165</v>
      </c>
    </row>
    <row r="30" spans="1:36" s="6" customFormat="1">
      <c r="B30" s="5"/>
      <c r="F30" s="15"/>
      <c r="G30" s="6" t="s">
        <v>1286</v>
      </c>
      <c r="H30" s="6">
        <v>1173</v>
      </c>
      <c r="I30" s="6">
        <v>1223</v>
      </c>
      <c r="J30" s="6">
        <v>1273</v>
      </c>
      <c r="K30" s="6">
        <v>1323</v>
      </c>
      <c r="L30" s="6">
        <v>1373</v>
      </c>
      <c r="M30" s="6">
        <v>1423</v>
      </c>
      <c r="N30" s="6">
        <v>1473</v>
      </c>
      <c r="O30" s="6">
        <v>1523</v>
      </c>
      <c r="P30" s="6">
        <v>1573</v>
      </c>
      <c r="AB30" s="15"/>
      <c r="AC30" s="43"/>
      <c r="AD30" s="43"/>
      <c r="AE30" s="43"/>
      <c r="AF30" s="43"/>
      <c r="AG30" s="43"/>
      <c r="AH30" s="43"/>
      <c r="AJ30" s="15">
        <v>166</v>
      </c>
    </row>
    <row r="31" spans="1:36">
      <c r="A31">
        <v>23</v>
      </c>
      <c r="B31" s="8" t="s">
        <v>1280</v>
      </c>
      <c r="C31">
        <v>3</v>
      </c>
      <c r="D31" t="s">
        <v>1289</v>
      </c>
      <c r="E31" t="s">
        <v>1298</v>
      </c>
      <c r="F31" s="12" t="s">
        <v>119</v>
      </c>
      <c r="G31" t="s">
        <v>1285</v>
      </c>
      <c r="H31">
        <v>0.28439933678339901</v>
      </c>
      <c r="I31">
        <v>0.32202046592640998</v>
      </c>
      <c r="J31">
        <v>0.34396690616155001</v>
      </c>
      <c r="K31">
        <v>0.308434574352275</v>
      </c>
      <c r="L31">
        <v>0.39177611415364499</v>
      </c>
      <c r="M31">
        <v>0.41894923713343002</v>
      </c>
      <c r="N31">
        <v>0.48923009931501099</v>
      </c>
      <c r="O31">
        <v>0.53077023564286796</v>
      </c>
      <c r="P31">
        <v>0.66506020867875804</v>
      </c>
      <c r="AC31" s="42">
        <v>0.2432</v>
      </c>
      <c r="AD31" s="42">
        <v>0.15329999999999999</v>
      </c>
      <c r="AE31" s="42">
        <v>0.1038</v>
      </c>
      <c r="AF31" s="42">
        <v>0.36280000000000001</v>
      </c>
      <c r="AG31" s="42">
        <v>0</v>
      </c>
      <c r="AH31" s="42">
        <v>0.13689999999999999</v>
      </c>
      <c r="AJ31" s="12">
        <v>166</v>
      </c>
    </row>
    <row r="32" spans="1:36">
      <c r="A32">
        <v>24</v>
      </c>
      <c r="B32" s="8" t="s">
        <v>1280</v>
      </c>
      <c r="C32">
        <v>3</v>
      </c>
      <c r="D32" t="s">
        <v>1289</v>
      </c>
      <c r="E32" t="s">
        <v>1298</v>
      </c>
      <c r="F32" s="12" t="s">
        <v>1290</v>
      </c>
      <c r="G32" t="s">
        <v>1285</v>
      </c>
      <c r="H32">
        <v>0.409807566698487</v>
      </c>
      <c r="I32">
        <v>0.433059002830394</v>
      </c>
      <c r="J32">
        <v>0.46937379624512199</v>
      </c>
      <c r="K32">
        <v>0.482178566045319</v>
      </c>
      <c r="L32">
        <v>0.52371870237317597</v>
      </c>
      <c r="M32">
        <v>0.55742216416285595</v>
      </c>
      <c r="N32">
        <v>0.59504329330586703</v>
      </c>
      <c r="O32">
        <v>0.60261870069838697</v>
      </c>
      <c r="P32">
        <v>0.75128104640841398</v>
      </c>
      <c r="AC32" s="42">
        <v>0.31590000000000001</v>
      </c>
      <c r="AD32" s="42">
        <v>0.13369999999999999</v>
      </c>
      <c r="AE32" s="42">
        <v>0.13739999999999999</v>
      </c>
      <c r="AF32" s="42">
        <v>0.30280000000000001</v>
      </c>
      <c r="AG32" s="42">
        <v>0</v>
      </c>
      <c r="AH32" s="42">
        <v>0.11019999999999999</v>
      </c>
      <c r="AJ32" s="12">
        <v>166</v>
      </c>
    </row>
    <row r="33" spans="1:36">
      <c r="A33">
        <v>25</v>
      </c>
      <c r="B33" s="8" t="s">
        <v>1280</v>
      </c>
      <c r="C33">
        <v>3</v>
      </c>
      <c r="D33" t="s">
        <v>1289</v>
      </c>
      <c r="E33" t="s">
        <v>1298</v>
      </c>
      <c r="F33" s="12" t="s">
        <v>1291</v>
      </c>
      <c r="G33" t="s">
        <v>1285</v>
      </c>
      <c r="H33">
        <v>0.33403875462660598</v>
      </c>
      <c r="I33">
        <v>0.35467885913346398</v>
      </c>
      <c r="J33">
        <v>0.401445678205965</v>
      </c>
      <c r="K33">
        <v>0.43384280426736299</v>
      </c>
      <c r="L33">
        <v>0.46754492622652699</v>
      </c>
      <c r="M33">
        <v>0.52214975966772104</v>
      </c>
      <c r="N33">
        <v>0.54278986417457997</v>
      </c>
      <c r="O33">
        <v>0.549060275670334</v>
      </c>
      <c r="P33">
        <v>0.73560501766902797</v>
      </c>
      <c r="AC33" s="42">
        <v>0.38729999999999998</v>
      </c>
      <c r="AD33" s="42">
        <v>0.1066</v>
      </c>
      <c r="AE33" s="42">
        <v>0.1578</v>
      </c>
      <c r="AF33" s="42">
        <v>0.2535</v>
      </c>
      <c r="AG33" s="42">
        <v>0</v>
      </c>
      <c r="AH33" s="42">
        <v>9.4800000000000009E-2</v>
      </c>
      <c r="AJ33" s="12">
        <v>166</v>
      </c>
    </row>
    <row r="34" spans="1:36">
      <c r="A34">
        <v>26</v>
      </c>
      <c r="B34" s="8" t="s">
        <v>1280</v>
      </c>
      <c r="C34">
        <v>3</v>
      </c>
      <c r="D34" t="s">
        <v>1289</v>
      </c>
      <c r="E34" t="s">
        <v>1298</v>
      </c>
      <c r="F34" s="12" t="s">
        <v>1292</v>
      </c>
      <c r="G34" t="s">
        <v>1285</v>
      </c>
      <c r="H34">
        <v>0.35624780183891902</v>
      </c>
      <c r="I34">
        <v>0.40823862399303301</v>
      </c>
      <c r="J34">
        <v>0.43802173876634998</v>
      </c>
      <c r="K34">
        <v>0.41424776834312999</v>
      </c>
      <c r="L34">
        <v>0.49236664489440402</v>
      </c>
      <c r="M34">
        <v>0.56003349578790496</v>
      </c>
      <c r="N34">
        <v>0.59112428612101997</v>
      </c>
      <c r="O34">
        <v>0.59870103334505598</v>
      </c>
      <c r="P34">
        <v>1.01777353497797</v>
      </c>
      <c r="AC34" s="42">
        <v>0.47619999999999996</v>
      </c>
      <c r="AD34" s="42">
        <v>7.6600000000000001E-2</v>
      </c>
      <c r="AE34" s="42">
        <v>0.19370000000000001</v>
      </c>
      <c r="AF34" s="42">
        <v>0.18559999999999999</v>
      </c>
      <c r="AG34" s="42">
        <v>0</v>
      </c>
      <c r="AH34" s="42">
        <v>6.7900000000000002E-2</v>
      </c>
      <c r="AJ34" s="12">
        <v>166</v>
      </c>
    </row>
    <row r="35" spans="1:36">
      <c r="A35">
        <v>27</v>
      </c>
      <c r="B35" s="8" t="s">
        <v>1280</v>
      </c>
      <c r="C35">
        <v>3</v>
      </c>
      <c r="D35" t="s">
        <v>1289</v>
      </c>
      <c r="E35" t="s">
        <v>1298</v>
      </c>
      <c r="F35" s="12" t="s">
        <v>1293</v>
      </c>
      <c r="G35" t="s">
        <v>1285</v>
      </c>
      <c r="H35">
        <v>0.68283173390946095</v>
      </c>
      <c r="I35">
        <v>0.72567820596559995</v>
      </c>
      <c r="J35">
        <v>0.72541693881994296</v>
      </c>
      <c r="K35">
        <v>0.74997605051164795</v>
      </c>
      <c r="L35">
        <v>0.76408447637709598</v>
      </c>
      <c r="M35">
        <v>0.82260697717261999</v>
      </c>
      <c r="N35">
        <v>0.92162722637640904</v>
      </c>
      <c r="O35">
        <v>0.99060041199819104</v>
      </c>
      <c r="P35">
        <v>1.2659773233515801</v>
      </c>
      <c r="AC35" s="42">
        <v>0.53410000000000002</v>
      </c>
      <c r="AD35" s="42">
        <v>6.6100000000000006E-2</v>
      </c>
      <c r="AE35" s="42">
        <v>0.2155</v>
      </c>
      <c r="AF35" s="42">
        <v>0.13800000000000001</v>
      </c>
      <c r="AG35" s="42">
        <v>0</v>
      </c>
      <c r="AH35" s="42">
        <v>4.6300000000000001E-2</v>
      </c>
      <c r="AJ35" s="12">
        <v>166</v>
      </c>
    </row>
    <row r="36" spans="1:36">
      <c r="A36">
        <v>28</v>
      </c>
      <c r="B36" s="8" t="s">
        <v>1280</v>
      </c>
      <c r="C36">
        <v>3</v>
      </c>
      <c r="D36" t="s">
        <v>1289</v>
      </c>
      <c r="E36" t="s">
        <v>1298</v>
      </c>
      <c r="F36" s="12" t="s">
        <v>1294</v>
      </c>
      <c r="G36" t="s">
        <v>1285</v>
      </c>
      <c r="H36">
        <v>1.32947193890368</v>
      </c>
      <c r="I36">
        <v>1.2847939171649101</v>
      </c>
      <c r="J36">
        <v>1.4086345442060599</v>
      </c>
      <c r="K36">
        <v>1.40967827295717</v>
      </c>
      <c r="L36">
        <v>1.49041116079653</v>
      </c>
      <c r="M36">
        <v>1.5332589726841801</v>
      </c>
      <c r="N36">
        <v>1.53299636570701</v>
      </c>
      <c r="O36">
        <v>1.5666998274966899</v>
      </c>
      <c r="P36">
        <v>1.6944581218911701</v>
      </c>
      <c r="AC36" s="42">
        <v>0.60389999999999999</v>
      </c>
      <c r="AD36" s="42">
        <v>3.78E-2</v>
      </c>
      <c r="AE36" s="42">
        <v>0.24670000000000003</v>
      </c>
      <c r="AF36" s="42">
        <v>8.14E-2</v>
      </c>
      <c r="AG36" s="42">
        <v>0</v>
      </c>
      <c r="AH36" s="42">
        <v>3.0200000000000001E-2</v>
      </c>
      <c r="AJ36" s="12">
        <v>166</v>
      </c>
    </row>
    <row r="37" spans="1:36" s="6" customFormat="1">
      <c r="B37" s="5"/>
      <c r="F37" s="15"/>
      <c r="G37" s="6" t="s">
        <v>1286</v>
      </c>
      <c r="H37" s="6">
        <v>100</v>
      </c>
      <c r="I37" s="6">
        <v>150</v>
      </c>
      <c r="J37" s="6">
        <v>200</v>
      </c>
      <c r="K37" s="6">
        <v>250</v>
      </c>
      <c r="L37" s="6">
        <v>300</v>
      </c>
      <c r="M37" s="6">
        <v>400</v>
      </c>
      <c r="N37" s="6">
        <v>600</v>
      </c>
      <c r="O37" s="6">
        <v>800</v>
      </c>
      <c r="P37" s="6">
        <v>1000</v>
      </c>
      <c r="Q37" s="6">
        <v>1200</v>
      </c>
      <c r="R37" s="6">
        <v>1400</v>
      </c>
      <c r="S37" s="6">
        <v>1600</v>
      </c>
      <c r="AB37" s="15"/>
      <c r="AJ37" s="15"/>
    </row>
    <row r="38" spans="1:36">
      <c r="A38">
        <v>29</v>
      </c>
      <c r="B38" s="8" t="s">
        <v>1280</v>
      </c>
      <c r="C38">
        <v>7</v>
      </c>
      <c r="D38" t="s">
        <v>1397</v>
      </c>
      <c r="E38" t="s">
        <v>1415</v>
      </c>
      <c r="G38" t="s">
        <v>1445</v>
      </c>
      <c r="H38">
        <v>7.9</v>
      </c>
      <c r="I38">
        <v>7.89</v>
      </c>
      <c r="J38">
        <v>7.88</v>
      </c>
      <c r="K38">
        <v>7.87</v>
      </c>
      <c r="L38">
        <v>7.86</v>
      </c>
      <c r="M38">
        <v>7.83</v>
      </c>
      <c r="N38">
        <v>7.76</v>
      </c>
      <c r="O38">
        <v>7.69</v>
      </c>
      <c r="P38">
        <v>7.65</v>
      </c>
      <c r="Q38">
        <v>7.62</v>
      </c>
      <c r="R38">
        <v>7.52</v>
      </c>
      <c r="S38">
        <v>7.42</v>
      </c>
      <c r="AJ38" s="12">
        <v>226</v>
      </c>
    </row>
    <row r="39" spans="1:36">
      <c r="A39">
        <v>29</v>
      </c>
      <c r="B39" s="8" t="s">
        <v>1280</v>
      </c>
      <c r="C39">
        <v>7</v>
      </c>
      <c r="D39" t="s">
        <v>1397</v>
      </c>
      <c r="E39" t="s">
        <v>1415</v>
      </c>
      <c r="G39" t="s">
        <v>1444</v>
      </c>
      <c r="H39">
        <v>134</v>
      </c>
      <c r="I39">
        <v>104</v>
      </c>
      <c r="J39">
        <v>94</v>
      </c>
      <c r="K39">
        <v>87</v>
      </c>
      <c r="L39">
        <v>80</v>
      </c>
      <c r="M39">
        <v>70</v>
      </c>
      <c r="N39">
        <v>55</v>
      </c>
      <c r="O39">
        <v>43</v>
      </c>
      <c r="P39">
        <v>32</v>
      </c>
      <c r="Q39">
        <v>28</v>
      </c>
      <c r="R39">
        <v>31</v>
      </c>
      <c r="AJ39" s="12">
        <v>226</v>
      </c>
    </row>
    <row r="40" spans="1:36" s="4" customFormat="1">
      <c r="A40" s="4">
        <v>29</v>
      </c>
      <c r="B40" s="9" t="s">
        <v>1280</v>
      </c>
      <c r="C40" s="4">
        <v>7</v>
      </c>
      <c r="D40" s="4" t="s">
        <v>1397</v>
      </c>
      <c r="E40" s="4" t="s">
        <v>1415</v>
      </c>
      <c r="F40" s="13"/>
      <c r="G40" s="4" t="s">
        <v>1273</v>
      </c>
      <c r="H40" s="4">
        <v>0.216</v>
      </c>
      <c r="I40" s="4">
        <v>0.32400000000000001</v>
      </c>
      <c r="J40" s="4">
        <v>0.38400000000000001</v>
      </c>
      <c r="K40" s="4">
        <v>0.42199999999999999</v>
      </c>
      <c r="L40" s="4">
        <v>0.45</v>
      </c>
      <c r="M40" s="4">
        <v>0.49099999999999999</v>
      </c>
      <c r="N40" s="4">
        <v>0.55500000000000005</v>
      </c>
      <c r="O40" s="4">
        <v>0.69199999999999995</v>
      </c>
      <c r="P40" s="4">
        <v>1.034</v>
      </c>
      <c r="AB40" s="13"/>
      <c r="AJ40" s="13">
        <v>226</v>
      </c>
    </row>
    <row r="41" spans="1:36">
      <c r="G41" t="s">
        <v>1286</v>
      </c>
      <c r="H41">
        <v>300</v>
      </c>
      <c r="I41">
        <v>400</v>
      </c>
      <c r="J41">
        <v>500</v>
      </c>
      <c r="K41">
        <v>600</v>
      </c>
      <c r="L41">
        <v>700</v>
      </c>
      <c r="M41">
        <v>800</v>
      </c>
      <c r="N41">
        <v>900</v>
      </c>
      <c r="O41">
        <v>1000</v>
      </c>
      <c r="P41">
        <v>1100</v>
      </c>
      <c r="Q41">
        <v>1200</v>
      </c>
      <c r="R41">
        <v>1300</v>
      </c>
      <c r="S41">
        <v>1400</v>
      </c>
      <c r="T41">
        <v>1500</v>
      </c>
      <c r="AE41" s="41"/>
    </row>
    <row r="42" spans="1:36">
      <c r="A42">
        <v>30</v>
      </c>
      <c r="B42" s="8" t="s">
        <v>1280</v>
      </c>
      <c r="C42">
        <v>7</v>
      </c>
      <c r="D42" t="s">
        <v>1397</v>
      </c>
      <c r="E42" t="s">
        <v>1418</v>
      </c>
      <c r="F42" s="12" t="s">
        <v>1446</v>
      </c>
      <c r="G42" t="s">
        <v>1445</v>
      </c>
      <c r="H42">
        <v>7.8940000000000001</v>
      </c>
      <c r="I42">
        <v>7.86</v>
      </c>
      <c r="J42">
        <v>7.8230000000000004</v>
      </c>
      <c r="K42">
        <v>7.7830000000000004</v>
      </c>
      <c r="L42">
        <v>7.742</v>
      </c>
      <c r="M42">
        <v>7.6980000000000004</v>
      </c>
      <c r="N42">
        <v>7.6520000000000001</v>
      </c>
      <c r="O42">
        <v>7.6029999999999998</v>
      </c>
      <c r="P42">
        <v>7.5519999999999996</v>
      </c>
      <c r="Q42">
        <v>7.4989999999999997</v>
      </c>
      <c r="R42">
        <v>7.444</v>
      </c>
      <c r="S42">
        <v>7.3860000000000001</v>
      </c>
      <c r="T42">
        <v>7.3259999999999996</v>
      </c>
      <c r="AJ42" s="12">
        <v>228</v>
      </c>
    </row>
    <row r="43" spans="1:36">
      <c r="A43">
        <v>30</v>
      </c>
      <c r="B43" s="8" t="s">
        <v>1280</v>
      </c>
      <c r="C43">
        <v>7</v>
      </c>
      <c r="D43" t="s">
        <v>1397</v>
      </c>
      <c r="E43" t="s">
        <v>1418</v>
      </c>
      <c r="F43" s="12" t="s">
        <v>1446</v>
      </c>
      <c r="G43" t="s">
        <v>1444</v>
      </c>
      <c r="H43">
        <v>12.97</v>
      </c>
      <c r="I43">
        <v>14.59</v>
      </c>
      <c r="J43">
        <v>16.2</v>
      </c>
      <c r="K43">
        <v>17.82</v>
      </c>
      <c r="L43">
        <v>19.439999999999998</v>
      </c>
      <c r="M43">
        <v>21.060000000000002</v>
      </c>
      <c r="N43">
        <v>22.67</v>
      </c>
      <c r="O43">
        <v>24.29</v>
      </c>
      <c r="P43">
        <v>25.91</v>
      </c>
      <c r="Q43">
        <v>27.529999999999998</v>
      </c>
      <c r="R43">
        <v>29.139999999999997</v>
      </c>
      <c r="S43">
        <v>30.759999999999998</v>
      </c>
      <c r="T43">
        <v>32.380000000000003</v>
      </c>
      <c r="AC43" s="42"/>
      <c r="AD43" s="42"/>
      <c r="AE43" s="42"/>
      <c r="AF43" s="42"/>
      <c r="AH43" s="42"/>
      <c r="AJ43" s="12">
        <v>228</v>
      </c>
    </row>
    <row r="44" spans="1:36" s="4" customFormat="1">
      <c r="A44" s="4">
        <v>30</v>
      </c>
      <c r="B44" s="9" t="s">
        <v>1280</v>
      </c>
      <c r="C44" s="4">
        <v>7</v>
      </c>
      <c r="D44" s="4" t="s">
        <v>1397</v>
      </c>
      <c r="E44" s="4" t="s">
        <v>1418</v>
      </c>
      <c r="F44" s="13" t="s">
        <v>1446</v>
      </c>
      <c r="G44" s="4" t="s">
        <v>1273</v>
      </c>
      <c r="H44" s="4">
        <v>0.51002959999999997</v>
      </c>
      <c r="I44" s="4">
        <v>0.52341839999999995</v>
      </c>
      <c r="J44" s="4">
        <v>0.53680720000000004</v>
      </c>
      <c r="K44" s="4">
        <v>0.55019600000000002</v>
      </c>
      <c r="L44" s="4">
        <v>0.56400320000000004</v>
      </c>
      <c r="M44" s="4">
        <v>0.57739200000000002</v>
      </c>
      <c r="N44" s="4">
        <v>0.59078079999999999</v>
      </c>
      <c r="O44" s="4">
        <v>0.60416959999999997</v>
      </c>
      <c r="P44" s="4">
        <v>0.61755840000000006</v>
      </c>
      <c r="Q44" s="4">
        <v>0.63136560000000008</v>
      </c>
      <c r="R44" s="4">
        <v>0.64475439999999995</v>
      </c>
      <c r="S44" s="4">
        <v>0.65814320000000004</v>
      </c>
      <c r="T44" s="4">
        <v>0.67153200000000002</v>
      </c>
      <c r="AB44" s="13"/>
      <c r="AC44" s="91"/>
      <c r="AD44" s="91"/>
      <c r="AE44" s="91"/>
      <c r="AF44" s="91"/>
      <c r="AH44" s="91"/>
      <c r="AJ44" s="13">
        <v>228</v>
      </c>
    </row>
    <row r="45" spans="1:36">
      <c r="G45" t="s">
        <v>1286</v>
      </c>
      <c r="H45">
        <v>300</v>
      </c>
      <c r="I45">
        <v>400</v>
      </c>
      <c r="J45">
        <v>500</v>
      </c>
      <c r="K45">
        <v>600</v>
      </c>
      <c r="L45">
        <v>700</v>
      </c>
      <c r="M45">
        <v>800</v>
      </c>
      <c r="N45">
        <v>900</v>
      </c>
      <c r="O45">
        <v>1000</v>
      </c>
      <c r="P45">
        <v>1100</v>
      </c>
      <c r="Q45">
        <v>1200</v>
      </c>
      <c r="R45">
        <v>1300</v>
      </c>
      <c r="S45">
        <v>1400</v>
      </c>
      <c r="T45">
        <v>1500</v>
      </c>
      <c r="AC45" s="42"/>
      <c r="AD45" s="42"/>
      <c r="AE45" s="42"/>
      <c r="AF45" s="42"/>
      <c r="AH45" s="42"/>
    </row>
    <row r="46" spans="1:36">
      <c r="A46">
        <v>31</v>
      </c>
      <c r="B46" s="8" t="s">
        <v>1280</v>
      </c>
      <c r="C46">
        <v>7</v>
      </c>
      <c r="D46" t="s">
        <v>1397</v>
      </c>
      <c r="E46" t="s">
        <v>1418</v>
      </c>
      <c r="F46" s="12" t="s">
        <v>1447</v>
      </c>
      <c r="G46" t="s">
        <v>1445</v>
      </c>
      <c r="H46" s="89">
        <v>7.9539999999999997</v>
      </c>
      <c r="I46" s="89">
        <v>7.91</v>
      </c>
      <c r="J46" s="89">
        <v>7.8639999999999999</v>
      </c>
      <c r="K46" s="89">
        <v>7.8179999999999996</v>
      </c>
      <c r="L46" s="89">
        <v>7.7709999999999999</v>
      </c>
      <c r="M46" s="89">
        <v>7.7229999999999999</v>
      </c>
      <c r="N46" s="89">
        <v>7.6740000000000004</v>
      </c>
      <c r="O46" s="89">
        <v>7.6239999999999997</v>
      </c>
      <c r="P46" s="89">
        <v>7.5739999999999998</v>
      </c>
      <c r="Q46" s="89">
        <v>7.5229999999999997</v>
      </c>
      <c r="R46" s="89">
        <v>7.4710000000000001</v>
      </c>
      <c r="S46" s="89">
        <v>7.4189999999999996</v>
      </c>
      <c r="T46">
        <v>7.3769999999999998</v>
      </c>
      <c r="AC46" s="42"/>
      <c r="AD46" s="42"/>
      <c r="AE46" s="42"/>
      <c r="AF46" s="42"/>
      <c r="AH46" s="42"/>
      <c r="AJ46" s="12">
        <v>228</v>
      </c>
    </row>
    <row r="47" spans="1:36">
      <c r="A47">
        <v>31</v>
      </c>
      <c r="B47" s="8" t="s">
        <v>1280</v>
      </c>
      <c r="C47">
        <v>7</v>
      </c>
      <c r="D47" t="s">
        <v>1397</v>
      </c>
      <c r="E47" t="s">
        <v>1418</v>
      </c>
      <c r="F47" s="12" t="s">
        <v>1447</v>
      </c>
      <c r="G47" t="s">
        <v>1444</v>
      </c>
      <c r="H47" s="48">
        <v>13.959999999999999</v>
      </c>
      <c r="I47" s="48">
        <v>15.53</v>
      </c>
      <c r="J47" s="48">
        <v>17.100000000000001</v>
      </c>
      <c r="K47" s="48">
        <v>18.68</v>
      </c>
      <c r="L47" s="48">
        <v>20.25</v>
      </c>
      <c r="M47" s="48">
        <v>21.82</v>
      </c>
      <c r="N47" s="48">
        <v>23.39</v>
      </c>
      <c r="O47" s="48">
        <v>24.959999999999997</v>
      </c>
      <c r="P47" s="48">
        <v>26.529999999999998</v>
      </c>
      <c r="Q47" s="48">
        <v>28.1</v>
      </c>
      <c r="R47" s="48">
        <v>29.67</v>
      </c>
      <c r="S47" s="48">
        <v>31.25</v>
      </c>
      <c r="T47">
        <v>32.380000000000003</v>
      </c>
      <c r="AC47" s="42"/>
      <c r="AD47" s="42"/>
      <c r="AE47" s="42"/>
      <c r="AF47" s="42"/>
      <c r="AH47" s="42"/>
      <c r="AJ47" s="12">
        <v>228</v>
      </c>
    </row>
    <row r="48" spans="1:36">
      <c r="A48">
        <v>31</v>
      </c>
      <c r="B48" s="8" t="s">
        <v>1280</v>
      </c>
      <c r="C48">
        <v>7</v>
      </c>
      <c r="D48" t="s">
        <v>1397</v>
      </c>
      <c r="E48" t="s">
        <v>1418</v>
      </c>
      <c r="F48" s="12" t="s">
        <v>1447</v>
      </c>
      <c r="G48" t="s">
        <v>1273</v>
      </c>
      <c r="H48" s="90">
        <v>0.49873280000000003</v>
      </c>
      <c r="I48" s="90">
        <v>0.51212159999999995</v>
      </c>
      <c r="J48" s="90">
        <v>0.52551039999999993</v>
      </c>
      <c r="K48" s="90">
        <v>0.53848080000000009</v>
      </c>
      <c r="L48" s="90">
        <v>0.55186959999999996</v>
      </c>
      <c r="M48" s="90">
        <v>0.56525840000000005</v>
      </c>
      <c r="N48" s="90">
        <v>0.57864720000000003</v>
      </c>
      <c r="O48" s="90">
        <v>0.59161759999999997</v>
      </c>
      <c r="P48" s="90">
        <v>0.60500640000000006</v>
      </c>
      <c r="Q48" s="48">
        <v>0.61839519999999992</v>
      </c>
      <c r="R48" s="48">
        <v>0.63178400000000001</v>
      </c>
      <c r="S48" s="48">
        <v>0.64475439999999995</v>
      </c>
      <c r="T48">
        <v>0.65814320000000004</v>
      </c>
      <c r="AC48" s="42"/>
      <c r="AD48" s="42"/>
      <c r="AE48" s="42"/>
      <c r="AF48" s="42"/>
      <c r="AH48" s="42"/>
    </row>
    <row r="49" spans="1:36" s="6" customFormat="1">
      <c r="B49" s="5"/>
      <c r="G49" s="6" t="s">
        <v>1286</v>
      </c>
      <c r="H49" s="6">
        <v>293.14999999999998</v>
      </c>
      <c r="I49" s="6">
        <v>363.15</v>
      </c>
      <c r="J49" s="6">
        <v>473.15</v>
      </c>
      <c r="K49" s="6">
        <v>593.15</v>
      </c>
      <c r="L49" s="6">
        <v>703.15</v>
      </c>
      <c r="M49" s="6">
        <v>813.15</v>
      </c>
      <c r="N49" s="6">
        <v>923.15</v>
      </c>
      <c r="O49" s="6">
        <v>1033.1500000000001</v>
      </c>
      <c r="P49" s="6">
        <v>1143.1500000000001</v>
      </c>
      <c r="AB49" s="15"/>
      <c r="AC49" s="43"/>
      <c r="AD49" s="43"/>
      <c r="AE49" s="43"/>
      <c r="AF49" s="43"/>
      <c r="AH49" s="43"/>
      <c r="AJ49" s="15"/>
    </row>
    <row r="50" spans="1:36">
      <c r="A50">
        <v>32</v>
      </c>
      <c r="B50" s="8" t="s">
        <v>1280</v>
      </c>
      <c r="C50">
        <v>7</v>
      </c>
      <c r="D50" t="s">
        <v>1397</v>
      </c>
      <c r="E50" t="s">
        <v>1418</v>
      </c>
      <c r="F50" s="12" t="s">
        <v>1448</v>
      </c>
      <c r="G50" t="s">
        <v>1445</v>
      </c>
      <c r="H50">
        <v>7.91</v>
      </c>
      <c r="I50">
        <v>7.88</v>
      </c>
      <c r="J50">
        <v>7.84</v>
      </c>
      <c r="K50">
        <v>7.79</v>
      </c>
      <c r="L50">
        <v>7.74</v>
      </c>
      <c r="M50">
        <v>7.69</v>
      </c>
      <c r="N50">
        <v>7.64</v>
      </c>
      <c r="O50">
        <v>7.59</v>
      </c>
      <c r="P50">
        <v>7.54</v>
      </c>
      <c r="AC50" s="42"/>
      <c r="AD50" s="42"/>
      <c r="AE50" s="42"/>
      <c r="AF50" s="42"/>
      <c r="AH50" s="42"/>
      <c r="AJ50" s="12">
        <v>227</v>
      </c>
    </row>
    <row r="51" spans="1:36" s="4" customFormat="1">
      <c r="A51" s="4">
        <v>32</v>
      </c>
      <c r="B51" s="9" t="s">
        <v>1280</v>
      </c>
      <c r="C51" s="4">
        <v>7</v>
      </c>
      <c r="D51" s="4" t="s">
        <v>1397</v>
      </c>
      <c r="E51" s="4" t="s">
        <v>1418</v>
      </c>
      <c r="G51" s="4" t="s">
        <v>1273</v>
      </c>
      <c r="H51" s="4">
        <v>0.45600000000000002</v>
      </c>
      <c r="I51" s="4">
        <v>0.49</v>
      </c>
      <c r="J51" s="4">
        <v>0.53200000000000003</v>
      </c>
      <c r="K51" s="4">
        <v>0.55700000000000005</v>
      </c>
      <c r="L51" s="4">
        <v>0.57399999999999995</v>
      </c>
      <c r="M51" s="4">
        <v>0.58599999999999997</v>
      </c>
      <c r="N51" s="4">
        <v>0.59899999999999998</v>
      </c>
      <c r="O51" s="4">
        <v>0.62</v>
      </c>
      <c r="P51" s="4">
        <v>0.64500000000000002</v>
      </c>
      <c r="AB51" s="13"/>
      <c r="AC51" s="91"/>
      <c r="AD51" s="91"/>
      <c r="AE51" s="91"/>
      <c r="AF51" s="91"/>
      <c r="AH51" s="91"/>
      <c r="AJ51" s="13">
        <v>227</v>
      </c>
    </row>
    <row r="52" spans="1:36">
      <c r="A52" s="6"/>
      <c r="B52" s="5"/>
      <c r="C52" s="6"/>
      <c r="D52" s="6"/>
      <c r="E52" s="6"/>
      <c r="F52" s="15"/>
      <c r="G52" s="6" t="s">
        <v>1286</v>
      </c>
      <c r="H52" s="6">
        <v>100</v>
      </c>
      <c r="I52" s="6">
        <v>200</v>
      </c>
      <c r="J52" s="6">
        <v>300</v>
      </c>
      <c r="K52" s="6">
        <v>400</v>
      </c>
      <c r="L52" s="6">
        <v>600</v>
      </c>
      <c r="M52" s="6">
        <v>800</v>
      </c>
      <c r="N52" s="6">
        <v>1000</v>
      </c>
      <c r="O52" s="6">
        <v>1200</v>
      </c>
      <c r="P52" s="6">
        <v>1500</v>
      </c>
      <c r="Q52" s="6"/>
      <c r="R52" s="6"/>
      <c r="S52" s="6"/>
      <c r="AC52" s="42"/>
      <c r="AD52" s="42"/>
      <c r="AE52" s="42"/>
      <c r="AF52" s="42"/>
      <c r="AH52" s="42"/>
    </row>
    <row r="53" spans="1:36">
      <c r="A53">
        <v>33</v>
      </c>
      <c r="B53" s="8" t="s">
        <v>1280</v>
      </c>
      <c r="C53">
        <v>7</v>
      </c>
      <c r="D53" t="s">
        <v>1397</v>
      </c>
      <c r="E53" t="s">
        <v>1401</v>
      </c>
      <c r="G53" t="s">
        <v>1444</v>
      </c>
      <c r="H53">
        <v>9.1999999999999993</v>
      </c>
      <c r="I53">
        <v>12.6</v>
      </c>
      <c r="J53">
        <v>14.9</v>
      </c>
      <c r="K53">
        <v>16.600000000000001</v>
      </c>
      <c r="L53">
        <v>19.8</v>
      </c>
      <c r="M53">
        <v>22.6</v>
      </c>
      <c r="N53">
        <v>25.4</v>
      </c>
      <c r="O53">
        <v>28</v>
      </c>
      <c r="P53">
        <v>31.7</v>
      </c>
      <c r="AC53" s="42"/>
      <c r="AD53" s="42"/>
      <c r="AE53" s="42"/>
      <c r="AF53" s="42"/>
      <c r="AH53" s="42"/>
      <c r="AJ53" s="12">
        <v>229</v>
      </c>
    </row>
    <row r="54" spans="1:36" s="4" customFormat="1">
      <c r="A54" s="4">
        <v>33</v>
      </c>
      <c r="B54" s="9" t="s">
        <v>1280</v>
      </c>
      <c r="C54" s="4">
        <v>7</v>
      </c>
      <c r="D54" s="4" t="s">
        <v>1397</v>
      </c>
      <c r="E54" s="4" t="s">
        <v>1401</v>
      </c>
      <c r="F54" s="13"/>
      <c r="G54" s="4" t="s">
        <v>1273</v>
      </c>
      <c r="H54" s="4">
        <v>0.27200000000000002</v>
      </c>
      <c r="I54" s="4">
        <v>0.40200000000000002</v>
      </c>
      <c r="J54" s="4">
        <v>0.47699999999999998</v>
      </c>
      <c r="K54" s="4">
        <v>0.51500000000000001</v>
      </c>
      <c r="L54" s="4">
        <v>0.55700000000000005</v>
      </c>
      <c r="M54" s="4">
        <v>0.58199999999999996</v>
      </c>
      <c r="N54" s="4">
        <v>0.61099999999999999</v>
      </c>
      <c r="O54" s="4">
        <v>0.64</v>
      </c>
      <c r="P54" s="4">
        <v>0.68200000000000005</v>
      </c>
      <c r="AB54" s="13"/>
      <c r="AC54" s="91"/>
      <c r="AD54" s="91"/>
      <c r="AE54" s="91"/>
      <c r="AF54" s="91"/>
      <c r="AH54" s="91"/>
      <c r="AJ54" s="13">
        <v>229</v>
      </c>
    </row>
    <row r="55" spans="1:36">
      <c r="B55" s="96"/>
      <c r="C55" s="10"/>
      <c r="D55" s="97"/>
      <c r="F55" s="59"/>
      <c r="G55" s="11" t="s">
        <v>1286</v>
      </c>
      <c r="H55" s="93">
        <v>100</v>
      </c>
      <c r="I55" s="11">
        <v>150</v>
      </c>
      <c r="J55" s="94">
        <v>200</v>
      </c>
      <c r="K55" s="94">
        <v>250</v>
      </c>
      <c r="L55" s="11">
        <v>300</v>
      </c>
      <c r="M55" s="11">
        <v>400</v>
      </c>
      <c r="N55" s="94">
        <v>600</v>
      </c>
      <c r="O55" s="94">
        <v>800</v>
      </c>
      <c r="P55" s="11">
        <v>1000</v>
      </c>
      <c r="Q55" s="94">
        <v>1200</v>
      </c>
      <c r="V55" s="10"/>
      <c r="W55" s="10"/>
      <c r="X55" s="10"/>
      <c r="Y55" s="10"/>
      <c r="Z55" s="10"/>
      <c r="AA55" s="10"/>
      <c r="AB55" s="88"/>
      <c r="AC55" s="42"/>
      <c r="AD55" s="42"/>
      <c r="AE55" s="42"/>
      <c r="AF55" s="42"/>
      <c r="AH55" s="42"/>
    </row>
    <row r="56" spans="1:36">
      <c r="A56">
        <v>34</v>
      </c>
      <c r="B56" s="96" t="s">
        <v>1280</v>
      </c>
      <c r="C56" s="10">
        <v>7</v>
      </c>
      <c r="D56" s="97" t="s">
        <v>1397</v>
      </c>
      <c r="E56" t="s">
        <v>1399</v>
      </c>
      <c r="F56" s="59"/>
      <c r="G56" s="11" t="s">
        <v>1445</v>
      </c>
      <c r="H56" s="93">
        <v>9.0090000000000003</v>
      </c>
      <c r="I56" s="11">
        <v>8.9920000000000009</v>
      </c>
      <c r="J56" s="94">
        <v>8.9730000000000008</v>
      </c>
      <c r="K56" s="94">
        <v>8.9510000000000005</v>
      </c>
      <c r="L56" s="11">
        <v>8.93</v>
      </c>
      <c r="M56" s="11">
        <v>8.8840000000000003</v>
      </c>
      <c r="N56" s="11">
        <v>8.7870000000000008</v>
      </c>
      <c r="O56" s="11">
        <v>8.6419999999999995</v>
      </c>
      <c r="P56" s="11">
        <v>8.5679999999999996</v>
      </c>
      <c r="Q56" s="11">
        <v>8.4580000000000002</v>
      </c>
      <c r="AC56" s="42"/>
      <c r="AD56" s="42"/>
      <c r="AE56" s="42"/>
      <c r="AF56" s="42"/>
      <c r="AH56" s="42"/>
      <c r="AJ56" s="12">
        <v>230</v>
      </c>
    </row>
    <row r="57" spans="1:36">
      <c r="A57">
        <v>34</v>
      </c>
      <c r="B57" s="8" t="s">
        <v>1280</v>
      </c>
      <c r="C57">
        <v>7</v>
      </c>
      <c r="D57" t="s">
        <v>1397</v>
      </c>
      <c r="E57" t="s">
        <v>1399</v>
      </c>
      <c r="G57" s="11" t="s">
        <v>1444</v>
      </c>
      <c r="H57" s="11">
        <v>480</v>
      </c>
      <c r="I57" s="11">
        <v>429</v>
      </c>
      <c r="J57" s="11">
        <v>413</v>
      </c>
      <c r="K57" s="11">
        <v>406</v>
      </c>
      <c r="L57" s="11">
        <v>401</v>
      </c>
      <c r="M57" s="11">
        <v>393</v>
      </c>
      <c r="N57" s="11">
        <v>379</v>
      </c>
      <c r="O57" s="11">
        <v>366</v>
      </c>
      <c r="P57" s="11">
        <v>352</v>
      </c>
      <c r="Q57" s="11">
        <v>339</v>
      </c>
      <c r="AC57" s="42"/>
      <c r="AD57" s="42"/>
      <c r="AE57" s="42"/>
      <c r="AF57" s="42"/>
      <c r="AH57" s="42"/>
      <c r="AJ57" s="12">
        <v>230</v>
      </c>
    </row>
    <row r="58" spans="1:36" s="4" customFormat="1">
      <c r="A58" s="4">
        <v>34</v>
      </c>
      <c r="B58" s="9" t="s">
        <v>1280</v>
      </c>
      <c r="C58" s="4">
        <v>7</v>
      </c>
      <c r="D58" s="4" t="s">
        <v>1397</v>
      </c>
      <c r="E58" s="4" t="s">
        <v>1399</v>
      </c>
      <c r="F58" s="13"/>
      <c r="G58" s="95" t="s">
        <v>1273</v>
      </c>
      <c r="H58" s="95">
        <v>0.254</v>
      </c>
      <c r="I58" s="95">
        <v>0.32300000000000001</v>
      </c>
      <c r="J58" s="95">
        <v>0.35699999999999998</v>
      </c>
      <c r="K58" s="95">
        <v>0.377</v>
      </c>
      <c r="L58" s="95">
        <v>0.38600000000000001</v>
      </c>
      <c r="M58" s="95">
        <v>0.39600000000000002</v>
      </c>
      <c r="N58" s="95">
        <v>0.43099999999999999</v>
      </c>
      <c r="O58" s="95">
        <v>0.44800000000000001</v>
      </c>
      <c r="P58" s="95">
        <v>0.44600000000000001</v>
      </c>
      <c r="Q58" s="95">
        <v>0.48</v>
      </c>
      <c r="AB58" s="13"/>
      <c r="AJ58" s="13">
        <v>230</v>
      </c>
    </row>
    <row r="59" spans="1:36">
      <c r="G59" t="s">
        <v>1286</v>
      </c>
      <c r="H59">
        <v>323.44013539651826</v>
      </c>
      <c r="I59">
        <v>373.73027079303597</v>
      </c>
      <c r="J59">
        <v>423.63355899419696</v>
      </c>
      <c r="K59">
        <v>473.53684719535698</v>
      </c>
      <c r="L59">
        <v>523.44013539651792</v>
      </c>
      <c r="M59">
        <v>573.343423597678</v>
      </c>
      <c r="N59">
        <v>623.63355899419696</v>
      </c>
      <c r="O59">
        <v>673.53684719535795</v>
      </c>
      <c r="P59">
        <v>723.826982591876</v>
      </c>
      <c r="Q59">
        <v>773.73027079303597</v>
      </c>
      <c r="R59">
        <v>823.24671179883899</v>
      </c>
      <c r="S59">
        <v>873.15</v>
      </c>
      <c r="T59">
        <v>923.826982591876</v>
      </c>
      <c r="U59">
        <v>973.343423597678</v>
      </c>
      <c r="V59">
        <v>1023.633558994197</v>
      </c>
      <c r="W59">
        <v>1073.536847195358</v>
      </c>
      <c r="X59">
        <v>1123.4401353965191</v>
      </c>
      <c r="Y59">
        <v>1173.7302707930371</v>
      </c>
      <c r="Z59">
        <v>1223.246711798839</v>
      </c>
      <c r="AA59">
        <v>1273.53684719535</v>
      </c>
      <c r="AI59" s="45"/>
    </row>
    <row r="60" spans="1:36">
      <c r="A60">
        <v>35</v>
      </c>
      <c r="B60" s="8" t="s">
        <v>1280</v>
      </c>
      <c r="C60">
        <v>7</v>
      </c>
      <c r="D60" t="s">
        <v>1397</v>
      </c>
      <c r="E60" t="s">
        <v>1400</v>
      </c>
      <c r="F60" s="59"/>
      <c r="G60" s="62" t="s">
        <v>1445</v>
      </c>
      <c r="H60" s="63">
        <v>8.2378999179655406</v>
      </c>
      <c r="I60">
        <v>8.2231337161607794</v>
      </c>
      <c r="J60" s="14">
        <v>8.2050861361771901</v>
      </c>
      <c r="K60" s="14">
        <v>8.1870385561936008</v>
      </c>
      <c r="L60">
        <v>8.1681706316652996</v>
      </c>
      <c r="M60">
        <v>8.1509433962264097</v>
      </c>
      <c r="N60">
        <v>8.1320754716981103</v>
      </c>
      <c r="O60">
        <v>8.1140278917145192</v>
      </c>
      <c r="P60">
        <v>8.0902378999179607</v>
      </c>
      <c r="Q60" s="10">
        <v>8.0672682526661195</v>
      </c>
      <c r="R60" s="10">
        <v>8.0451189499589795</v>
      </c>
      <c r="S60" s="10">
        <v>8.0221493027071293</v>
      </c>
      <c r="T60" s="10">
        <v>8</v>
      </c>
      <c r="U60" s="10">
        <v>7.9786710418375701</v>
      </c>
      <c r="V60">
        <v>7.9499589827727597</v>
      </c>
      <c r="W60">
        <v>7.9269893355209096</v>
      </c>
      <c r="X60">
        <v>7.8999179655455203</v>
      </c>
      <c r="Y60">
        <v>7.7292863002461001</v>
      </c>
      <c r="Z60">
        <v>7.2518457752265899</v>
      </c>
      <c r="AA60">
        <v>7.2009844134536403</v>
      </c>
      <c r="AJ60" s="12">
        <v>231</v>
      </c>
    </row>
    <row r="61" spans="1:36">
      <c r="A61">
        <v>35</v>
      </c>
      <c r="B61" s="8" t="s">
        <v>1280</v>
      </c>
      <c r="C61">
        <v>7</v>
      </c>
      <c r="D61" t="s">
        <v>1397</v>
      </c>
      <c r="E61" t="s">
        <v>1400</v>
      </c>
      <c r="F61" s="59"/>
      <c r="G61" t="s">
        <v>1444</v>
      </c>
      <c r="H61">
        <v>115.645645645645</v>
      </c>
      <c r="I61">
        <v>129.00900900900899</v>
      </c>
      <c r="J61">
        <v>137.74774774774701</v>
      </c>
      <c r="K61">
        <v>141.951951951951</v>
      </c>
      <c r="L61">
        <v>144.654654654654</v>
      </c>
      <c r="M61">
        <v>147.29729729729701</v>
      </c>
      <c r="N61">
        <v>149.279279279279</v>
      </c>
      <c r="O61">
        <v>149.48948948948899</v>
      </c>
      <c r="P61">
        <v>149.819819819819</v>
      </c>
      <c r="Q61" s="10">
        <v>150.18018018018</v>
      </c>
      <c r="R61" s="10">
        <v>150.30030030029999</v>
      </c>
      <c r="S61">
        <v>150.72072072072001</v>
      </c>
      <c r="T61">
        <v>151.08108108108101</v>
      </c>
      <c r="U61">
        <v>151.411411411411</v>
      </c>
      <c r="V61">
        <v>151.681681681681</v>
      </c>
      <c r="W61">
        <v>152.07207207207199</v>
      </c>
      <c r="X61">
        <v>152.34234234234199</v>
      </c>
      <c r="Y61">
        <v>152.58258258258201</v>
      </c>
      <c r="Z61">
        <v>89.159159159159103</v>
      </c>
      <c r="AA61">
        <v>77.867867867867801</v>
      </c>
      <c r="AJ61" s="12">
        <v>231</v>
      </c>
    </row>
    <row r="62" spans="1:36" s="4" customFormat="1">
      <c r="A62" s="4">
        <v>35</v>
      </c>
      <c r="B62" s="9" t="s">
        <v>1280</v>
      </c>
      <c r="C62" s="4">
        <v>7</v>
      </c>
      <c r="D62" s="4" t="s">
        <v>1397</v>
      </c>
      <c r="E62" s="4" t="s">
        <v>1400</v>
      </c>
      <c r="F62" s="58"/>
      <c r="G62" s="4" t="s">
        <v>1273</v>
      </c>
      <c r="H62" s="4">
        <v>0.39945828819068202</v>
      </c>
      <c r="I62" s="4">
        <v>0.40660888407367202</v>
      </c>
      <c r="J62" s="4">
        <v>0.414165763813651</v>
      </c>
      <c r="K62" s="4">
        <v>0.42164138678223101</v>
      </c>
      <c r="L62" s="4">
        <v>0.42903575297941499</v>
      </c>
      <c r="M62" s="4">
        <v>0.43610509209100701</v>
      </c>
      <c r="N62" s="4">
        <v>0.44317443120260003</v>
      </c>
      <c r="O62" s="4">
        <v>0.45048754062838497</v>
      </c>
      <c r="P62" s="4">
        <v>0.45690682556879703</v>
      </c>
      <c r="Q62" s="99">
        <v>0.46381365113759399</v>
      </c>
      <c r="R62" s="99">
        <v>0.47096424702058498</v>
      </c>
      <c r="S62" s="99">
        <v>0.47795232936078003</v>
      </c>
      <c r="T62" s="4">
        <v>0.48510292524377002</v>
      </c>
      <c r="U62" s="4">
        <v>0.49152221018418202</v>
      </c>
      <c r="V62" s="4">
        <v>0.49810400866738802</v>
      </c>
      <c r="W62" s="4">
        <v>0.50452329360780002</v>
      </c>
      <c r="X62" s="4">
        <v>0.51037378114842902</v>
      </c>
      <c r="Y62" s="4">
        <v>0.51557421451787599</v>
      </c>
      <c r="Z62" s="4">
        <v>0.49631635969664101</v>
      </c>
      <c r="AA62" s="4">
        <v>0.51700000000000002</v>
      </c>
      <c r="AB62" s="13"/>
      <c r="AJ62" s="13">
        <v>231</v>
      </c>
    </row>
    <row r="63" spans="1:36">
      <c r="B63" s="96"/>
      <c r="C63" s="10"/>
      <c r="D63" s="97"/>
      <c r="F63" s="59"/>
      <c r="G63" t="s">
        <v>1286</v>
      </c>
      <c r="H63">
        <v>-123.14999999999998</v>
      </c>
      <c r="I63">
        <v>-73.149999999999977</v>
      </c>
      <c r="J63">
        <v>-23.149999999999977</v>
      </c>
      <c r="K63">
        <v>26.850000000000023</v>
      </c>
      <c r="L63">
        <v>126.85000000000002</v>
      </c>
      <c r="M63">
        <v>326.85000000000002</v>
      </c>
      <c r="Q63" s="10"/>
      <c r="R63" s="10"/>
      <c r="AH63" s="45"/>
    </row>
    <row r="64" spans="1:36">
      <c r="A64">
        <v>36</v>
      </c>
      <c r="B64" s="96" t="s">
        <v>1280</v>
      </c>
      <c r="C64" s="10">
        <v>7</v>
      </c>
      <c r="D64" s="97" t="s">
        <v>1397</v>
      </c>
      <c r="E64" t="s">
        <v>1449</v>
      </c>
      <c r="F64" s="59"/>
      <c r="G64" s="62" t="s">
        <v>1445</v>
      </c>
      <c r="H64" s="11">
        <v>2.726</v>
      </c>
      <c r="I64" s="98">
        <v>2.7189999999999999</v>
      </c>
      <c r="J64" s="11">
        <v>2.71</v>
      </c>
      <c r="K64" s="92">
        <v>2.7010000000000001</v>
      </c>
      <c r="L64" s="92">
        <v>2.681</v>
      </c>
      <c r="M64" s="11">
        <v>2.6389999999999998</v>
      </c>
      <c r="Q64" s="10"/>
      <c r="R64" s="10"/>
      <c r="AJ64" s="12">
        <v>232</v>
      </c>
    </row>
    <row r="65" spans="1:36">
      <c r="A65">
        <v>36</v>
      </c>
      <c r="B65" s="96" t="s">
        <v>1280</v>
      </c>
      <c r="C65" s="10">
        <v>7</v>
      </c>
      <c r="D65" t="s">
        <v>1397</v>
      </c>
      <c r="E65" t="s">
        <v>1449</v>
      </c>
      <c r="F65" s="59"/>
      <c r="G65" t="s">
        <v>1444</v>
      </c>
      <c r="H65" s="11">
        <v>250</v>
      </c>
      <c r="I65" s="98">
        <v>237</v>
      </c>
      <c r="J65" s="11">
        <v>235</v>
      </c>
      <c r="K65" s="92">
        <v>237</v>
      </c>
      <c r="L65" s="92">
        <v>240</v>
      </c>
      <c r="M65" s="11">
        <v>231</v>
      </c>
      <c r="Q65" s="10"/>
      <c r="R65" s="10"/>
      <c r="AJ65" s="12">
        <v>232</v>
      </c>
    </row>
    <row r="66" spans="1:36" s="4" customFormat="1">
      <c r="A66" s="4">
        <v>36</v>
      </c>
      <c r="B66" s="9" t="s">
        <v>1280</v>
      </c>
      <c r="C66" s="4">
        <v>7</v>
      </c>
      <c r="D66" s="4" t="s">
        <v>1397</v>
      </c>
      <c r="E66" s="4" t="s">
        <v>1449</v>
      </c>
      <c r="F66" s="13"/>
      <c r="G66" s="4" t="s">
        <v>1273</v>
      </c>
      <c r="H66" s="95">
        <v>0.68300000000000005</v>
      </c>
      <c r="I66" s="95">
        <v>0.79700000000000004</v>
      </c>
      <c r="J66" s="95">
        <v>0.85899999999999999</v>
      </c>
      <c r="K66" s="100">
        <v>0.90200000000000002</v>
      </c>
      <c r="L66" s="100">
        <v>0.94899999999999995</v>
      </c>
      <c r="M66" s="95">
        <v>1.042</v>
      </c>
      <c r="Q66" s="99"/>
      <c r="R66" s="99"/>
      <c r="AB66" s="13"/>
      <c r="AJ66" s="13">
        <v>232</v>
      </c>
    </row>
    <row r="67" spans="1:36">
      <c r="N67" s="11"/>
      <c r="O67" s="11"/>
      <c r="P67" s="11"/>
      <c r="Q67" s="11"/>
      <c r="R67" s="11"/>
      <c r="S67" s="11"/>
      <c r="T67" s="11"/>
      <c r="U67" s="11"/>
      <c r="V67" s="11"/>
      <c r="W67" s="11"/>
      <c r="X67" s="11"/>
      <c r="Y67" s="11"/>
      <c r="Z67" s="11"/>
      <c r="AA67" s="11"/>
    </row>
    <row r="68" spans="1:36">
      <c r="N68" s="11"/>
      <c r="O68" s="11"/>
      <c r="P68" s="11"/>
      <c r="Q68" s="11"/>
      <c r="R68" s="11"/>
      <c r="S68" s="11"/>
      <c r="T68" s="11"/>
      <c r="U68" s="11"/>
      <c r="V68" s="11"/>
      <c r="W68" s="11"/>
      <c r="X68" s="11"/>
      <c r="Y68" s="11"/>
      <c r="Z68" s="11"/>
      <c r="AA68" s="11"/>
    </row>
    <row r="69" spans="1:36">
      <c r="N69" s="11"/>
      <c r="O69" s="11"/>
      <c r="P69" s="11"/>
      <c r="Q69" s="11"/>
      <c r="R69" s="11"/>
      <c r="S69" s="11"/>
      <c r="T69" s="11"/>
      <c r="U69" s="11"/>
      <c r="V69" s="11"/>
      <c r="W69" s="11"/>
      <c r="X69" s="11"/>
      <c r="Y69" s="11"/>
      <c r="Z69" s="11"/>
      <c r="AA69" s="11"/>
    </row>
    <row r="70" spans="1:36">
      <c r="H70" s="11"/>
      <c r="I70" s="11"/>
      <c r="J70" s="11"/>
      <c r="K70" s="11"/>
      <c r="L70" s="11"/>
      <c r="M70" s="11"/>
      <c r="N70" s="11"/>
      <c r="O70" s="11"/>
      <c r="P70" s="11"/>
      <c r="Q70" s="11"/>
      <c r="R70" s="11"/>
      <c r="S70" s="11"/>
      <c r="T70" s="11"/>
      <c r="U70" s="11"/>
      <c r="V70" s="11"/>
      <c r="W70" s="11"/>
      <c r="X70" s="11"/>
      <c r="Y70" s="11"/>
      <c r="Z70" s="11"/>
      <c r="AA70" s="11"/>
    </row>
    <row r="71" spans="1:36">
      <c r="N71" s="44"/>
      <c r="O71" s="10"/>
      <c r="P71" s="10"/>
    </row>
    <row r="72" spans="1:36">
      <c r="N72" s="44"/>
      <c r="O72" s="10"/>
      <c r="P72" s="10"/>
    </row>
    <row r="73" spans="1:36">
      <c r="N73" s="44"/>
      <c r="O73" s="10"/>
      <c r="P73" s="10"/>
    </row>
    <row r="74" spans="1:36">
      <c r="N74" s="44"/>
      <c r="O74" s="10"/>
      <c r="P74" s="11"/>
      <c r="Q74" s="11"/>
      <c r="R74" s="11"/>
      <c r="S74" s="11"/>
      <c r="T74" s="11"/>
    </row>
    <row r="75" spans="1:36">
      <c r="N75" s="44"/>
      <c r="O75" s="10"/>
      <c r="P75" s="11"/>
      <c r="Q75" s="11"/>
      <c r="R75" s="11"/>
      <c r="S75" s="11"/>
      <c r="T75" s="11"/>
    </row>
    <row r="76" spans="1:36">
      <c r="N76" s="44"/>
      <c r="O76" s="10"/>
      <c r="P76" s="11"/>
      <c r="Q76" s="11"/>
      <c r="R76" s="11"/>
      <c r="S76" s="11"/>
      <c r="T76" s="11"/>
    </row>
    <row r="77" spans="1:36">
      <c r="P77" s="11"/>
      <c r="Q77" s="11"/>
      <c r="R77" s="11"/>
      <c r="S77" s="11"/>
      <c r="T77" s="1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References_index</vt:lpstr>
      <vt:lpstr>Paper</vt:lpstr>
      <vt:lpstr>Organic</vt:lpstr>
      <vt:lpstr>Plastic</vt:lpstr>
      <vt:lpstr>Inert</vt:lpstr>
      <vt:lpstr>Inert_Properties_on Temperature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Matias Fierro Rivas</cp:lastModifiedBy>
  <cp:lastPrinted>2025-09-16T10:21:38Z</cp:lastPrinted>
  <dcterms:created xsi:type="dcterms:W3CDTF">2024-01-11T16:38:50Z</dcterms:created>
  <dcterms:modified xsi:type="dcterms:W3CDTF">2026-03-09T15:46:57Z</dcterms:modified>
</cp:coreProperties>
</file>